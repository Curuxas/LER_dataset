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ageningenur4-my.sharepoint.com/personal/susana_lopezrodriguez_wur_nl/Documents/Paper 2/Productivity/"/>
    </mc:Choice>
  </mc:AlternateContent>
  <xr:revisionPtr revIDLastSave="2707" documentId="13_ncr:1_{F2578307-7177-4517-BE79-82B3478FB567}" xr6:coauthVersionLast="47" xr6:coauthVersionMax="47" xr10:uidLastSave="{A57042CC-456B-4B25-AC4F-413E0E4E1E46}"/>
  <bookViews>
    <workbookView xWindow="-108" yWindow="-108" windowWidth="23256" windowHeight="12456" tabRatio="721" firstSheet="1" activeTab="8" xr2:uid="{00000000-000D-0000-FFFF-FFFF00000000}"/>
  </bookViews>
  <sheets>
    <sheet name="Database explanation" sheetId="23" r:id="rId1"/>
    <sheet name="Orchards" sheetId="5" r:id="rId2"/>
    <sheet name="Cover&amp;Rotation" sheetId="6" r:id="rId3"/>
    <sheet name="Intercropping" sheetId="7" r:id="rId4"/>
    <sheet name="Crop livestock" sheetId="8" r:id="rId5"/>
    <sheet name="Sparse trees" sheetId="10" r:id="rId6"/>
    <sheet name="Tree and crop" sheetId="11" r:id="rId7"/>
    <sheet name="Agroforest" sheetId="12" r:id="rId8"/>
    <sheet name="Silvopastoralism" sheetId="14" r:id="rId9"/>
  </sheets>
  <definedNames>
    <definedName name="_xlnm._FilterDatabase" localSheetId="2" hidden="1">'Cover&amp;Rotation'!$AM$1:$AM$342</definedName>
    <definedName name="_xlnm._FilterDatabase" localSheetId="4" hidden="1">'Crop livestock'!$A$1:$BC$67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0" i="5" l="1"/>
  <c r="S70" i="5"/>
  <c r="T69" i="5"/>
  <c r="S69" i="5"/>
  <c r="R70" i="5"/>
  <c r="R69" i="5"/>
  <c r="R59" i="5"/>
  <c r="R46" i="5"/>
  <c r="AM1341" i="7" l="1"/>
  <c r="AM1342" i="7"/>
  <c r="AM1340" i="7"/>
  <c r="AM1294" i="7"/>
  <c r="AM1090" i="7"/>
  <c r="AM1091" i="7"/>
  <c r="AM1092" i="7"/>
  <c r="AM1093" i="7"/>
  <c r="AM1094" i="7"/>
  <c r="AM1089" i="7"/>
  <c r="AM386" i="7"/>
  <c r="AM385" i="7"/>
  <c r="AM277" i="7"/>
  <c r="AM278" i="7"/>
  <c r="AM279" i="7"/>
  <c r="AM280" i="7"/>
  <c r="AM281" i="7"/>
  <c r="AM282" i="7"/>
  <c r="AM283" i="7"/>
  <c r="AM276" i="7"/>
  <c r="AM226" i="7"/>
  <c r="AM227" i="7"/>
  <c r="AM228" i="7"/>
  <c r="AL225" i="7"/>
  <c r="AM225" i="7"/>
  <c r="Q890" i="7" l="1"/>
  <c r="Q891" i="7"/>
  <c r="Q892" i="7"/>
  <c r="Q893" i="7"/>
  <c r="Q894" i="7"/>
  <c r="Q889" i="7"/>
  <c r="Q6" i="14"/>
  <c r="Q7" i="14"/>
  <c r="Q8" i="14"/>
  <c r="Q9" i="14"/>
  <c r="Q10" i="14"/>
  <c r="Q11" i="14"/>
  <c r="Q12" i="14"/>
  <c r="Q13" i="14"/>
  <c r="Q14" i="14"/>
  <c r="Q15" i="14"/>
  <c r="Q16" i="14"/>
  <c r="Q5" i="14"/>
  <c r="N6" i="14"/>
  <c r="N7" i="14"/>
  <c r="N8" i="14"/>
  <c r="N9" i="14"/>
  <c r="N10" i="14"/>
  <c r="N11" i="14"/>
  <c r="N12" i="14"/>
  <c r="N13" i="14"/>
  <c r="N14" i="14"/>
  <c r="N15" i="14"/>
  <c r="N16" i="14"/>
  <c r="N5" i="14"/>
  <c r="Q70" i="14"/>
  <c r="Q69" i="14"/>
  <c r="AD354" i="11" l="1"/>
  <c r="AD353" i="11"/>
  <c r="AD352" i="11"/>
  <c r="AD346" i="11"/>
  <c r="AD345" i="11"/>
  <c r="AD344" i="11"/>
  <c r="AD343" i="11"/>
  <c r="AD337" i="11"/>
  <c r="AD336" i="11"/>
  <c r="AD335" i="11"/>
  <c r="AD334" i="11"/>
  <c r="AD328" i="11"/>
  <c r="AD327" i="11"/>
  <c r="AD326" i="11"/>
  <c r="AD325" i="11"/>
  <c r="AD319" i="11"/>
  <c r="AD318" i="11"/>
  <c r="AD317" i="11"/>
  <c r="AD316" i="11"/>
  <c r="AD310" i="11"/>
  <c r="AD309" i="11"/>
  <c r="AD308" i="11"/>
  <c r="AD307" i="11"/>
  <c r="AD301" i="11"/>
  <c r="Z354" i="11"/>
  <c r="Z353" i="11"/>
  <c r="Z352" i="11"/>
  <c r="Z351" i="11"/>
  <c r="Z350" i="11"/>
  <c r="Z349" i="11"/>
  <c r="Z348" i="11"/>
  <c r="Z347" i="11"/>
  <c r="Z346" i="11"/>
  <c r="Z345" i="11"/>
  <c r="Z344" i="11"/>
  <c r="Z343" i="11"/>
  <c r="Z342" i="11"/>
  <c r="Z341" i="11"/>
  <c r="Z340" i="11"/>
  <c r="Z339" i="11"/>
  <c r="Z338" i="11"/>
  <c r="Z337" i="11"/>
  <c r="Z336" i="11"/>
  <c r="Z335" i="11"/>
  <c r="Z334" i="11"/>
  <c r="Z333" i="11"/>
  <c r="Z332" i="11"/>
  <c r="Z331" i="11"/>
  <c r="Z330" i="11"/>
  <c r="Z329" i="11"/>
  <c r="Z328" i="11"/>
  <c r="Z327" i="11"/>
  <c r="Z326" i="11"/>
  <c r="Z325" i="11"/>
  <c r="Z324" i="11"/>
  <c r="Z323" i="11"/>
  <c r="Z322" i="11"/>
  <c r="Z321" i="11"/>
  <c r="Z320" i="11"/>
  <c r="Z319" i="11"/>
  <c r="Z318" i="11"/>
  <c r="Z317" i="11"/>
  <c r="Z316" i="11"/>
  <c r="Z315" i="11"/>
  <c r="Z314" i="11"/>
  <c r="Z313" i="11"/>
  <c r="Z312" i="11"/>
  <c r="Z311" i="11"/>
  <c r="Z310" i="11"/>
  <c r="Z309" i="11"/>
  <c r="Z308" i="11"/>
  <c r="Z307" i="11"/>
  <c r="Z306" i="11"/>
  <c r="Z305" i="11"/>
  <c r="Z304" i="11"/>
  <c r="Z303" i="11"/>
  <c r="Z302" i="11"/>
  <c r="Z301" i="11"/>
  <c r="AB233" i="11" l="1"/>
  <c r="AB232" i="11"/>
  <c r="Z206" i="11"/>
  <c r="Z205" i="11"/>
  <c r="Z204" i="11"/>
  <c r="Z203" i="11"/>
  <c r="AO27" i="11" l="1"/>
  <c r="AD300" i="11"/>
  <c r="Z300" i="11"/>
  <c r="Z38" i="11"/>
  <c r="Z39" i="11"/>
  <c r="Z40" i="11"/>
  <c r="Z41" i="11"/>
  <c r="Z42" i="11"/>
  <c r="Z79" i="11"/>
  <c r="Z340" i="6"/>
  <c r="Z341" i="6"/>
  <c r="Z342" i="6"/>
  <c r="Z339" i="6"/>
  <c r="Y340" i="6"/>
  <c r="Y341" i="6"/>
  <c r="Y342" i="6"/>
  <c r="Y339" i="6"/>
  <c r="O207" i="6"/>
  <c r="Y207" i="6" s="1"/>
  <c r="AA207" i="6" s="1"/>
  <c r="O206" i="6"/>
  <c r="Y206" i="6" s="1"/>
  <c r="AA206" i="6" s="1"/>
  <c r="O203" i="6"/>
  <c r="Y203" i="6" s="1"/>
  <c r="AA203" i="6" s="1"/>
  <c r="O202" i="6"/>
  <c r="Y202" i="6" s="1"/>
  <c r="AA202" i="6" s="1"/>
  <c r="O199" i="6"/>
  <c r="Y199" i="6" s="1"/>
  <c r="AA199" i="6" s="1"/>
  <c r="O200" i="6"/>
  <c r="AA341" i="6" l="1"/>
  <c r="AA340" i="6"/>
  <c r="AA342" i="6"/>
  <c r="AA339" i="6"/>
  <c r="Y11" i="6"/>
  <c r="AA11" i="6" s="1"/>
  <c r="Y4" i="6"/>
  <c r="AA4" i="6" s="1"/>
  <c r="AC196" i="6" l="1"/>
  <c r="AB196" i="6"/>
  <c r="Y196" i="6"/>
  <c r="AC195" i="6"/>
  <c r="AB195" i="6"/>
  <c r="Y195" i="6"/>
  <c r="AC194" i="6"/>
  <c r="AB194" i="6"/>
  <c r="Y194" i="6"/>
  <c r="AC193" i="6"/>
  <c r="AB193" i="6"/>
  <c r="Y193" i="6"/>
  <c r="AC189" i="6"/>
  <c r="AB189" i="6"/>
  <c r="Y189" i="6"/>
  <c r="AC188" i="6"/>
  <c r="AB188" i="6"/>
  <c r="Y188" i="6"/>
  <c r="AC186" i="6"/>
  <c r="AB186" i="6"/>
  <c r="Y186" i="6"/>
  <c r="AC185" i="6"/>
  <c r="AB185" i="6"/>
  <c r="Y185" i="6"/>
  <c r="AC184" i="6"/>
  <c r="AB184" i="6"/>
  <c r="Y184" i="6"/>
  <c r="AI70" i="10"/>
  <c r="AL67" i="8" l="1"/>
  <c r="AO67" i="8" s="1"/>
  <c r="AL66" i="8"/>
  <c r="AO66" i="8" s="1"/>
  <c r="AL64" i="8"/>
  <c r="AO64" i="8" s="1"/>
  <c r="AL65" i="8"/>
  <c r="AO65" i="8" s="1"/>
  <c r="AL61" i="8"/>
  <c r="AO61" i="8" s="1"/>
  <c r="AL62" i="8"/>
  <c r="AO62" i="8" s="1"/>
  <c r="AL63" i="8"/>
  <c r="AO63" i="8" s="1"/>
  <c r="AL60" i="8"/>
  <c r="AO60" i="8" s="1"/>
  <c r="AI1553" i="7"/>
  <c r="AI1554" i="7"/>
  <c r="AI1552" i="7"/>
  <c r="AD1551" i="7"/>
  <c r="AI1551" i="7" s="1"/>
  <c r="AD1550" i="7"/>
  <c r="AI1550" i="7" s="1"/>
  <c r="AD1549" i="7"/>
  <c r="AI1549" i="7" s="1"/>
  <c r="AD1548" i="7"/>
  <c r="AI1548" i="7" s="1"/>
  <c r="AD1547" i="7"/>
  <c r="AI1547" i="7" s="1"/>
  <c r="AD1546" i="7"/>
  <c r="AI1546" i="7" s="1"/>
  <c r="AD1545" i="7"/>
  <c r="AI1545" i="7" s="1"/>
  <c r="AD1544" i="7"/>
  <c r="AI1544" i="7" s="1"/>
  <c r="AD1543" i="7"/>
  <c r="AI1543" i="7" s="1"/>
  <c r="AD1542" i="7"/>
  <c r="AI1542" i="7" s="1"/>
  <c r="AH93" i="10"/>
  <c r="AJ93" i="10" s="1"/>
  <c r="AH92" i="10"/>
  <c r="AJ92" i="10" s="1"/>
  <c r="AH91" i="10"/>
  <c r="AJ91" i="10" s="1"/>
  <c r="AH90" i="10"/>
  <c r="AJ90" i="10" s="1"/>
  <c r="AH89" i="10"/>
  <c r="AJ89" i="10" s="1"/>
  <c r="AH88" i="10"/>
  <c r="AJ88" i="10" s="1"/>
  <c r="AH87" i="10"/>
  <c r="AJ87" i="10" s="1"/>
  <c r="AH86" i="10"/>
  <c r="AJ86" i="10" s="1"/>
  <c r="AH85" i="10"/>
  <c r="AJ85" i="10" s="1"/>
  <c r="AH84" i="10"/>
  <c r="AJ84" i="10" s="1"/>
  <c r="AQ73" i="10"/>
  <c r="AH83" i="10"/>
  <c r="AJ83" i="10" s="1"/>
  <c r="AH82" i="10"/>
  <c r="AJ82" i="10" s="1"/>
  <c r="AH81" i="10"/>
  <c r="AJ81" i="10" s="1"/>
  <c r="AH80" i="10"/>
  <c r="AJ80" i="10" s="1"/>
  <c r="AH79" i="10"/>
  <c r="AJ79" i="10" s="1"/>
  <c r="AH78" i="10"/>
  <c r="AJ78" i="10" s="1"/>
  <c r="AH77" i="10"/>
  <c r="AJ77" i="10" s="1"/>
  <c r="AH76" i="10"/>
  <c r="AJ76" i="10" s="1"/>
  <c r="AH75" i="10"/>
  <c r="AJ75" i="10" s="1"/>
  <c r="AH74" i="10"/>
  <c r="AJ74" i="10" s="1"/>
  <c r="AQ1539" i="7"/>
  <c r="AQ1540" i="7"/>
  <c r="AQ1541" i="7"/>
  <c r="AD1541" i="7"/>
  <c r="AI1541" i="7" s="1"/>
  <c r="AD1540" i="7"/>
  <c r="AI1540" i="7" s="1"/>
  <c r="AD1539" i="7"/>
  <c r="AI1539" i="7" s="1"/>
  <c r="AD1538" i="7"/>
  <c r="AI1538" i="7" s="1"/>
  <c r="AQ1538" i="7"/>
  <c r="AL1535" i="7"/>
  <c r="AO1535" i="7" s="1"/>
  <c r="AL1536" i="7"/>
  <c r="AO1536" i="7" s="1"/>
  <c r="AL1537" i="7"/>
  <c r="AO1537" i="7" s="1"/>
  <c r="AD1537" i="7"/>
  <c r="AI1537" i="7" s="1"/>
  <c r="AD1536" i="7"/>
  <c r="AI1536" i="7" s="1"/>
  <c r="AD1535" i="7"/>
  <c r="AI1535" i="7" s="1"/>
  <c r="AD1534" i="7"/>
  <c r="AI1534" i="7" s="1"/>
  <c r="AD1533" i="7"/>
  <c r="AI1533" i="7" s="1"/>
  <c r="AD1532" i="7"/>
  <c r="AI1532" i="7" s="1"/>
  <c r="AD1531" i="7"/>
  <c r="AI1531" i="7" s="1"/>
  <c r="AD1530" i="7"/>
  <c r="AI1530" i="7" s="1"/>
  <c r="AD1529" i="7"/>
  <c r="AI1529" i="7" s="1"/>
  <c r="AD1528" i="7"/>
  <c r="AI1528" i="7" s="1"/>
  <c r="AD1527" i="7"/>
  <c r="AI1527" i="7" s="1"/>
  <c r="AD1526" i="7"/>
  <c r="AI1526" i="7" s="1"/>
  <c r="AD1525" i="7"/>
  <c r="AI1525" i="7" s="1"/>
  <c r="AD1524" i="7"/>
  <c r="AI1524" i="7" s="1"/>
  <c r="AD1523" i="7"/>
  <c r="AI1523" i="7" s="1"/>
  <c r="AD1522" i="7"/>
  <c r="AI1522" i="7" s="1"/>
  <c r="AD1521" i="7"/>
  <c r="AI1521" i="7" s="1"/>
  <c r="AI71" i="10"/>
  <c r="AI72" i="10"/>
  <c r="AI73" i="10"/>
  <c r="AH71" i="10"/>
  <c r="AH72" i="10"/>
  <c r="AH73" i="10"/>
  <c r="AH70" i="10"/>
  <c r="AJ70" i="10" s="1"/>
  <c r="AQ71" i="10"/>
  <c r="AQ72" i="10"/>
  <c r="AQ70" i="10"/>
  <c r="AD1512" i="7"/>
  <c r="AI1512" i="7" s="1"/>
  <c r="AD1520" i="7"/>
  <c r="AI1520" i="7" s="1"/>
  <c r="AD1519" i="7"/>
  <c r="AI1519" i="7" s="1"/>
  <c r="AD1518" i="7"/>
  <c r="AI1518" i="7" s="1"/>
  <c r="AD1517" i="7"/>
  <c r="AI1517" i="7" s="1"/>
  <c r="AD1516" i="7"/>
  <c r="AI1516" i="7" s="1"/>
  <c r="AD1515" i="7"/>
  <c r="AI1515" i="7" s="1"/>
  <c r="AD1514" i="7"/>
  <c r="AI1514" i="7" s="1"/>
  <c r="AD1513" i="7"/>
  <c r="AI1513" i="7" s="1"/>
  <c r="AQ1517" i="7"/>
  <c r="AQ1518" i="7"/>
  <c r="AQ1519" i="7"/>
  <c r="AQ1520" i="7"/>
  <c r="AQ1513" i="7"/>
  <c r="AQ1514" i="7"/>
  <c r="AQ1515" i="7"/>
  <c r="AQ1516" i="7"/>
  <c r="AQ1512" i="7"/>
  <c r="AE1497" i="7"/>
  <c r="AE1498" i="7"/>
  <c r="AE1499" i="7"/>
  <c r="AE1500" i="7"/>
  <c r="AE1501" i="7"/>
  <c r="AE1502" i="7"/>
  <c r="AE1503" i="7"/>
  <c r="AE1504" i="7"/>
  <c r="AE1505" i="7"/>
  <c r="AE1506" i="7"/>
  <c r="AE1507" i="7"/>
  <c r="AE1508" i="7"/>
  <c r="AE1509" i="7"/>
  <c r="AE1510" i="7"/>
  <c r="AE1511" i="7"/>
  <c r="AE1496" i="7"/>
  <c r="AD1499" i="7"/>
  <c r="AD1500" i="7"/>
  <c r="AD1501" i="7"/>
  <c r="AD1502" i="7"/>
  <c r="AD1503" i="7"/>
  <c r="AD1504" i="7"/>
  <c r="AD1505" i="7"/>
  <c r="AD1506" i="7"/>
  <c r="AD1507" i="7"/>
  <c r="AD1508" i="7"/>
  <c r="AD1509" i="7"/>
  <c r="AD1510" i="7"/>
  <c r="AD1511" i="7"/>
  <c r="AD1498" i="7"/>
  <c r="AD1497" i="7"/>
  <c r="AD1496" i="7"/>
  <c r="AL1439" i="7"/>
  <c r="AO1439" i="7" s="1"/>
  <c r="AL1440" i="7"/>
  <c r="AO1440" i="7" s="1"/>
  <c r="AL1441" i="7"/>
  <c r="AO1441" i="7" s="1"/>
  <c r="AL1442" i="7"/>
  <c r="AO1442" i="7" s="1"/>
  <c r="AL1443" i="7"/>
  <c r="AO1443" i="7" s="1"/>
  <c r="AL1444" i="7"/>
  <c r="AO1444" i="7" s="1"/>
  <c r="AL1445" i="7"/>
  <c r="AO1445" i="7" s="1"/>
  <c r="AL1446" i="7"/>
  <c r="AO1446" i="7" s="1"/>
  <c r="AL1447" i="7"/>
  <c r="AO1447" i="7" s="1"/>
  <c r="AL1448" i="7"/>
  <c r="AO1448" i="7" s="1"/>
  <c r="AL1449" i="7"/>
  <c r="AO1449" i="7" s="1"/>
  <c r="AL1450" i="7"/>
  <c r="AO1450" i="7" s="1"/>
  <c r="AL1451" i="7"/>
  <c r="AO1451" i="7" s="1"/>
  <c r="AL1452" i="7"/>
  <c r="AO1452" i="7" s="1"/>
  <c r="AL1453" i="7"/>
  <c r="AO1453" i="7" s="1"/>
  <c r="AL1454" i="7"/>
  <c r="AO1454" i="7" s="1"/>
  <c r="AL1455" i="7"/>
  <c r="AO1455" i="7" s="1"/>
  <c r="AL1456" i="7"/>
  <c r="AO1456" i="7" s="1"/>
  <c r="AL1457" i="7"/>
  <c r="AO1457" i="7" s="1"/>
  <c r="AL1458" i="7"/>
  <c r="AO1458" i="7" s="1"/>
  <c r="AL1459" i="7"/>
  <c r="AO1459" i="7" s="1"/>
  <c r="AL1460" i="7"/>
  <c r="AO1460" i="7" s="1"/>
  <c r="AL1461" i="7"/>
  <c r="AO1461" i="7" s="1"/>
  <c r="AL1462" i="7"/>
  <c r="AO1462" i="7" s="1"/>
  <c r="AL1463" i="7"/>
  <c r="AO1463" i="7" s="1"/>
  <c r="AL1464" i="7"/>
  <c r="AO1464" i="7" s="1"/>
  <c r="AL1465" i="7"/>
  <c r="AO1465" i="7" s="1"/>
  <c r="AL1466" i="7"/>
  <c r="AO1466" i="7" s="1"/>
  <c r="AL1467" i="7"/>
  <c r="AO1467" i="7" s="1"/>
  <c r="AL1468" i="7"/>
  <c r="AO1468" i="7" s="1"/>
  <c r="AL1469" i="7"/>
  <c r="AO1469" i="7" s="1"/>
  <c r="AL1470" i="7"/>
  <c r="AO1470" i="7" s="1"/>
  <c r="AL1471" i="7"/>
  <c r="AO1471" i="7" s="1"/>
  <c r="AL1472" i="7"/>
  <c r="AO1472" i="7" s="1"/>
  <c r="AL1473" i="7"/>
  <c r="AO1473" i="7" s="1"/>
  <c r="AL1474" i="7"/>
  <c r="AO1474" i="7" s="1"/>
  <c r="AL1475" i="7"/>
  <c r="AO1475" i="7" s="1"/>
  <c r="AL1476" i="7"/>
  <c r="AO1476" i="7" s="1"/>
  <c r="AL1477" i="7"/>
  <c r="AO1477" i="7" s="1"/>
  <c r="AL1478" i="7"/>
  <c r="AO1478" i="7" s="1"/>
  <c r="AL1479" i="7"/>
  <c r="AO1479" i="7" s="1"/>
  <c r="AL1480" i="7"/>
  <c r="AO1480" i="7" s="1"/>
  <c r="AL1481" i="7"/>
  <c r="AO1481" i="7" s="1"/>
  <c r="AL1482" i="7"/>
  <c r="AO1482" i="7" s="1"/>
  <c r="AL1483" i="7"/>
  <c r="AO1483" i="7" s="1"/>
  <c r="AL1484" i="7"/>
  <c r="AO1484" i="7" s="1"/>
  <c r="AL1485" i="7"/>
  <c r="AO1485" i="7" s="1"/>
  <c r="AL1486" i="7"/>
  <c r="AO1486" i="7" s="1"/>
  <c r="AL1487" i="7"/>
  <c r="AO1487" i="7" s="1"/>
  <c r="AL1488" i="7"/>
  <c r="AO1488" i="7" s="1"/>
  <c r="AL1489" i="7"/>
  <c r="AO1489" i="7" s="1"/>
  <c r="AL1490" i="7"/>
  <c r="AO1490" i="7" s="1"/>
  <c r="AL1491" i="7"/>
  <c r="AO1491" i="7" s="1"/>
  <c r="AL1492" i="7"/>
  <c r="AO1492" i="7" s="1"/>
  <c r="AL1493" i="7"/>
  <c r="AO1493" i="7" s="1"/>
  <c r="AL1494" i="7"/>
  <c r="AO1494" i="7" s="1"/>
  <c r="AL1495" i="7"/>
  <c r="AO1495" i="7" s="1"/>
  <c r="AD1495" i="7"/>
  <c r="AI1495" i="7" s="1"/>
  <c r="AD1494" i="7"/>
  <c r="AI1494" i="7" s="1"/>
  <c r="AD1493" i="7"/>
  <c r="AI1493" i="7" s="1"/>
  <c r="AD1492" i="7"/>
  <c r="AI1492" i="7" s="1"/>
  <c r="AD1491" i="7"/>
  <c r="AI1491" i="7" s="1"/>
  <c r="AD1490" i="7"/>
  <c r="AI1490" i="7" s="1"/>
  <c r="AD1489" i="7"/>
  <c r="AI1489" i="7" s="1"/>
  <c r="AD1488" i="7"/>
  <c r="AI1488" i="7" s="1"/>
  <c r="AD1487" i="7"/>
  <c r="AI1487" i="7" s="1"/>
  <c r="AD1486" i="7"/>
  <c r="AI1486" i="7" s="1"/>
  <c r="AD1485" i="7"/>
  <c r="AI1485" i="7" s="1"/>
  <c r="AD1484" i="7"/>
  <c r="AI1484" i="7" s="1"/>
  <c r="AD1483" i="7"/>
  <c r="AI1483" i="7" s="1"/>
  <c r="AD1482" i="7"/>
  <c r="AI1482" i="7" s="1"/>
  <c r="AD1481" i="7"/>
  <c r="AI1481" i="7" s="1"/>
  <c r="AD1480" i="7"/>
  <c r="AI1480" i="7" s="1"/>
  <c r="AD1479" i="7"/>
  <c r="AI1479" i="7" s="1"/>
  <c r="AD1478" i="7"/>
  <c r="AI1478" i="7" s="1"/>
  <c r="AD1477" i="7"/>
  <c r="AI1477" i="7" s="1"/>
  <c r="AD1476" i="7"/>
  <c r="AI1476" i="7" s="1"/>
  <c r="AD1475" i="7"/>
  <c r="AI1475" i="7" s="1"/>
  <c r="AD1474" i="7"/>
  <c r="AI1474" i="7" s="1"/>
  <c r="AD1473" i="7"/>
  <c r="AI1473" i="7" s="1"/>
  <c r="AD1472" i="7"/>
  <c r="AI1472" i="7" s="1"/>
  <c r="AD1471" i="7"/>
  <c r="AI1471" i="7" s="1"/>
  <c r="AD1470" i="7"/>
  <c r="AI1470" i="7" s="1"/>
  <c r="AD1469" i="7"/>
  <c r="AI1469" i="7" s="1"/>
  <c r="AD1468" i="7"/>
  <c r="AI1468" i="7" s="1"/>
  <c r="AD1467" i="7"/>
  <c r="AI1467" i="7" s="1"/>
  <c r="AD1466" i="7"/>
  <c r="AI1466" i="7" s="1"/>
  <c r="AD1465" i="7"/>
  <c r="AI1465" i="7" s="1"/>
  <c r="AD1464" i="7"/>
  <c r="AI1464" i="7" s="1"/>
  <c r="AD1463" i="7"/>
  <c r="AI1463" i="7" s="1"/>
  <c r="AD1462" i="7"/>
  <c r="AI1462" i="7" s="1"/>
  <c r="AD1461" i="7"/>
  <c r="AI1461" i="7" s="1"/>
  <c r="AD1460" i="7"/>
  <c r="AI1460" i="7" s="1"/>
  <c r="AD1459" i="7"/>
  <c r="AI1459" i="7" s="1"/>
  <c r="AD1458" i="7"/>
  <c r="AI1458" i="7" s="1"/>
  <c r="AD1457" i="7"/>
  <c r="AI1457" i="7" s="1"/>
  <c r="AD1456" i="7"/>
  <c r="AI1456" i="7" s="1"/>
  <c r="AD1455" i="7"/>
  <c r="AI1455" i="7" s="1"/>
  <c r="AD1454" i="7"/>
  <c r="AI1454" i="7" s="1"/>
  <c r="AD1453" i="7"/>
  <c r="AI1453" i="7" s="1"/>
  <c r="AD1452" i="7"/>
  <c r="AI1452" i="7" s="1"/>
  <c r="AD1451" i="7"/>
  <c r="AI1451" i="7" s="1"/>
  <c r="AD1450" i="7"/>
  <c r="AI1450" i="7" s="1"/>
  <c r="AD1449" i="7"/>
  <c r="AI1449" i="7" s="1"/>
  <c r="AD1448" i="7"/>
  <c r="AI1448" i="7" s="1"/>
  <c r="AD1447" i="7"/>
  <c r="AI1447" i="7" s="1"/>
  <c r="AD1446" i="7"/>
  <c r="AI1446" i="7" s="1"/>
  <c r="AD1445" i="7"/>
  <c r="AI1445" i="7" s="1"/>
  <c r="AD1444" i="7"/>
  <c r="AI1444" i="7" s="1"/>
  <c r="AD1443" i="7"/>
  <c r="AI1443" i="7" s="1"/>
  <c r="AD1442" i="7"/>
  <c r="AI1442" i="7" s="1"/>
  <c r="AD1441" i="7"/>
  <c r="AI1441" i="7" s="1"/>
  <c r="AD1440" i="7"/>
  <c r="AI1440" i="7" s="1"/>
  <c r="AD1439" i="7"/>
  <c r="AI1439" i="7" s="1"/>
  <c r="AD1437" i="7"/>
  <c r="AI1437" i="7" s="1"/>
  <c r="AD1438" i="7"/>
  <c r="AI1438" i="7" s="1"/>
  <c r="AD1436" i="7"/>
  <c r="AI1436" i="7" s="1"/>
  <c r="AD1435" i="7"/>
  <c r="AI1435" i="7" s="1"/>
  <c r="Y336" i="6"/>
  <c r="AA336" i="6" s="1"/>
  <c r="Y337" i="6"/>
  <c r="AA337" i="6" s="1"/>
  <c r="Y338" i="6"/>
  <c r="AA338" i="6" s="1"/>
  <c r="Y335" i="6"/>
  <c r="AA335" i="6" s="1"/>
  <c r="Y332" i="6"/>
  <c r="AA332" i="6" s="1"/>
  <c r="Y333" i="6"/>
  <c r="AA333" i="6" s="1"/>
  <c r="Y334" i="6"/>
  <c r="AA334" i="6" s="1"/>
  <c r="Y331" i="6"/>
  <c r="AA331" i="6" s="1"/>
  <c r="AD1434" i="7"/>
  <c r="AI1434" i="7" s="1"/>
  <c r="AD1433" i="7"/>
  <c r="AI1433" i="7" s="1"/>
  <c r="AD1432" i="7"/>
  <c r="AI1432" i="7" s="1"/>
  <c r="AD1431" i="7"/>
  <c r="AI1431" i="7" s="1"/>
  <c r="AE1428" i="7"/>
  <c r="AE1429" i="7"/>
  <c r="AE1430" i="7"/>
  <c r="AE1427" i="7"/>
  <c r="AD1428" i="7"/>
  <c r="AD1429" i="7"/>
  <c r="AD1430" i="7"/>
  <c r="AD1427" i="7"/>
  <c r="AJ72" i="10" l="1"/>
  <c r="AJ73" i="10"/>
  <c r="AJ71" i="10"/>
  <c r="AI1509" i="7"/>
  <c r="AP1537" i="7"/>
  <c r="AP1536" i="7"/>
  <c r="AI1507" i="7"/>
  <c r="AI1499" i="7"/>
  <c r="AP1535" i="7"/>
  <c r="AP1485" i="7"/>
  <c r="AP1446" i="7"/>
  <c r="AI1504" i="7"/>
  <c r="AP1488" i="7"/>
  <c r="AI1501" i="7"/>
  <c r="AP1453" i="7"/>
  <c r="AI1510" i="7"/>
  <c r="AI1502" i="7"/>
  <c r="AI1430" i="7"/>
  <c r="AP1493" i="7"/>
  <c r="AP1478" i="7"/>
  <c r="AP1494" i="7"/>
  <c r="AP1457" i="7"/>
  <c r="AI1498" i="7"/>
  <c r="AP1495" i="7"/>
  <c r="AP1471" i="7"/>
  <c r="AI1503" i="7"/>
  <c r="AP1464" i="7"/>
  <c r="AI1511" i="7"/>
  <c r="AP1454" i="7"/>
  <c r="AP1461" i="7"/>
  <c r="AP1487" i="7"/>
  <c r="AI1427" i="7"/>
  <c r="AI1506" i="7"/>
  <c r="AI1429" i="7"/>
  <c r="AP1492" i="7"/>
  <c r="AP1477" i="7"/>
  <c r="AP1470" i="7"/>
  <c r="AP1456" i="7"/>
  <c r="AP1491" i="7"/>
  <c r="AP1469" i="7"/>
  <c r="AP1462" i="7"/>
  <c r="AP1455" i="7"/>
  <c r="AI1428" i="7"/>
  <c r="AP1490" i="7"/>
  <c r="AP1483" i="7"/>
  <c r="AP1476" i="7"/>
  <c r="AP1440" i="7"/>
  <c r="AI1508" i="7"/>
  <c r="AI1500" i="7"/>
  <c r="AP1445" i="7"/>
  <c r="AP1489" i="7"/>
  <c r="AP1482" i="7"/>
  <c r="AP1475" i="7"/>
  <c r="AP1468" i="7"/>
  <c r="AP1439" i="7"/>
  <c r="AI1505" i="7"/>
  <c r="AI1497" i="7"/>
  <c r="AP1481" i="7"/>
  <c r="AP1474" i="7"/>
  <c r="AP1467" i="7"/>
  <c r="AI1496" i="7"/>
  <c r="AP1442" i="7"/>
  <c r="AP1480" i="7"/>
  <c r="AP1473" i="7"/>
  <c r="AP1466" i="7"/>
  <c r="AP1448" i="7"/>
  <c r="AP1450" i="7"/>
  <c r="AP1486" i="7"/>
  <c r="AP1479" i="7"/>
  <c r="AP1472" i="7"/>
  <c r="AP1465" i="7"/>
  <c r="AP1458" i="7"/>
  <c r="AP1447" i="7"/>
  <c r="AP1451" i="7"/>
  <c r="AP1459" i="7"/>
  <c r="AP1449" i="7"/>
  <c r="AP1441" i="7"/>
  <c r="AP1443" i="7"/>
  <c r="AP1463" i="7"/>
  <c r="AP1484" i="7"/>
  <c r="AP1460" i="7"/>
  <c r="AP1452" i="7"/>
  <c r="AP1444" i="7"/>
  <c r="V58" i="8"/>
  <c r="V57" i="8"/>
  <c r="V56" i="8"/>
  <c r="AV59" i="8"/>
  <c r="Q59" i="8"/>
  <c r="O59" i="8"/>
  <c r="AK58" i="8"/>
  <c r="AV58" i="8"/>
  <c r="AB58" i="8"/>
  <c r="Z58" i="8"/>
  <c r="U58" i="8"/>
  <c r="Q58" i="8"/>
  <c r="O58" i="8"/>
  <c r="AK57" i="8"/>
  <c r="AV57" i="8"/>
  <c r="AB57" i="8"/>
  <c r="Z57" i="8"/>
  <c r="U57" i="8"/>
  <c r="Q57" i="8"/>
  <c r="O57" i="8"/>
  <c r="AK56" i="8"/>
  <c r="AV56" i="8"/>
  <c r="AB56" i="8"/>
  <c r="Z56" i="8"/>
  <c r="U56" i="8"/>
  <c r="Q56" i="8"/>
  <c r="O56" i="8"/>
  <c r="AI25" i="8"/>
  <c r="AI56" i="8" l="1"/>
  <c r="AO56" i="8" s="1"/>
  <c r="AI59" i="8"/>
  <c r="AO59" i="8" s="1"/>
  <c r="AI58" i="8"/>
  <c r="AO58" i="8" s="1"/>
  <c r="AI57" i="8"/>
  <c r="AO57" i="8" s="1"/>
  <c r="O408" i="7" l="1"/>
  <c r="X408" i="7"/>
  <c r="AI414" i="7" l="1"/>
  <c r="Y17" i="7"/>
  <c r="AE17" i="7" s="1"/>
  <c r="Y16" i="7"/>
  <c r="AE16" i="7" s="1"/>
  <c r="Y15" i="7"/>
  <c r="AE15" i="7" s="1"/>
  <c r="Y14" i="7"/>
  <c r="AE14" i="7" s="1"/>
  <c r="Y13" i="7"/>
  <c r="AE13" i="7" s="1"/>
  <c r="Y12" i="7"/>
  <c r="AE12" i="7" s="1"/>
  <c r="W17" i="7"/>
  <c r="AD17" i="7" s="1"/>
  <c r="W16" i="7"/>
  <c r="AD16" i="7" s="1"/>
  <c r="W15" i="7"/>
  <c r="AD15" i="7" s="1"/>
  <c r="W14" i="7"/>
  <c r="AD14" i="7" s="1"/>
  <c r="W13" i="7"/>
  <c r="AD13" i="7" s="1"/>
  <c r="W12" i="7"/>
  <c r="AD12" i="7" s="1"/>
  <c r="AL9" i="8" l="1"/>
  <c r="AE360" i="11"/>
  <c r="AP360" i="11" s="1"/>
  <c r="AE359" i="11"/>
  <c r="AP359" i="11" s="1"/>
  <c r="AE358" i="11"/>
  <c r="AP358" i="11" s="1"/>
  <c r="AO360" i="11"/>
  <c r="AO359" i="11"/>
  <c r="AO358" i="11"/>
  <c r="AK360" i="11"/>
  <c r="AK359" i="11"/>
  <c r="AK358" i="11"/>
  <c r="AE357" i="11"/>
  <c r="AP357" i="11" s="1"/>
  <c r="AE356" i="11"/>
  <c r="AP356" i="11" s="1"/>
  <c r="AE355" i="11"/>
  <c r="AP355" i="11" s="1"/>
  <c r="AO355" i="11"/>
  <c r="AO357" i="11"/>
  <c r="AO356" i="11"/>
  <c r="AK357" i="11"/>
  <c r="AK356" i="11"/>
  <c r="AK355" i="11"/>
  <c r="AF354" i="11"/>
  <c r="AF353" i="11"/>
  <c r="AF352" i="11"/>
  <c r="AF345" i="11"/>
  <c r="AF344" i="11"/>
  <c r="AF346" i="11"/>
  <c r="AF343" i="11"/>
  <c r="AF337" i="11"/>
  <c r="AF336" i="11"/>
  <c r="AF335" i="11"/>
  <c r="AF334" i="11"/>
  <c r="AB354" i="11"/>
  <c r="AB353" i="11"/>
  <c r="AB352" i="11"/>
  <c r="AB351" i="11"/>
  <c r="AB350" i="11"/>
  <c r="AB349" i="11"/>
  <c r="AB348" i="11"/>
  <c r="AB347" i="11"/>
  <c r="AB346" i="11"/>
  <c r="AB345" i="11"/>
  <c r="AB344" i="11"/>
  <c r="AB343" i="11"/>
  <c r="AB342" i="11"/>
  <c r="AB341" i="11"/>
  <c r="AB340" i="11"/>
  <c r="AB339" i="11"/>
  <c r="AB338" i="11"/>
  <c r="AB337" i="11"/>
  <c r="AB336" i="11"/>
  <c r="AB335" i="11"/>
  <c r="AB334" i="11"/>
  <c r="AB333" i="11"/>
  <c r="AB332" i="11"/>
  <c r="AB331" i="11"/>
  <c r="AB330" i="11"/>
  <c r="AB329" i="11"/>
  <c r="R354" i="11"/>
  <c r="R353" i="11"/>
  <c r="R352" i="11"/>
  <c r="R346" i="11"/>
  <c r="R345" i="11"/>
  <c r="R344" i="11"/>
  <c r="R343" i="11"/>
  <c r="R337" i="11"/>
  <c r="R336" i="11"/>
  <c r="R335" i="11"/>
  <c r="R334" i="11"/>
  <c r="P348" i="11"/>
  <c r="P349" i="11"/>
  <c r="P350" i="11"/>
  <c r="P351" i="11"/>
  <c r="P352" i="11"/>
  <c r="P353" i="11"/>
  <c r="P354" i="11"/>
  <c r="P347" i="11"/>
  <c r="P330" i="11"/>
  <c r="P331" i="11"/>
  <c r="P332" i="11"/>
  <c r="P333" i="11"/>
  <c r="P334" i="11"/>
  <c r="P335" i="11"/>
  <c r="P336" i="11"/>
  <c r="P337" i="11"/>
  <c r="P338" i="11"/>
  <c r="P339" i="11"/>
  <c r="P340" i="11"/>
  <c r="P341" i="11"/>
  <c r="P342" i="11"/>
  <c r="P343" i="11"/>
  <c r="P344" i="11"/>
  <c r="P345" i="11"/>
  <c r="P346" i="11"/>
  <c r="P329" i="11"/>
  <c r="AA354" i="11"/>
  <c r="AO354" i="11" s="1"/>
  <c r="AA353" i="11"/>
  <c r="AO353" i="11" s="1"/>
  <c r="AA352" i="11"/>
  <c r="AO352" i="11" s="1"/>
  <c r="AA350" i="11"/>
  <c r="AO350" i="11" s="1"/>
  <c r="AR350" i="11" s="1"/>
  <c r="AA346" i="11"/>
  <c r="AA345" i="11"/>
  <c r="AO345" i="11" s="1"/>
  <c r="AA344" i="11"/>
  <c r="AO344" i="11" s="1"/>
  <c r="AA343" i="11"/>
  <c r="AO343" i="11" s="1"/>
  <c r="AA342" i="11"/>
  <c r="AO342" i="11" s="1"/>
  <c r="AR342" i="11" s="1"/>
  <c r="AA341" i="11"/>
  <c r="AO341" i="11" s="1"/>
  <c r="AR341" i="11" s="1"/>
  <c r="AA340" i="11"/>
  <c r="AO340" i="11" s="1"/>
  <c r="AR340" i="11" s="1"/>
  <c r="AA339" i="11"/>
  <c r="AO339" i="11" s="1"/>
  <c r="AR339" i="11" s="1"/>
  <c r="AA338" i="11"/>
  <c r="AO338" i="11" s="1"/>
  <c r="AR338" i="11" s="1"/>
  <c r="AA335" i="11"/>
  <c r="AO335" i="11" s="1"/>
  <c r="AA332" i="11"/>
  <c r="AO332" i="11" s="1"/>
  <c r="AR332" i="11" s="1"/>
  <c r="AA329" i="11"/>
  <c r="AO329" i="11" s="1"/>
  <c r="AR329" i="11" s="1"/>
  <c r="AA330" i="11"/>
  <c r="AO330" i="11" s="1"/>
  <c r="AR330" i="11" s="1"/>
  <c r="AA331" i="11"/>
  <c r="AO331" i="11" s="1"/>
  <c r="AR331" i="11" s="1"/>
  <c r="AA333" i="11"/>
  <c r="AA334" i="11"/>
  <c r="AO334" i="11" s="1"/>
  <c r="AE334" i="11"/>
  <c r="AP334" i="11" s="1"/>
  <c r="AE335" i="11"/>
  <c r="AP335" i="11" s="1"/>
  <c r="AA336" i="11"/>
  <c r="AO336" i="11" s="1"/>
  <c r="AE336" i="11"/>
  <c r="AP336" i="11" s="1"/>
  <c r="AA337" i="11"/>
  <c r="AO337" i="11" s="1"/>
  <c r="AE337" i="11"/>
  <c r="AP337" i="11" s="1"/>
  <c r="AE338" i="11"/>
  <c r="AF338" i="11"/>
  <c r="AE339" i="11"/>
  <c r="AF339" i="11"/>
  <c r="AE340" i="11"/>
  <c r="AF340" i="11"/>
  <c r="AE341" i="11"/>
  <c r="AF341" i="11"/>
  <c r="AE342" i="11"/>
  <c r="AF342" i="11"/>
  <c r="AE343" i="11"/>
  <c r="AP343" i="11" s="1"/>
  <c r="AE344" i="11"/>
  <c r="AP344" i="11" s="1"/>
  <c r="AE345" i="11"/>
  <c r="AP345" i="11" s="1"/>
  <c r="AE346" i="11"/>
  <c r="AP346" i="11" s="1"/>
  <c r="AA347" i="11"/>
  <c r="AO347" i="11" s="1"/>
  <c r="AR347" i="11" s="1"/>
  <c r="AE347" i="11"/>
  <c r="AF347" i="11"/>
  <c r="AA348" i="11"/>
  <c r="AO348" i="11" s="1"/>
  <c r="AR348" i="11" s="1"/>
  <c r="AE348" i="11"/>
  <c r="AF348" i="11"/>
  <c r="AA349" i="11"/>
  <c r="AO349" i="11" s="1"/>
  <c r="AR349" i="11" s="1"/>
  <c r="AE349" i="11"/>
  <c r="AF349" i="11"/>
  <c r="AE350" i="11"/>
  <c r="AF350" i="11"/>
  <c r="AA351" i="11"/>
  <c r="AE351" i="11"/>
  <c r="AF351" i="11"/>
  <c r="AE352" i="11"/>
  <c r="AP352" i="11" s="1"/>
  <c r="AE353" i="11"/>
  <c r="AP353" i="11" s="1"/>
  <c r="AE354" i="11"/>
  <c r="AP354" i="11" s="1"/>
  <c r="AK354" i="11"/>
  <c r="AZ354" i="11" s="1"/>
  <c r="AK353" i="11"/>
  <c r="AZ353" i="11" s="1"/>
  <c r="AK352" i="11"/>
  <c r="AZ352" i="11" s="1"/>
  <c r="AK351" i="11"/>
  <c r="AZ351" i="11" s="1"/>
  <c r="AK350" i="11"/>
  <c r="AZ350" i="11" s="1"/>
  <c r="AK349" i="11"/>
  <c r="AZ349" i="11" s="1"/>
  <c r="AK348" i="11"/>
  <c r="AZ348" i="11" s="1"/>
  <c r="AK347" i="11"/>
  <c r="AZ347" i="11" s="1"/>
  <c r="AK346" i="11"/>
  <c r="AZ346" i="11" s="1"/>
  <c r="AK345" i="11"/>
  <c r="AZ345" i="11" s="1"/>
  <c r="AK344" i="11"/>
  <c r="AZ344" i="11" s="1"/>
  <c r="AK343" i="11"/>
  <c r="AZ343" i="11" s="1"/>
  <c r="AK342" i="11"/>
  <c r="AZ342" i="11" s="1"/>
  <c r="AK341" i="11"/>
  <c r="AZ341" i="11" s="1"/>
  <c r="AK340" i="11"/>
  <c r="AZ340" i="11" s="1"/>
  <c r="AK339" i="11"/>
  <c r="AZ339" i="11" s="1"/>
  <c r="AK338" i="11"/>
  <c r="AZ338" i="11" s="1"/>
  <c r="AK337" i="11"/>
  <c r="AZ337" i="11" s="1"/>
  <c r="AK336" i="11"/>
  <c r="AZ336" i="11" s="1"/>
  <c r="AK335" i="11"/>
  <c r="AZ335" i="11" s="1"/>
  <c r="AK334" i="11"/>
  <c r="AZ334" i="11" s="1"/>
  <c r="AK333" i="11"/>
  <c r="AZ333" i="11" s="1"/>
  <c r="AK332" i="11"/>
  <c r="AZ332" i="11" s="1"/>
  <c r="AK331" i="11"/>
  <c r="AZ331" i="11" s="1"/>
  <c r="AK330" i="11"/>
  <c r="AZ330" i="11" s="1"/>
  <c r="AK329" i="11"/>
  <c r="AZ329" i="11" s="1"/>
  <c r="AF311" i="11"/>
  <c r="AF312" i="11"/>
  <c r="AF313" i="11"/>
  <c r="AF314" i="11"/>
  <c r="AF315" i="11"/>
  <c r="AF320" i="11"/>
  <c r="AF321" i="11"/>
  <c r="AF322" i="11"/>
  <c r="AF323" i="11"/>
  <c r="AF324" i="11"/>
  <c r="AE308" i="11"/>
  <c r="AP308" i="11" s="1"/>
  <c r="AE309" i="11"/>
  <c r="AP309" i="11" s="1"/>
  <c r="AE310" i="11"/>
  <c r="AP310" i="11" s="1"/>
  <c r="AE311" i="11"/>
  <c r="AE312" i="11"/>
  <c r="AE313" i="11"/>
  <c r="AE314" i="11"/>
  <c r="AE315" i="11"/>
  <c r="AE316" i="11"/>
  <c r="AP316" i="11" s="1"/>
  <c r="AE317" i="11"/>
  <c r="AP317" i="11" s="1"/>
  <c r="AE318" i="11"/>
  <c r="AP318" i="11" s="1"/>
  <c r="AE319" i="11"/>
  <c r="AP319" i="11" s="1"/>
  <c r="AE320" i="11"/>
  <c r="AE321" i="11"/>
  <c r="AE322" i="11"/>
  <c r="AE323" i="11"/>
  <c r="AE324" i="11"/>
  <c r="AE325" i="11"/>
  <c r="AP325" i="11" s="1"/>
  <c r="AE326" i="11"/>
  <c r="AP326" i="11" s="1"/>
  <c r="AE327" i="11"/>
  <c r="AP327" i="11" s="1"/>
  <c r="AE328" i="11"/>
  <c r="AP328" i="11" s="1"/>
  <c r="AE307" i="11"/>
  <c r="AP307" i="11" s="1"/>
  <c r="AA328" i="11"/>
  <c r="AO328" i="11" s="1"/>
  <c r="AA327" i="11"/>
  <c r="AO327" i="11" s="1"/>
  <c r="AA326" i="11"/>
  <c r="AO326" i="11" s="1"/>
  <c r="AA325" i="11"/>
  <c r="AO325" i="11" s="1"/>
  <c r="AR325" i="11" s="1"/>
  <c r="AA324" i="11"/>
  <c r="AO324" i="11" s="1"/>
  <c r="AR324" i="11" s="1"/>
  <c r="AA323" i="11"/>
  <c r="AO323" i="11" s="1"/>
  <c r="AR323" i="11" s="1"/>
  <c r="AA322" i="11"/>
  <c r="AO322" i="11" s="1"/>
  <c r="AR322" i="11" s="1"/>
  <c r="AA321" i="11"/>
  <c r="AO321" i="11" s="1"/>
  <c r="AR321" i="11" s="1"/>
  <c r="AA320" i="11"/>
  <c r="AO320" i="11" s="1"/>
  <c r="AR320" i="11" s="1"/>
  <c r="AA319" i="11"/>
  <c r="AO319" i="11" s="1"/>
  <c r="AA318" i="11"/>
  <c r="AO318" i="11" s="1"/>
  <c r="AA317" i="11"/>
  <c r="AO317" i="11" s="1"/>
  <c r="AR317" i="11" s="1"/>
  <c r="AA316" i="11"/>
  <c r="AO316" i="11" s="1"/>
  <c r="AA315" i="11"/>
  <c r="AO315" i="11" s="1"/>
  <c r="AR315" i="11" s="1"/>
  <c r="AA314" i="11"/>
  <c r="AO314" i="11" s="1"/>
  <c r="AR314" i="11" s="1"/>
  <c r="AA313" i="11"/>
  <c r="AO313" i="11" s="1"/>
  <c r="AR313" i="11" s="1"/>
  <c r="AA312" i="11"/>
  <c r="AO312" i="11" s="1"/>
  <c r="AR312" i="11" s="1"/>
  <c r="AA311" i="11"/>
  <c r="AO311" i="11" s="1"/>
  <c r="AR311" i="11" s="1"/>
  <c r="AA310" i="11"/>
  <c r="AO310" i="11" s="1"/>
  <c r="AA309" i="11"/>
  <c r="AO309" i="11" s="1"/>
  <c r="AA308" i="11"/>
  <c r="AO308" i="11" s="1"/>
  <c r="AA307" i="11"/>
  <c r="AO307" i="11" s="1"/>
  <c r="AA306" i="11"/>
  <c r="AO306" i="11" s="1"/>
  <c r="AR306" i="11" s="1"/>
  <c r="AA305" i="11"/>
  <c r="AO305" i="11" s="1"/>
  <c r="AR305" i="11" s="1"/>
  <c r="AA304" i="11"/>
  <c r="AO304" i="11" s="1"/>
  <c r="AR304" i="11" s="1"/>
  <c r="AA303" i="11"/>
  <c r="AO303" i="11" s="1"/>
  <c r="AR303" i="11" s="1"/>
  <c r="AA302" i="11"/>
  <c r="AO302" i="11" s="1"/>
  <c r="AR302" i="11" s="1"/>
  <c r="AF328" i="11"/>
  <c r="AF327" i="11"/>
  <c r="AF326" i="11"/>
  <c r="AF325" i="11"/>
  <c r="AF319" i="11"/>
  <c r="AF318" i="11"/>
  <c r="AF317" i="11"/>
  <c r="AF316" i="11"/>
  <c r="AF310" i="11"/>
  <c r="AF309" i="11"/>
  <c r="AF308" i="11"/>
  <c r="AF307" i="11"/>
  <c r="AB328" i="11"/>
  <c r="AB327" i="11"/>
  <c r="AB326" i="11"/>
  <c r="AB325" i="11"/>
  <c r="AB324" i="11"/>
  <c r="AB323" i="11"/>
  <c r="AB322" i="11"/>
  <c r="AB321" i="11"/>
  <c r="AB320" i="11"/>
  <c r="AB319" i="11"/>
  <c r="AB318" i="11"/>
  <c r="AB317" i="11"/>
  <c r="AB316" i="11"/>
  <c r="AB315" i="11"/>
  <c r="AB314" i="11"/>
  <c r="AB313" i="11"/>
  <c r="AB312" i="11"/>
  <c r="AB311" i="11"/>
  <c r="AB310" i="11"/>
  <c r="AB309" i="11"/>
  <c r="AB308" i="11"/>
  <c r="AB307" i="11"/>
  <c r="AB306" i="11"/>
  <c r="AB305" i="11"/>
  <c r="AB304" i="11"/>
  <c r="AB303" i="11"/>
  <c r="AB302" i="11"/>
  <c r="R328" i="11"/>
  <c r="R327" i="11"/>
  <c r="R326" i="11"/>
  <c r="R325" i="11"/>
  <c r="R319" i="11"/>
  <c r="R318" i="11"/>
  <c r="R317" i="11"/>
  <c r="R316" i="11"/>
  <c r="R310" i="11"/>
  <c r="R309" i="11"/>
  <c r="R308" i="11"/>
  <c r="R307" i="11"/>
  <c r="P328" i="11"/>
  <c r="P327" i="11"/>
  <c r="P326" i="11"/>
  <c r="P325" i="11"/>
  <c r="P324" i="11"/>
  <c r="P323" i="11"/>
  <c r="P322" i="11"/>
  <c r="P321" i="11"/>
  <c r="P320" i="11"/>
  <c r="P319" i="11"/>
  <c r="P318" i="11"/>
  <c r="P316" i="11"/>
  <c r="P315" i="11"/>
  <c r="P314" i="11"/>
  <c r="P313" i="11"/>
  <c r="P312" i="11"/>
  <c r="P311" i="11"/>
  <c r="P310" i="11"/>
  <c r="P309" i="11"/>
  <c r="P308" i="11"/>
  <c r="P306" i="11"/>
  <c r="P305" i="11"/>
  <c r="P304" i="11"/>
  <c r="P303" i="11"/>
  <c r="P307" i="11"/>
  <c r="P317" i="11"/>
  <c r="P302" i="11"/>
  <c r="AK328" i="11"/>
  <c r="AZ328" i="11" s="1"/>
  <c r="AK327" i="11"/>
  <c r="AZ327" i="11" s="1"/>
  <c r="AK326" i="11"/>
  <c r="AZ326" i="11" s="1"/>
  <c r="AK325" i="11"/>
  <c r="AZ325" i="11" s="1"/>
  <c r="AK324" i="11"/>
  <c r="AZ324" i="11" s="1"/>
  <c r="AK323" i="11"/>
  <c r="AZ323" i="11" s="1"/>
  <c r="AK322" i="11"/>
  <c r="AZ322" i="11" s="1"/>
  <c r="AK321" i="11"/>
  <c r="AZ321" i="11" s="1"/>
  <c r="AK320" i="11"/>
  <c r="AZ320" i="11" s="1"/>
  <c r="AK319" i="11"/>
  <c r="AZ319" i="11" s="1"/>
  <c r="AK318" i="11"/>
  <c r="AZ318" i="11" s="1"/>
  <c r="AK317" i="11"/>
  <c r="AZ317" i="11" s="1"/>
  <c r="AK316" i="11"/>
  <c r="AZ316" i="11" s="1"/>
  <c r="AK315" i="11"/>
  <c r="AZ315" i="11" s="1"/>
  <c r="AK314" i="11"/>
  <c r="AZ314" i="11" s="1"/>
  <c r="AK313" i="11"/>
  <c r="AZ313" i="11" s="1"/>
  <c r="AK312" i="11"/>
  <c r="AZ312" i="11" s="1"/>
  <c r="AK311" i="11"/>
  <c r="AZ311" i="11" s="1"/>
  <c r="AK310" i="11"/>
  <c r="AZ310" i="11" s="1"/>
  <c r="AK309" i="11"/>
  <c r="AZ309" i="11" s="1"/>
  <c r="AK308" i="11"/>
  <c r="AZ308" i="11" s="1"/>
  <c r="AK307" i="11"/>
  <c r="AZ307" i="11" s="1"/>
  <c r="AK306" i="11"/>
  <c r="AZ306" i="11" s="1"/>
  <c r="AK305" i="11"/>
  <c r="AZ305" i="11" s="1"/>
  <c r="AK304" i="11"/>
  <c r="AZ304" i="11" s="1"/>
  <c r="AK303" i="11"/>
  <c r="AZ303" i="11" s="1"/>
  <c r="AK302" i="11"/>
  <c r="AZ302" i="11" s="1"/>
  <c r="R93" i="5"/>
  <c r="P93" i="5"/>
  <c r="Q93" i="5" s="1"/>
  <c r="M93" i="5"/>
  <c r="N93" i="5" s="1"/>
  <c r="AE301" i="11"/>
  <c r="AP301" i="11" s="1"/>
  <c r="AE300" i="11"/>
  <c r="AP300" i="11" s="1"/>
  <c r="AF301" i="11"/>
  <c r="AF300" i="11"/>
  <c r="AB301" i="11"/>
  <c r="AB300" i="11"/>
  <c r="R301" i="11"/>
  <c r="R300" i="11"/>
  <c r="P301" i="11"/>
  <c r="P300" i="11"/>
  <c r="AK301" i="11"/>
  <c r="AK300" i="11"/>
  <c r="AA301" i="11"/>
  <c r="AO301" i="11" s="1"/>
  <c r="AA300" i="11"/>
  <c r="AO300" i="11" s="1"/>
  <c r="AK297" i="11"/>
  <c r="AK298" i="11"/>
  <c r="AK299" i="11"/>
  <c r="AA295" i="11"/>
  <c r="AO295" i="11" s="1"/>
  <c r="AR295" i="11" s="1"/>
  <c r="AA296" i="11"/>
  <c r="AO296" i="11" s="1"/>
  <c r="AA297" i="11"/>
  <c r="AO297" i="11" s="1"/>
  <c r="AA298" i="11"/>
  <c r="AO298" i="11" s="1"/>
  <c r="AA299" i="11"/>
  <c r="AO299" i="11" s="1"/>
  <c r="AR299" i="11" s="1"/>
  <c r="AA294" i="11"/>
  <c r="AO294" i="11" s="1"/>
  <c r="AK296" i="11"/>
  <c r="AK295" i="11"/>
  <c r="AK294" i="11"/>
  <c r="AO293" i="11"/>
  <c r="AR293" i="11" s="1"/>
  <c r="AO283" i="11"/>
  <c r="AR283" i="11" s="1"/>
  <c r="AO284" i="11"/>
  <c r="AR284" i="11" s="1"/>
  <c r="AO285" i="11"/>
  <c r="AR285" i="11" s="1"/>
  <c r="AO286" i="11"/>
  <c r="AR286" i="11" s="1"/>
  <c r="AO287" i="11"/>
  <c r="AR287" i="11" s="1"/>
  <c r="AO288" i="11"/>
  <c r="AR288" i="11" s="1"/>
  <c r="AO289" i="11"/>
  <c r="AR289" i="11" s="1"/>
  <c r="AO290" i="11"/>
  <c r="AR290" i="11" s="1"/>
  <c r="AO291" i="11"/>
  <c r="AR291" i="11" s="1"/>
  <c r="AO292" i="11"/>
  <c r="AR292" i="11" s="1"/>
  <c r="AO282" i="11"/>
  <c r="AR282" i="11" s="1"/>
  <c r="AB293" i="11"/>
  <c r="AB292" i="11"/>
  <c r="AB291" i="11"/>
  <c r="AB290" i="11"/>
  <c r="AB289" i="11"/>
  <c r="AB288" i="11"/>
  <c r="AB287" i="11"/>
  <c r="AB286" i="11"/>
  <c r="AB285" i="11"/>
  <c r="AB284" i="11"/>
  <c r="AB283" i="11"/>
  <c r="AB282" i="11"/>
  <c r="Z293" i="11"/>
  <c r="Z292" i="11"/>
  <c r="Z291" i="11"/>
  <c r="Z290" i="11"/>
  <c r="Z289" i="11"/>
  <c r="Z288" i="11"/>
  <c r="Z287" i="11"/>
  <c r="Z286" i="11"/>
  <c r="Z285" i="11"/>
  <c r="Z284" i="11"/>
  <c r="Z283" i="11"/>
  <c r="P293" i="11"/>
  <c r="P292" i="11"/>
  <c r="P291" i="11"/>
  <c r="P290" i="11"/>
  <c r="P289" i="11"/>
  <c r="P288" i="11"/>
  <c r="P287" i="11"/>
  <c r="P286" i="11"/>
  <c r="P285" i="11"/>
  <c r="P284" i="11"/>
  <c r="P283" i="11"/>
  <c r="P282" i="11"/>
  <c r="Z282" i="11"/>
  <c r="AE277" i="11"/>
  <c r="AP277" i="11" s="1"/>
  <c r="AE278" i="11"/>
  <c r="AP278" i="11" s="1"/>
  <c r="AE276" i="11"/>
  <c r="AP276" i="11" s="1"/>
  <c r="AA277" i="11"/>
  <c r="AO277" i="11" s="1"/>
  <c r="AA278" i="11"/>
  <c r="AO278" i="11" s="1"/>
  <c r="AA276" i="11"/>
  <c r="AO276" i="11" s="1"/>
  <c r="AA259" i="11"/>
  <c r="AO259" i="11" s="1"/>
  <c r="AR259" i="11" s="1"/>
  <c r="AA260" i="11"/>
  <c r="AO260" i="11" s="1"/>
  <c r="AR260" i="11" s="1"/>
  <c r="AA261" i="11"/>
  <c r="AO261" i="11" s="1"/>
  <c r="AR261" i="11" s="1"/>
  <c r="AA262" i="11"/>
  <c r="AO262" i="11" s="1"/>
  <c r="AR262" i="11" s="1"/>
  <c r="AA263" i="11"/>
  <c r="AO263" i="11" s="1"/>
  <c r="AR263" i="11" s="1"/>
  <c r="AA264" i="11"/>
  <c r="AO264" i="11" s="1"/>
  <c r="AR264" i="11" s="1"/>
  <c r="AA265" i="11"/>
  <c r="AO265" i="11" s="1"/>
  <c r="AR265" i="11" s="1"/>
  <c r="AA266" i="11"/>
  <c r="AO266" i="11" s="1"/>
  <c r="AR266" i="11" s="1"/>
  <c r="AA258" i="11"/>
  <c r="AO258" i="11" s="1"/>
  <c r="AR258" i="11" s="1"/>
  <c r="AQ257" i="11"/>
  <c r="AP257" i="11"/>
  <c r="AP256" i="11"/>
  <c r="AP255" i="11"/>
  <c r="AP254" i="11"/>
  <c r="AA254" i="11"/>
  <c r="AO254" i="11" s="1"/>
  <c r="AO255" i="11"/>
  <c r="AO256" i="11"/>
  <c r="AO257" i="11"/>
  <c r="AA252" i="11"/>
  <c r="AO252" i="11" s="1"/>
  <c r="AR252" i="11" s="1"/>
  <c r="AA253" i="11"/>
  <c r="AO253" i="11" s="1"/>
  <c r="AR253" i="11" s="1"/>
  <c r="AK252" i="11"/>
  <c r="AF251" i="11"/>
  <c r="AF250" i="11"/>
  <c r="AF249" i="11"/>
  <c r="AF248" i="11"/>
  <c r="AF247" i="11"/>
  <c r="AF246" i="11"/>
  <c r="AD247" i="11"/>
  <c r="AD248" i="11"/>
  <c r="AD249" i="11"/>
  <c r="AD250" i="11"/>
  <c r="AD251" i="11"/>
  <c r="AD246" i="11"/>
  <c r="Z251" i="11"/>
  <c r="AB251" i="11" s="1"/>
  <c r="Z250" i="11"/>
  <c r="AB250" i="11" s="1"/>
  <c r="Z249" i="11"/>
  <c r="AB249" i="11" s="1"/>
  <c r="Z248" i="11"/>
  <c r="AB248" i="11" s="1"/>
  <c r="Z247" i="11"/>
  <c r="AB247" i="11" s="1"/>
  <c r="Z246" i="11"/>
  <c r="AB246" i="11" s="1"/>
  <c r="R247" i="11"/>
  <c r="R248" i="11"/>
  <c r="R246" i="11"/>
  <c r="P251" i="11"/>
  <c r="P250" i="11"/>
  <c r="P249" i="11"/>
  <c r="P248" i="11"/>
  <c r="P247" i="11"/>
  <c r="P246" i="11"/>
  <c r="AE247" i="11"/>
  <c r="AP247" i="11" s="1"/>
  <c r="AE248" i="11"/>
  <c r="AP248" i="11" s="1"/>
  <c r="AE249" i="11"/>
  <c r="AP249" i="11" s="1"/>
  <c r="AE250" i="11"/>
  <c r="AP250" i="11" s="1"/>
  <c r="AE251" i="11"/>
  <c r="AP251" i="11" s="1"/>
  <c r="AE246" i="11"/>
  <c r="AP246" i="11" s="1"/>
  <c r="AA247" i="11"/>
  <c r="AO247" i="11" s="1"/>
  <c r="AA248" i="11"/>
  <c r="AO248" i="11" s="1"/>
  <c r="AA249" i="11"/>
  <c r="AO249" i="11" s="1"/>
  <c r="AA250" i="11"/>
  <c r="AO250" i="11" s="1"/>
  <c r="AA251" i="11"/>
  <c r="AO251" i="11" s="1"/>
  <c r="AA246" i="11"/>
  <c r="AO246" i="11" s="1"/>
  <c r="AZ250" i="11"/>
  <c r="AZ251" i="11"/>
  <c r="AZ249" i="11"/>
  <c r="AZ247" i="11"/>
  <c r="AZ248" i="11"/>
  <c r="AZ246" i="11"/>
  <c r="AK247" i="11"/>
  <c r="AK248" i="11"/>
  <c r="AK249" i="11"/>
  <c r="AK250" i="11"/>
  <c r="AK251" i="11"/>
  <c r="AK246" i="11"/>
  <c r="Y244" i="11"/>
  <c r="Y245" i="11"/>
  <c r="Y243" i="11"/>
  <c r="O244" i="11"/>
  <c r="O245" i="11"/>
  <c r="O243" i="11"/>
  <c r="AK244" i="11"/>
  <c r="AL244" i="11" s="1"/>
  <c r="AK245" i="11"/>
  <c r="AL245" i="11" s="1"/>
  <c r="AK243" i="11"/>
  <c r="AL243" i="11" s="1"/>
  <c r="AR309" i="11" l="1"/>
  <c r="AR356" i="11"/>
  <c r="AR359" i="11"/>
  <c r="AR358" i="11"/>
  <c r="AU309" i="11"/>
  <c r="AU317" i="11"/>
  <c r="AV310" i="11"/>
  <c r="AV318" i="11"/>
  <c r="AU292" i="11"/>
  <c r="AV309" i="11"/>
  <c r="AV327" i="11"/>
  <c r="AR308" i="11"/>
  <c r="AV301" i="11"/>
  <c r="AU305" i="11"/>
  <c r="AX305" i="11" s="1"/>
  <c r="AY305" i="11" s="1"/>
  <c r="AU313" i="11"/>
  <c r="AX313" i="11" s="1"/>
  <c r="AY313" i="11" s="1"/>
  <c r="AV307" i="11"/>
  <c r="AV325" i="11"/>
  <c r="AU306" i="11"/>
  <c r="AX306" i="11" s="1"/>
  <c r="AY306" i="11" s="1"/>
  <c r="AU314" i="11"/>
  <c r="AX314" i="11" s="1"/>
  <c r="AY314" i="11" s="1"/>
  <c r="AU322" i="11"/>
  <c r="AX322" i="11" s="1"/>
  <c r="AY322" i="11" s="1"/>
  <c r="AV326" i="11"/>
  <c r="AR355" i="11"/>
  <c r="AU325" i="11"/>
  <c r="AU302" i="11"/>
  <c r="AX302" i="11" s="1"/>
  <c r="AY302" i="11" s="1"/>
  <c r="AU310" i="11"/>
  <c r="AU318" i="11"/>
  <c r="AU326" i="11"/>
  <c r="AV317" i="11"/>
  <c r="AU301" i="11"/>
  <c r="AX301" i="11" s="1"/>
  <c r="AV300" i="11"/>
  <c r="AU323" i="11"/>
  <c r="AX323" i="11" s="1"/>
  <c r="AY323" i="11" s="1"/>
  <c r="AR316" i="11"/>
  <c r="AU324" i="11"/>
  <c r="AX324" i="11" s="1"/>
  <c r="AY324" i="11" s="1"/>
  <c r="AV328" i="11"/>
  <c r="AV308" i="11"/>
  <c r="AU308" i="11"/>
  <c r="AU316" i="11"/>
  <c r="AV316" i="11"/>
  <c r="AR319" i="11"/>
  <c r="AR327" i="11"/>
  <c r="AR360" i="11"/>
  <c r="AU315" i="11"/>
  <c r="AX315" i="11" s="1"/>
  <c r="AY315" i="11" s="1"/>
  <c r="AU303" i="11"/>
  <c r="AX303" i="11" s="1"/>
  <c r="AY303" i="11" s="1"/>
  <c r="AU311" i="11"/>
  <c r="AX311" i="11" s="1"/>
  <c r="AY311" i="11" s="1"/>
  <c r="AU319" i="11"/>
  <c r="AU327" i="11"/>
  <c r="AU304" i="11"/>
  <c r="AX304" i="11" s="1"/>
  <c r="AY304" i="11" s="1"/>
  <c r="AU312" i="11"/>
  <c r="AX312" i="11" s="1"/>
  <c r="AY312" i="11" s="1"/>
  <c r="AU320" i="11"/>
  <c r="AX320" i="11" s="1"/>
  <c r="AY320" i="11" s="1"/>
  <c r="AU328" i="11"/>
  <c r="AV319" i="11"/>
  <c r="AV352" i="11"/>
  <c r="AU321" i="11"/>
  <c r="AX321" i="11" s="1"/>
  <c r="AY321" i="11" s="1"/>
  <c r="AU307" i="11"/>
  <c r="AU300" i="11"/>
  <c r="AR310" i="11"/>
  <c r="AR326" i="11"/>
  <c r="AR357" i="11"/>
  <c r="AR328" i="11"/>
  <c r="AU344" i="11"/>
  <c r="AV354" i="11"/>
  <c r="AR307" i="11"/>
  <c r="AU284" i="11"/>
  <c r="AU285" i="11"/>
  <c r="AU293" i="11"/>
  <c r="AR318" i="11"/>
  <c r="AU339" i="11"/>
  <c r="AX339" i="11" s="1"/>
  <c r="AY339" i="11" s="1"/>
  <c r="AU342" i="11"/>
  <c r="AX342" i="11" s="1"/>
  <c r="AY342" i="11" s="1"/>
  <c r="U93" i="5"/>
  <c r="V93" i="5" s="1"/>
  <c r="AV345" i="11"/>
  <c r="AV337" i="11"/>
  <c r="AU349" i="11"/>
  <c r="AX349" i="11" s="1"/>
  <c r="AY349" i="11" s="1"/>
  <c r="AU351" i="11"/>
  <c r="AX351" i="11" s="1"/>
  <c r="AU346" i="11"/>
  <c r="AU333" i="11"/>
  <c r="AX333" i="11" s="1"/>
  <c r="AO351" i="11"/>
  <c r="AR351" i="11" s="1"/>
  <c r="AU348" i="11"/>
  <c r="AX348" i="11" s="1"/>
  <c r="AY348" i="11" s="1"/>
  <c r="AO346" i="11"/>
  <c r="AR346" i="11" s="1"/>
  <c r="AU337" i="11"/>
  <c r="AU336" i="11"/>
  <c r="AU334" i="11"/>
  <c r="AO333" i="11"/>
  <c r="AR333" i="11" s="1"/>
  <c r="AU331" i="11"/>
  <c r="AX331" i="11" s="1"/>
  <c r="AY331" i="11" s="1"/>
  <c r="AU330" i="11"/>
  <c r="AX330" i="11" s="1"/>
  <c r="AY330" i="11" s="1"/>
  <c r="AU329" i="11"/>
  <c r="AX329" i="11" s="1"/>
  <c r="AY329" i="11" s="1"/>
  <c r="AV353" i="11"/>
  <c r="AV346" i="11"/>
  <c r="AV343" i="11"/>
  <c r="AV335" i="11"/>
  <c r="AV334" i="11"/>
  <c r="AU347" i="11"/>
  <c r="AX347" i="11" s="1"/>
  <c r="AY347" i="11" s="1"/>
  <c r="AU340" i="11"/>
  <c r="AX340" i="11" s="1"/>
  <c r="AY340" i="11" s="1"/>
  <c r="AU345" i="11"/>
  <c r="AU338" i="11"/>
  <c r="AX338" i="11" s="1"/>
  <c r="AY338" i="11" s="1"/>
  <c r="AR335" i="11"/>
  <c r="AV344" i="11"/>
  <c r="AV336" i="11"/>
  <c r="AR344" i="11"/>
  <c r="AU352" i="11"/>
  <c r="AU350" i="11"/>
  <c r="AX350" i="11" s="1"/>
  <c r="AY350" i="11" s="1"/>
  <c r="AU332" i="11"/>
  <c r="AX332" i="11" s="1"/>
  <c r="AY332" i="11" s="1"/>
  <c r="AU353" i="11"/>
  <c r="AU354" i="11"/>
  <c r="AU343" i="11"/>
  <c r="AU341" i="11"/>
  <c r="AX341" i="11" s="1"/>
  <c r="AY341" i="11" s="1"/>
  <c r="AU335" i="11"/>
  <c r="AR334" i="11"/>
  <c r="AR345" i="11"/>
  <c r="AR343" i="11"/>
  <c r="AR336" i="11"/>
  <c r="AR352" i="11"/>
  <c r="AR337" i="11"/>
  <c r="AR353" i="11"/>
  <c r="AR354" i="11"/>
  <c r="AR298" i="11"/>
  <c r="AR297" i="11"/>
  <c r="AR301" i="11"/>
  <c r="AR300" i="11"/>
  <c r="AR294" i="11"/>
  <c r="AR296" i="11"/>
  <c r="AU287" i="11"/>
  <c r="AU283" i="11"/>
  <c r="AU291" i="11"/>
  <c r="AU286" i="11"/>
  <c r="AU288" i="11"/>
  <c r="AU289" i="11"/>
  <c r="AU282" i="11"/>
  <c r="AU290" i="11"/>
  <c r="AR276" i="11"/>
  <c r="AR277" i="11"/>
  <c r="AR278" i="11"/>
  <c r="AR256" i="11"/>
  <c r="AA245" i="11"/>
  <c r="AO245" i="11" s="1"/>
  <c r="AR245" i="11" s="1"/>
  <c r="AA244" i="11"/>
  <c r="AO244" i="11" s="1"/>
  <c r="AR244" i="11" s="1"/>
  <c r="AR250" i="11"/>
  <c r="AV248" i="11"/>
  <c r="AV247" i="11"/>
  <c r="AR247" i="11"/>
  <c r="AR248" i="11"/>
  <c r="AU249" i="11"/>
  <c r="AR257" i="11"/>
  <c r="AR255" i="11"/>
  <c r="AR254" i="11"/>
  <c r="AR251" i="11"/>
  <c r="AU247" i="11"/>
  <c r="AV249" i="11"/>
  <c r="AU248" i="11"/>
  <c r="AV250" i="11"/>
  <c r="AU246" i="11"/>
  <c r="AR246" i="11"/>
  <c r="AV251" i="11"/>
  <c r="AU250" i="11"/>
  <c r="AR249" i="11"/>
  <c r="AU251" i="11"/>
  <c r="AV246" i="11"/>
  <c r="AA243" i="11"/>
  <c r="AO243" i="11" s="1"/>
  <c r="AR243" i="11" s="1"/>
  <c r="AX344" i="11" l="1"/>
  <c r="AX300" i="11"/>
  <c r="AY300" i="11" s="1"/>
  <c r="AX326" i="11"/>
  <c r="AY326" i="11" s="1"/>
  <c r="AX325" i="11"/>
  <c r="AY325" i="11" s="1"/>
  <c r="AX307" i="11"/>
  <c r="AY307" i="11" s="1"/>
  <c r="AX309" i="11"/>
  <c r="AY309" i="11" s="1"/>
  <c r="AX318" i="11"/>
  <c r="AY318" i="11" s="1"/>
  <c r="AX317" i="11"/>
  <c r="AY317" i="11" s="1"/>
  <c r="AX352" i="11"/>
  <c r="AY352" i="11" s="1"/>
  <c r="AX310" i="11"/>
  <c r="AY310" i="11" s="1"/>
  <c r="AX327" i="11"/>
  <c r="AY327" i="11" s="1"/>
  <c r="AY301" i="11"/>
  <c r="AX328" i="11"/>
  <c r="AY328" i="11" s="1"/>
  <c r="AY333" i="11"/>
  <c r="AX308" i="11"/>
  <c r="AY308" i="11" s="1"/>
  <c r="AX250" i="11"/>
  <c r="AY250" i="11" s="1"/>
  <c r="AX316" i="11"/>
  <c r="AY316" i="11" s="1"/>
  <c r="AX319" i="11"/>
  <c r="AY319" i="11" s="1"/>
  <c r="AX354" i="11"/>
  <c r="AY354" i="11" s="1"/>
  <c r="AY351" i="11"/>
  <c r="AX345" i="11"/>
  <c r="AY345" i="11" s="1"/>
  <c r="AX337" i="11"/>
  <c r="AY337" i="11" s="1"/>
  <c r="AX336" i="11"/>
  <c r="AY336" i="11" s="1"/>
  <c r="AX346" i="11"/>
  <c r="AY346" i="11" s="1"/>
  <c r="AX343" i="11"/>
  <c r="AY343" i="11" s="1"/>
  <c r="AX334" i="11"/>
  <c r="AY334" i="11" s="1"/>
  <c r="AX353" i="11"/>
  <c r="AY353" i="11" s="1"/>
  <c r="AX335" i="11"/>
  <c r="AY335" i="11" s="1"/>
  <c r="AY344" i="11"/>
  <c r="AX247" i="11"/>
  <c r="AY247" i="11" s="1"/>
  <c r="AX248" i="11"/>
  <c r="AY248" i="11" s="1"/>
  <c r="AX246" i="11"/>
  <c r="AY246" i="11" s="1"/>
  <c r="AX249" i="11"/>
  <c r="AY249" i="11" s="1"/>
  <c r="AX251" i="11"/>
  <c r="AY251" i="11" s="1"/>
  <c r="AF21" i="8" l="1"/>
  <c r="AF9" i="8"/>
  <c r="AR21" i="8"/>
  <c r="AU21" i="8" s="1"/>
  <c r="AR3" i="8"/>
  <c r="AU3" i="8" s="1"/>
  <c r="AR6" i="8"/>
  <c r="AU6" i="8" s="1"/>
  <c r="AR7" i="8"/>
  <c r="AU7" i="8" s="1"/>
  <c r="AR8" i="8"/>
  <c r="AU8" i="8" s="1"/>
  <c r="AR9" i="8"/>
  <c r="AU9" i="8" s="1"/>
  <c r="AR10" i="8"/>
  <c r="AU10" i="8" s="1"/>
  <c r="AR11" i="8"/>
  <c r="AU11" i="8" s="1"/>
  <c r="AR2" i="8"/>
  <c r="AU2" i="8" s="1"/>
  <c r="AN33" i="8"/>
  <c r="AN34" i="8"/>
  <c r="AN35" i="8"/>
  <c r="AN36" i="8"/>
  <c r="AN37" i="8"/>
  <c r="AN38" i="8"/>
  <c r="AN39" i="8"/>
  <c r="AN40" i="8"/>
  <c r="AN41" i="8"/>
  <c r="AN42" i="8"/>
  <c r="AN43" i="8"/>
  <c r="AN32" i="8"/>
  <c r="AM33" i="8"/>
  <c r="AM34" i="8"/>
  <c r="AM35" i="8"/>
  <c r="AM36" i="8"/>
  <c r="AM37" i="8"/>
  <c r="AM38" i="8"/>
  <c r="AM39" i="8"/>
  <c r="AM40" i="8"/>
  <c r="AM41" i="8"/>
  <c r="AM42" i="8"/>
  <c r="AM43" i="8"/>
  <c r="AM32" i="8"/>
  <c r="AL33" i="8"/>
  <c r="AL34" i="8"/>
  <c r="AL35" i="8"/>
  <c r="AL36" i="8"/>
  <c r="AL37" i="8"/>
  <c r="AL38" i="8"/>
  <c r="AL39" i="8"/>
  <c r="AL40" i="8"/>
  <c r="AL41" i="8"/>
  <c r="AL42" i="8"/>
  <c r="AL43" i="8"/>
  <c r="AL32" i="8"/>
  <c r="AN26" i="8"/>
  <c r="AN27" i="8"/>
  <c r="AN28" i="8"/>
  <c r="AN29" i="8"/>
  <c r="AM26" i="8"/>
  <c r="AM27" i="8"/>
  <c r="AM28" i="8"/>
  <c r="AM29" i="8"/>
  <c r="AL26" i="8"/>
  <c r="AL27" i="8"/>
  <c r="AL28" i="8"/>
  <c r="AL29" i="8"/>
  <c r="AN25" i="8"/>
  <c r="AM25" i="8"/>
  <c r="AL25" i="8"/>
  <c r="AM21" i="8"/>
  <c r="AN21" i="8"/>
  <c r="AN9" i="8"/>
  <c r="AM9" i="8"/>
  <c r="AL21" i="8"/>
  <c r="AV24" i="8"/>
  <c r="AV23" i="8"/>
  <c r="AI24" i="8"/>
  <c r="AO24" i="8" s="1"/>
  <c r="AI23" i="8"/>
  <c r="AO23" i="8" s="1"/>
  <c r="AI22" i="8"/>
  <c r="AO22" i="8" s="1"/>
  <c r="AV22" i="8"/>
  <c r="AI21" i="8"/>
  <c r="AV21" i="8"/>
  <c r="AI15" i="8"/>
  <c r="AO15" i="8" s="1"/>
  <c r="AI16" i="8"/>
  <c r="AO16" i="8" s="1"/>
  <c r="AI17" i="8"/>
  <c r="AO17" i="8" s="1"/>
  <c r="AI18" i="8"/>
  <c r="AO18" i="8" s="1"/>
  <c r="AI19" i="8"/>
  <c r="AO19" i="8" s="1"/>
  <c r="AI20" i="8"/>
  <c r="AO20" i="8" s="1"/>
  <c r="AI14" i="8"/>
  <c r="AO14" i="8" s="1"/>
  <c r="AI13" i="8"/>
  <c r="AO13" i="8" s="1"/>
  <c r="AI12" i="8"/>
  <c r="AO12" i="8" s="1"/>
  <c r="AI6" i="8"/>
  <c r="AO6" i="8" s="1"/>
  <c r="AI7" i="8"/>
  <c r="AO7" i="8" s="1"/>
  <c r="AI8" i="8"/>
  <c r="AO8" i="8" s="1"/>
  <c r="AI9" i="8"/>
  <c r="AI10" i="8"/>
  <c r="AO10" i="8" s="1"/>
  <c r="AI11" i="8"/>
  <c r="AO11" i="8" s="1"/>
  <c r="AV9" i="8"/>
  <c r="AO9" i="8" l="1"/>
  <c r="AO21" i="8"/>
  <c r="AD5" i="8"/>
  <c r="AD4" i="8"/>
  <c r="T5" i="8"/>
  <c r="T4" i="8"/>
  <c r="S5" i="8"/>
  <c r="S4" i="8"/>
  <c r="V5" i="8"/>
  <c r="V4" i="8"/>
  <c r="U5" i="8"/>
  <c r="U4" i="8"/>
  <c r="R5" i="8"/>
  <c r="Q5" i="8"/>
  <c r="R4" i="8"/>
  <c r="Q4" i="8"/>
  <c r="AI4" i="8" s="1"/>
  <c r="AO4" i="8" s="1"/>
  <c r="P5" i="8"/>
  <c r="P4" i="8"/>
  <c r="O5" i="8"/>
  <c r="O4" i="8"/>
  <c r="AV5" i="8"/>
  <c r="AV4" i="8"/>
  <c r="AI3" i="8"/>
  <c r="AO3" i="8" s="1"/>
  <c r="AI2" i="8"/>
  <c r="AO2" i="8" s="1"/>
  <c r="AJ44" i="8"/>
  <c r="AI44" i="8"/>
  <c r="AM25" i="10"/>
  <c r="AM26" i="10"/>
  <c r="AM27" i="10"/>
  <c r="AR4" i="8" l="1"/>
  <c r="AU4" i="8" s="1"/>
  <c r="AR5" i="8"/>
  <c r="AU5" i="8" s="1"/>
  <c r="AI5" i="8"/>
  <c r="AO5" i="8" s="1"/>
  <c r="AO44" i="8"/>
  <c r="AL212" i="11"/>
  <c r="AA212" i="11" s="1"/>
  <c r="AO212" i="11" s="1"/>
  <c r="AL213" i="11"/>
  <c r="AA213" i="11" s="1"/>
  <c r="AO213" i="11" s="1"/>
  <c r="AL214" i="11"/>
  <c r="AA214" i="11" s="1"/>
  <c r="AO214" i="11" s="1"/>
  <c r="AL215" i="11"/>
  <c r="AA215" i="11" s="1"/>
  <c r="AO215" i="11" s="1"/>
  <c r="AL216" i="11"/>
  <c r="AA216" i="11" s="1"/>
  <c r="AO216" i="11" s="1"/>
  <c r="AL217" i="11"/>
  <c r="AA217" i="11" s="1"/>
  <c r="AO217" i="11" s="1"/>
  <c r="AL218" i="11"/>
  <c r="AA218" i="11" s="1"/>
  <c r="AO218" i="11" s="1"/>
  <c r="AL219" i="11"/>
  <c r="AA219" i="11" s="1"/>
  <c r="AO219" i="11" s="1"/>
  <c r="AL220" i="11"/>
  <c r="AA220" i="11" s="1"/>
  <c r="AO220" i="11" s="1"/>
  <c r="AL221" i="11"/>
  <c r="AA221" i="11" s="1"/>
  <c r="AO221" i="11" s="1"/>
  <c r="AL222" i="11"/>
  <c r="AA222" i="11" s="1"/>
  <c r="AO222" i="11" s="1"/>
  <c r="AL223" i="11"/>
  <c r="AA223" i="11" s="1"/>
  <c r="AO223" i="11" s="1"/>
  <c r="AL224" i="11"/>
  <c r="AA224" i="11" s="1"/>
  <c r="AO224" i="11" s="1"/>
  <c r="AL225" i="11"/>
  <c r="AA225" i="11" s="1"/>
  <c r="AO225" i="11" s="1"/>
  <c r="AL226" i="11"/>
  <c r="AA226" i="11" s="1"/>
  <c r="AO226" i="11" s="1"/>
  <c r="AL227" i="11"/>
  <c r="AA227" i="11" s="1"/>
  <c r="AO227" i="11" s="1"/>
  <c r="AL228" i="11"/>
  <c r="AA228" i="11" s="1"/>
  <c r="AO228" i="11" s="1"/>
  <c r="AL229" i="11"/>
  <c r="AA229" i="11" s="1"/>
  <c r="AO229" i="11" s="1"/>
  <c r="AL230" i="11"/>
  <c r="AA230" i="11" s="1"/>
  <c r="AO230" i="11" s="1"/>
  <c r="AL231" i="11"/>
  <c r="AA231" i="11" s="1"/>
  <c r="AO231" i="11" s="1"/>
  <c r="AL211" i="11"/>
  <c r="AA211" i="11" s="1"/>
  <c r="AO211" i="11" s="1"/>
  <c r="AL96" i="11"/>
  <c r="AA96" i="11" s="1"/>
  <c r="AL97" i="11"/>
  <c r="AA97" i="11" s="1"/>
  <c r="AF10" i="10"/>
  <c r="X10" i="10" s="1"/>
  <c r="AF9" i="10"/>
  <c r="X9" i="10" s="1"/>
  <c r="AF8" i="10"/>
  <c r="X8" i="10" s="1"/>
  <c r="AF7" i="10"/>
  <c r="X7" i="10" s="1"/>
  <c r="AF6" i="10"/>
  <c r="X6" i="10" s="1"/>
  <c r="AF5" i="10"/>
  <c r="X5" i="10" s="1"/>
  <c r="AF4" i="10"/>
  <c r="X4" i="10" s="1"/>
  <c r="AF3" i="10"/>
  <c r="X3" i="10" s="1"/>
  <c r="AF2" i="10"/>
  <c r="X2" i="10" s="1"/>
  <c r="W23" i="10"/>
  <c r="W24" i="10"/>
  <c r="W22" i="10"/>
  <c r="W20" i="10"/>
  <c r="W21" i="10"/>
  <c r="W19" i="10"/>
  <c r="W17" i="10"/>
  <c r="W18" i="10"/>
  <c r="W16" i="10"/>
  <c r="W14" i="10"/>
  <c r="W15" i="10"/>
  <c r="W13" i="10"/>
  <c r="AL208" i="11"/>
  <c r="AI27" i="11"/>
  <c r="AJ27" i="11"/>
  <c r="AK27" i="11"/>
  <c r="W6" i="10" l="1"/>
  <c r="AL27" i="11"/>
  <c r="AA27" i="11" s="1"/>
  <c r="W7" i="10"/>
  <c r="AM7" i="10" s="1"/>
  <c r="W5" i="10"/>
  <c r="AM5" i="10" s="1"/>
  <c r="W4" i="10"/>
  <c r="AM4" i="10" s="1"/>
  <c r="W2" i="10"/>
  <c r="AM2" i="10" s="1"/>
  <c r="W3" i="10"/>
  <c r="AM3" i="10" s="1"/>
  <c r="W10" i="10"/>
  <c r="W9" i="10"/>
  <c r="AM9" i="10" s="1"/>
  <c r="AM6" i="10"/>
  <c r="W8" i="10"/>
  <c r="AM8" i="10" s="1"/>
  <c r="R169" i="11"/>
  <c r="P169" i="11"/>
  <c r="AP154" i="11"/>
  <c r="AO154" i="11"/>
  <c r="AO242" i="11"/>
  <c r="AR242" i="11" s="1"/>
  <c r="Y198" i="11"/>
  <c r="Y197" i="11"/>
  <c r="Y196" i="11"/>
  <c r="AA196" i="11" s="1"/>
  <c r="O198" i="11"/>
  <c r="O197" i="11"/>
  <c r="O196" i="11"/>
  <c r="AM10" i="10" l="1"/>
  <c r="AH10" i="10"/>
  <c r="AR154" i="11"/>
  <c r="AO197" i="11"/>
  <c r="AR197" i="11" s="1"/>
  <c r="AO198" i="11"/>
  <c r="AR198" i="11" s="1"/>
  <c r="AA198" i="11"/>
  <c r="AA197" i="11"/>
  <c r="AO196" i="11"/>
  <c r="AR196" i="11" s="1"/>
  <c r="Y199" i="11" l="1"/>
  <c r="X1426" i="7" l="1"/>
  <c r="X1425" i="7"/>
  <c r="X1424" i="7"/>
  <c r="X1423" i="7"/>
  <c r="X1422" i="7"/>
  <c r="W1426" i="7"/>
  <c r="W1425" i="7"/>
  <c r="W1424" i="7"/>
  <c r="W1423" i="7"/>
  <c r="W1422" i="7"/>
  <c r="O1423" i="7"/>
  <c r="O1424" i="7"/>
  <c r="O1425" i="7"/>
  <c r="O1426" i="7"/>
  <c r="O1422" i="7"/>
  <c r="N1426" i="7"/>
  <c r="N1423" i="7"/>
  <c r="N1424" i="7"/>
  <c r="N1425" i="7"/>
  <c r="N1422" i="7"/>
  <c r="AD1421" i="7"/>
  <c r="AI1421" i="7" s="1"/>
  <c r="AD1420" i="7"/>
  <c r="AI1420" i="7" s="1"/>
  <c r="AD1419" i="7"/>
  <c r="AI1419" i="7" s="1"/>
  <c r="AD1418" i="7"/>
  <c r="AI1418" i="7" s="1"/>
  <c r="AD1417" i="7"/>
  <c r="AI1417" i="7" s="1"/>
  <c r="AD1416" i="7"/>
  <c r="AI1416" i="7" s="1"/>
  <c r="AD1409" i="7"/>
  <c r="AI1409" i="7" s="1"/>
  <c r="AD1410" i="7"/>
  <c r="AI1410" i="7" s="1"/>
  <c r="AD1411" i="7"/>
  <c r="AI1411" i="7" s="1"/>
  <c r="AD1412" i="7"/>
  <c r="AI1412" i="7" s="1"/>
  <c r="AD1413" i="7"/>
  <c r="AI1413" i="7" s="1"/>
  <c r="AD1414" i="7"/>
  <c r="AI1414" i="7" s="1"/>
  <c r="AD1415" i="7"/>
  <c r="AI1415" i="7" s="1"/>
  <c r="AD1408" i="7"/>
  <c r="AI1408" i="7" s="1"/>
  <c r="AI1407" i="7"/>
  <c r="AD1406" i="7"/>
  <c r="AI1406" i="7" s="1"/>
  <c r="AD1405" i="7"/>
  <c r="AI1405" i="7" s="1"/>
  <c r="AD1404" i="7"/>
  <c r="AI1404" i="7" s="1"/>
  <c r="AD1403" i="7"/>
  <c r="AI1403" i="7" s="1"/>
  <c r="AD1402" i="7"/>
  <c r="AI1402" i="7" s="1"/>
  <c r="AD1401" i="7"/>
  <c r="AI1401" i="7" s="1"/>
  <c r="AD1400" i="7"/>
  <c r="AI1400" i="7" s="1"/>
  <c r="AD1399" i="7"/>
  <c r="AI1399" i="7" s="1"/>
  <c r="AD1398" i="7"/>
  <c r="AI1398" i="7" s="1"/>
  <c r="AD1397" i="7"/>
  <c r="AI1397" i="7" s="1"/>
  <c r="AD1396" i="7"/>
  <c r="AI1396" i="7" s="1"/>
  <c r="AD1395" i="7"/>
  <c r="AI1395" i="7" s="1"/>
  <c r="AD1394" i="7"/>
  <c r="AI1394" i="7" s="1"/>
  <c r="AD1393" i="7"/>
  <c r="AI1393" i="7" s="1"/>
  <c r="AD1392" i="7"/>
  <c r="AI1392" i="7" s="1"/>
  <c r="AD1391" i="7"/>
  <c r="AI1391" i="7" s="1"/>
  <c r="AD1390" i="7"/>
  <c r="AI1390" i="7" s="1"/>
  <c r="AD1389" i="7"/>
  <c r="AI1389" i="7" s="1"/>
  <c r="AD1388" i="7"/>
  <c r="AI1388" i="7" s="1"/>
  <c r="AD1387" i="7"/>
  <c r="AI1387" i="7" s="1"/>
  <c r="AD1386" i="7"/>
  <c r="AI1386" i="7" s="1"/>
  <c r="AD1385" i="7"/>
  <c r="AI1385" i="7" s="1"/>
  <c r="AD1384" i="7"/>
  <c r="AI1384" i="7" s="1"/>
  <c r="AD1383" i="7"/>
  <c r="AI1383" i="7" s="1"/>
  <c r="AD1382" i="7"/>
  <c r="AI1382" i="7" s="1"/>
  <c r="AD1381" i="7"/>
  <c r="AI1381" i="7" s="1"/>
  <c r="AD1380" i="7"/>
  <c r="AI1380" i="7" s="1"/>
  <c r="AD1379" i="7"/>
  <c r="AI1379" i="7" s="1"/>
  <c r="AD1378" i="7"/>
  <c r="AI1378" i="7" s="1"/>
  <c r="AD1377" i="7"/>
  <c r="AI1377" i="7" s="1"/>
  <c r="AD1376" i="7"/>
  <c r="AI1376" i="7" s="1"/>
  <c r="AD1375" i="7"/>
  <c r="AI1375" i="7" s="1"/>
  <c r="AD1374" i="7"/>
  <c r="AI1374" i="7" s="1"/>
  <c r="AD1373" i="7"/>
  <c r="AI1373" i="7" s="1"/>
  <c r="O330" i="6"/>
  <c r="Y330" i="6" s="1"/>
  <c r="Q330" i="6"/>
  <c r="Z330" i="6" s="1"/>
  <c r="Q329" i="6"/>
  <c r="Z329" i="6" s="1"/>
  <c r="O329" i="6"/>
  <c r="Y329" i="6" s="1"/>
  <c r="O326" i="6"/>
  <c r="Y326" i="6" s="1"/>
  <c r="AA326" i="6" s="1"/>
  <c r="O327" i="6"/>
  <c r="Y327" i="6" s="1"/>
  <c r="AA327" i="6" s="1"/>
  <c r="O328" i="6"/>
  <c r="Y328" i="6" s="1"/>
  <c r="AA328" i="6" s="1"/>
  <c r="O325" i="6"/>
  <c r="Y325" i="6" s="1"/>
  <c r="AA325" i="6" s="1"/>
  <c r="O324" i="6"/>
  <c r="Y324" i="6" s="1"/>
  <c r="AA324" i="6" s="1"/>
  <c r="O316" i="6"/>
  <c r="Y316" i="6" s="1"/>
  <c r="AA316" i="6" s="1"/>
  <c r="O317" i="6"/>
  <c r="Y317" i="6" s="1"/>
  <c r="AA317" i="6" s="1"/>
  <c r="O318" i="6"/>
  <c r="Y318" i="6" s="1"/>
  <c r="AA318" i="6" s="1"/>
  <c r="O319" i="6"/>
  <c r="Y319" i="6" s="1"/>
  <c r="AA319" i="6" s="1"/>
  <c r="O320" i="6"/>
  <c r="Y320" i="6" s="1"/>
  <c r="AA320" i="6" s="1"/>
  <c r="O321" i="6"/>
  <c r="Y321" i="6" s="1"/>
  <c r="AA321" i="6" s="1"/>
  <c r="O322" i="6"/>
  <c r="Y322" i="6" s="1"/>
  <c r="AA322" i="6" s="1"/>
  <c r="O323" i="6"/>
  <c r="Y323" i="6" s="1"/>
  <c r="AA323" i="6" s="1"/>
  <c r="O315" i="6"/>
  <c r="Y315" i="6" s="1"/>
  <c r="AA315" i="6" s="1"/>
  <c r="Y311" i="6"/>
  <c r="AA311" i="6" s="1"/>
  <c r="Y312" i="6"/>
  <c r="AA312" i="6" s="1"/>
  <c r="Y313" i="6"/>
  <c r="AA313" i="6" s="1"/>
  <c r="Y314" i="6"/>
  <c r="AA314" i="6" s="1"/>
  <c r="Y310" i="6"/>
  <c r="AA310" i="6" s="1"/>
  <c r="AD1368" i="7"/>
  <c r="AI1368" i="7" s="1"/>
  <c r="AD1369" i="7"/>
  <c r="AI1369" i="7" s="1"/>
  <c r="AD1370" i="7"/>
  <c r="AI1370" i="7" s="1"/>
  <c r="AD1371" i="7"/>
  <c r="AI1371" i="7" s="1"/>
  <c r="AD1372" i="7"/>
  <c r="AI1372" i="7" s="1"/>
  <c r="AD1367" i="7"/>
  <c r="AI1367" i="7" s="1"/>
  <c r="AH309" i="6"/>
  <c r="AH308" i="6"/>
  <c r="AH307" i="6"/>
  <c r="AH306" i="6"/>
  <c r="AH305" i="6"/>
  <c r="AH304" i="6"/>
  <c r="AH303" i="6"/>
  <c r="AH302" i="6"/>
  <c r="AH301" i="6"/>
  <c r="AH300" i="6"/>
  <c r="O301" i="6"/>
  <c r="Y301" i="6" s="1"/>
  <c r="AA301" i="6" s="1"/>
  <c r="O302" i="6"/>
  <c r="Y302" i="6" s="1"/>
  <c r="AA302" i="6" s="1"/>
  <c r="O303" i="6"/>
  <c r="Y303" i="6" s="1"/>
  <c r="AA303" i="6" s="1"/>
  <c r="O304" i="6"/>
  <c r="Y304" i="6" s="1"/>
  <c r="AA304" i="6" s="1"/>
  <c r="O305" i="6"/>
  <c r="Y305" i="6" s="1"/>
  <c r="AA305" i="6" s="1"/>
  <c r="O306" i="6"/>
  <c r="Y306" i="6" s="1"/>
  <c r="AA306" i="6" s="1"/>
  <c r="O307" i="6"/>
  <c r="Y307" i="6" s="1"/>
  <c r="AA307" i="6" s="1"/>
  <c r="O308" i="6"/>
  <c r="Y308" i="6" s="1"/>
  <c r="AA308" i="6" s="1"/>
  <c r="O309" i="6"/>
  <c r="Y309" i="6" s="1"/>
  <c r="AA309" i="6" s="1"/>
  <c r="O300" i="6"/>
  <c r="Y300" i="6" s="1"/>
  <c r="AA300" i="6" s="1"/>
  <c r="AH299" i="6"/>
  <c r="AH298" i="6"/>
  <c r="AH297" i="6"/>
  <c r="AH295" i="6"/>
  <c r="AH294" i="6"/>
  <c r="AH293" i="6"/>
  <c r="S298" i="6"/>
  <c r="S297" i="6"/>
  <c r="S296" i="6"/>
  <c r="O297" i="6"/>
  <c r="O298" i="6"/>
  <c r="O299" i="6"/>
  <c r="O296" i="6"/>
  <c r="S299" i="6"/>
  <c r="S295" i="6"/>
  <c r="S294" i="6"/>
  <c r="S293" i="6"/>
  <c r="S292" i="6"/>
  <c r="O293" i="6"/>
  <c r="O294" i="6"/>
  <c r="O295" i="6"/>
  <c r="O292" i="6"/>
  <c r="AH296" i="6"/>
  <c r="AH292" i="6"/>
  <c r="AD1424" i="7" l="1"/>
  <c r="AI1424" i="7" s="1"/>
  <c r="AD1426" i="7"/>
  <c r="AI1426" i="7" s="1"/>
  <c r="AL1423" i="7"/>
  <c r="AO1423" i="7" s="1"/>
  <c r="AD1423" i="7"/>
  <c r="AI1423" i="7" s="1"/>
  <c r="AL1426" i="7"/>
  <c r="AO1426" i="7" s="1"/>
  <c r="AL1422" i="7"/>
  <c r="AO1422" i="7" s="1"/>
  <c r="AL1424" i="7"/>
  <c r="AO1424" i="7" s="1"/>
  <c r="AD1422" i="7"/>
  <c r="AI1422" i="7" s="1"/>
  <c r="AL1425" i="7"/>
  <c r="AO1425" i="7" s="1"/>
  <c r="AD1425" i="7"/>
  <c r="AI1425" i="7" s="1"/>
  <c r="AA330" i="6"/>
  <c r="AA329" i="6"/>
  <c r="Y297" i="6"/>
  <c r="AA297" i="6" s="1"/>
  <c r="Y292" i="6"/>
  <c r="AA292" i="6" s="1"/>
  <c r="Y298" i="6"/>
  <c r="AA298" i="6" s="1"/>
  <c r="Y295" i="6"/>
  <c r="AA295" i="6" s="1"/>
  <c r="Y293" i="6"/>
  <c r="AA293" i="6" s="1"/>
  <c r="Y296" i="6"/>
  <c r="AA296" i="6" s="1"/>
  <c r="Y294" i="6"/>
  <c r="AA294" i="6" s="1"/>
  <c r="Y299" i="6"/>
  <c r="AA299" i="6" s="1"/>
  <c r="AE1344" i="7"/>
  <c r="AE1345" i="7"/>
  <c r="AE1346" i="7"/>
  <c r="AE1347" i="7"/>
  <c r="AE1348" i="7"/>
  <c r="AE1349" i="7"/>
  <c r="AE1350" i="7"/>
  <c r="AE1351" i="7"/>
  <c r="AE1352" i="7"/>
  <c r="AE1353" i="7"/>
  <c r="AE1354" i="7"/>
  <c r="AE1343" i="7"/>
  <c r="AD1344" i="7"/>
  <c r="AD1345" i="7"/>
  <c r="AD1346" i="7"/>
  <c r="AD1347" i="7"/>
  <c r="AD1348" i="7"/>
  <c r="AD1349" i="7"/>
  <c r="AD1350" i="7"/>
  <c r="AD1351" i="7"/>
  <c r="AD1352" i="7"/>
  <c r="AD1353" i="7"/>
  <c r="AD1354" i="7"/>
  <c r="AD1343" i="7"/>
  <c r="AL1340" i="7"/>
  <c r="AL1341" i="7"/>
  <c r="AL1342" i="7"/>
  <c r="AQ1342" i="7"/>
  <c r="AQ1341" i="7"/>
  <c r="AQ1340" i="7"/>
  <c r="AE1297" i="7"/>
  <c r="AD1297" i="7"/>
  <c r="AE1296" i="7"/>
  <c r="AD1296" i="7"/>
  <c r="AE1295" i="7"/>
  <c r="AD1295" i="7"/>
  <c r="AL1089" i="7"/>
  <c r="AL1090" i="7"/>
  <c r="AL1091" i="7"/>
  <c r="AL1092" i="7"/>
  <c r="AL1093" i="7"/>
  <c r="AL1094" i="7"/>
  <c r="AL1294" i="7"/>
  <c r="AE1294" i="7"/>
  <c r="AD1294" i="7"/>
  <c r="AP1424" i="7" l="1"/>
  <c r="AP1423" i="7"/>
  <c r="AP1425" i="7"/>
  <c r="AI1349" i="7"/>
  <c r="AP1426" i="7"/>
  <c r="AI1348" i="7"/>
  <c r="AP1422" i="7"/>
  <c r="AI1343" i="7"/>
  <c r="AI1347" i="7"/>
  <c r="AI1296" i="7"/>
  <c r="AI1352" i="7"/>
  <c r="AI1350" i="7"/>
  <c r="AI1344" i="7"/>
  <c r="AI1351" i="7"/>
  <c r="AI1295" i="7"/>
  <c r="AI1354" i="7"/>
  <c r="AI1346" i="7"/>
  <c r="AI1353" i="7"/>
  <c r="AI1345" i="7"/>
  <c r="AI1297" i="7"/>
  <c r="AO1092" i="7"/>
  <c r="AP1092" i="7" s="1"/>
  <c r="AO1341" i="7"/>
  <c r="AP1341" i="7" s="1"/>
  <c r="AO1340" i="7"/>
  <c r="AP1340" i="7" s="1"/>
  <c r="AO1090" i="7"/>
  <c r="AP1090" i="7" s="1"/>
  <c r="AO1342" i="7"/>
  <c r="AP1342" i="7" s="1"/>
  <c r="AO1094" i="7"/>
  <c r="AP1094" i="7" s="1"/>
  <c r="AO1294" i="7"/>
  <c r="AP1294" i="7" s="1"/>
  <c r="AO1093" i="7"/>
  <c r="AP1093" i="7" s="1"/>
  <c r="AO1091" i="7"/>
  <c r="AP1091" i="7" s="1"/>
  <c r="AO1089" i="7"/>
  <c r="AP1089" i="7" s="1"/>
  <c r="AE1277" i="7"/>
  <c r="AE1278" i="7"/>
  <c r="AE1279" i="7"/>
  <c r="AE1280" i="7"/>
  <c r="AE1281" i="7"/>
  <c r="AE1282" i="7"/>
  <c r="AE1283" i="7"/>
  <c r="AE1284" i="7"/>
  <c r="AE1285" i="7"/>
  <c r="AE1286" i="7"/>
  <c r="AE1287" i="7"/>
  <c r="AE1288" i="7"/>
  <c r="AE1289" i="7"/>
  <c r="AE1290" i="7"/>
  <c r="AE1291" i="7"/>
  <c r="AE1292" i="7"/>
  <c r="AE1293" i="7"/>
  <c r="AE1276" i="7"/>
  <c r="AD1293" i="7"/>
  <c r="AD1292" i="7"/>
  <c r="AD1291" i="7"/>
  <c r="AD1290" i="7"/>
  <c r="AI1290" i="7" s="1"/>
  <c r="AD1289" i="7"/>
  <c r="AD1288" i="7"/>
  <c r="AD1287" i="7"/>
  <c r="AD1286" i="7"/>
  <c r="AD1285" i="7"/>
  <c r="AD1284" i="7"/>
  <c r="AD1283" i="7"/>
  <c r="AD1282" i="7"/>
  <c r="AI1282" i="7" s="1"/>
  <c r="AD1281" i="7"/>
  <c r="AD1280" i="7"/>
  <c r="AD1279" i="7"/>
  <c r="AD1278" i="7"/>
  <c r="AD1277" i="7"/>
  <c r="AD1276" i="7"/>
  <c r="AD1275" i="7"/>
  <c r="AI1275" i="7" s="1"/>
  <c r="AD1201" i="7"/>
  <c r="AI1201" i="7" s="1"/>
  <c r="AD1202" i="7"/>
  <c r="AI1202" i="7" s="1"/>
  <c r="AD1203" i="7"/>
  <c r="AI1203" i="7" s="1"/>
  <c r="AD1204" i="7"/>
  <c r="AI1204" i="7" s="1"/>
  <c r="AD1205" i="7"/>
  <c r="AI1205" i="7" s="1"/>
  <c r="AD1206" i="7"/>
  <c r="AI1206" i="7" s="1"/>
  <c r="AD1207" i="7"/>
  <c r="AI1207" i="7" s="1"/>
  <c r="AD1208" i="7"/>
  <c r="AI1208" i="7" s="1"/>
  <c r="AD1209" i="7"/>
  <c r="AI1209" i="7" s="1"/>
  <c r="AD1210" i="7"/>
  <c r="AI1210" i="7" s="1"/>
  <c r="AD1211" i="7"/>
  <c r="AI1211" i="7" s="1"/>
  <c r="AD1212" i="7"/>
  <c r="AI1212" i="7" s="1"/>
  <c r="AD1213" i="7"/>
  <c r="AI1213" i="7" s="1"/>
  <c r="AD1214" i="7"/>
  <c r="AI1214" i="7" s="1"/>
  <c r="AD1215" i="7"/>
  <c r="AI1215" i="7" s="1"/>
  <c r="AD1216" i="7"/>
  <c r="AI1216" i="7" s="1"/>
  <c r="AD1217" i="7"/>
  <c r="AI1217" i="7" s="1"/>
  <c r="AD1218" i="7"/>
  <c r="AI1218" i="7" s="1"/>
  <c r="AD1219" i="7"/>
  <c r="AI1219" i="7" s="1"/>
  <c r="AD1220" i="7"/>
  <c r="AI1220" i="7" s="1"/>
  <c r="AD1221" i="7"/>
  <c r="AI1221" i="7" s="1"/>
  <c r="AD1222" i="7"/>
  <c r="AI1222" i="7" s="1"/>
  <c r="AD1223" i="7"/>
  <c r="AI1223" i="7" s="1"/>
  <c r="AD1224" i="7"/>
  <c r="AI1224" i="7" s="1"/>
  <c r="AD1225" i="7"/>
  <c r="AI1225" i="7" s="1"/>
  <c r="AD1226" i="7"/>
  <c r="AI1226" i="7" s="1"/>
  <c r="AD1227" i="7"/>
  <c r="AI1227" i="7" s="1"/>
  <c r="AD1228" i="7"/>
  <c r="AI1228" i="7" s="1"/>
  <c r="AD1229" i="7"/>
  <c r="AI1229" i="7" s="1"/>
  <c r="AD1230" i="7"/>
  <c r="AI1230" i="7" s="1"/>
  <c r="AD1231" i="7"/>
  <c r="AI1231" i="7" s="1"/>
  <c r="AD1232" i="7"/>
  <c r="AI1232" i="7" s="1"/>
  <c r="AD1233" i="7"/>
  <c r="AI1233" i="7" s="1"/>
  <c r="AD1234" i="7"/>
  <c r="AI1234" i="7" s="1"/>
  <c r="AD1235" i="7"/>
  <c r="AI1235" i="7" s="1"/>
  <c r="AD1236" i="7"/>
  <c r="AI1236" i="7" s="1"/>
  <c r="AD1237" i="7"/>
  <c r="AI1237" i="7" s="1"/>
  <c r="AD1238" i="7"/>
  <c r="AI1238" i="7" s="1"/>
  <c r="AD1239" i="7"/>
  <c r="AI1239" i="7" s="1"/>
  <c r="AD1240" i="7"/>
  <c r="AI1240" i="7" s="1"/>
  <c r="AD1241" i="7"/>
  <c r="AI1241" i="7" s="1"/>
  <c r="AD1242" i="7"/>
  <c r="AI1242" i="7" s="1"/>
  <c r="AD1243" i="7"/>
  <c r="AI1243" i="7" s="1"/>
  <c r="AD1244" i="7"/>
  <c r="AI1244" i="7" s="1"/>
  <c r="AD1245" i="7"/>
  <c r="AI1245" i="7" s="1"/>
  <c r="AD1246" i="7"/>
  <c r="AI1246" i="7" s="1"/>
  <c r="AD1247" i="7"/>
  <c r="AI1247" i="7" s="1"/>
  <c r="AD1248" i="7"/>
  <c r="AI1248" i="7" s="1"/>
  <c r="AD1249" i="7"/>
  <c r="AI1249" i="7" s="1"/>
  <c r="AD1250" i="7"/>
  <c r="AI1250" i="7" s="1"/>
  <c r="AD1251" i="7"/>
  <c r="AI1251" i="7" s="1"/>
  <c r="AD1252" i="7"/>
  <c r="AI1252" i="7" s="1"/>
  <c r="AD1253" i="7"/>
  <c r="AI1253" i="7" s="1"/>
  <c r="AD1254" i="7"/>
  <c r="AI1254" i="7" s="1"/>
  <c r="AD1255" i="7"/>
  <c r="AI1255" i="7" s="1"/>
  <c r="AD1256" i="7"/>
  <c r="AI1256" i="7" s="1"/>
  <c r="AD1257" i="7"/>
  <c r="AI1257" i="7" s="1"/>
  <c r="AD1258" i="7"/>
  <c r="AI1258" i="7" s="1"/>
  <c r="AD1259" i="7"/>
  <c r="AI1259" i="7" s="1"/>
  <c r="AD1260" i="7"/>
  <c r="AI1260" i="7" s="1"/>
  <c r="AD1261" i="7"/>
  <c r="AI1261" i="7" s="1"/>
  <c r="AD1262" i="7"/>
  <c r="AI1262" i="7" s="1"/>
  <c r="AD1263" i="7"/>
  <c r="AI1263" i="7" s="1"/>
  <c r="AD1264" i="7"/>
  <c r="AI1264" i="7" s="1"/>
  <c r="AD1265" i="7"/>
  <c r="AI1265" i="7" s="1"/>
  <c r="AD1266" i="7"/>
  <c r="AI1266" i="7" s="1"/>
  <c r="AD1267" i="7"/>
  <c r="AI1267" i="7" s="1"/>
  <c r="AD1268" i="7"/>
  <c r="AI1268" i="7" s="1"/>
  <c r="AD1269" i="7"/>
  <c r="AI1269" i="7" s="1"/>
  <c r="AD1270" i="7"/>
  <c r="AI1270" i="7" s="1"/>
  <c r="AD1271" i="7"/>
  <c r="AI1271" i="7" s="1"/>
  <c r="AD1272" i="7"/>
  <c r="AI1272" i="7" s="1"/>
  <c r="AD1273" i="7"/>
  <c r="AI1273" i="7" s="1"/>
  <c r="AD1274" i="7"/>
  <c r="AI1274" i="7" s="1"/>
  <c r="AD1200" i="7"/>
  <c r="AI1200" i="7" s="1"/>
  <c r="AD1199" i="7"/>
  <c r="AI1199" i="7" s="1"/>
  <c r="AD1198" i="7"/>
  <c r="AI1198" i="7" s="1"/>
  <c r="AD1197" i="7"/>
  <c r="AI1197" i="7" s="1"/>
  <c r="AD1196" i="7"/>
  <c r="AI1196" i="7" s="1"/>
  <c r="AD1195" i="7"/>
  <c r="AI1195" i="7" s="1"/>
  <c r="AD1194" i="7"/>
  <c r="AI1194" i="7" s="1"/>
  <c r="AD1193" i="7"/>
  <c r="AI1193" i="7" s="1"/>
  <c r="AD1192" i="7"/>
  <c r="AI1192" i="7" s="1"/>
  <c r="AD1191" i="7"/>
  <c r="AI1191" i="7" s="1"/>
  <c r="AD1190" i="7"/>
  <c r="AI1190" i="7" s="1"/>
  <c r="AD1189" i="7"/>
  <c r="AI1189" i="7" s="1"/>
  <c r="AD1188" i="7"/>
  <c r="AI1188" i="7" s="1"/>
  <c r="AD1187" i="7"/>
  <c r="AI1187" i="7" s="1"/>
  <c r="AD1186" i="7"/>
  <c r="AI1186" i="7" s="1"/>
  <c r="AD1185" i="7"/>
  <c r="AI1185" i="7" s="1"/>
  <c r="AD1184" i="7"/>
  <c r="AI1184" i="7" s="1"/>
  <c r="AD1183" i="7"/>
  <c r="AI1183" i="7" s="1"/>
  <c r="AD1182" i="7"/>
  <c r="AI1182" i="7" s="1"/>
  <c r="AD1181" i="7"/>
  <c r="AI1181" i="7" s="1"/>
  <c r="AD1180" i="7"/>
  <c r="AI1180" i="7" s="1"/>
  <c r="AE1179" i="7"/>
  <c r="AE1178" i="7"/>
  <c r="AE1177" i="7"/>
  <c r="AE1176" i="7"/>
  <c r="AE1175" i="7"/>
  <c r="AE1174" i="7"/>
  <c r="AE1173" i="7"/>
  <c r="AE1172" i="7"/>
  <c r="AD1179" i="7"/>
  <c r="AI1179" i="7" s="1"/>
  <c r="AD1178" i="7"/>
  <c r="AI1178" i="7" s="1"/>
  <c r="AD1177" i="7"/>
  <c r="AI1177" i="7" s="1"/>
  <c r="AD1176" i="7"/>
  <c r="AD1175" i="7"/>
  <c r="AI1175" i="7" s="1"/>
  <c r="AD1174" i="7"/>
  <c r="AD1173" i="7"/>
  <c r="AD1172" i="7"/>
  <c r="AI1172" i="7" s="1"/>
  <c r="AE1171" i="7"/>
  <c r="AE1170" i="7"/>
  <c r="AE1169" i="7"/>
  <c r="AE1168" i="7"/>
  <c r="AD1171" i="7"/>
  <c r="AD1170" i="7"/>
  <c r="AD1169" i="7"/>
  <c r="AD1168" i="7"/>
  <c r="AE1167" i="7"/>
  <c r="AE1166" i="7"/>
  <c r="AE1165" i="7"/>
  <c r="AE1164" i="7"/>
  <c r="AE1163" i="7"/>
  <c r="AE1162" i="7"/>
  <c r="AE1161" i="7"/>
  <c r="AE1160" i="7"/>
  <c r="AE1159" i="7"/>
  <c r="AE1158" i="7"/>
  <c r="AE1157" i="7"/>
  <c r="AE1156" i="7"/>
  <c r="AD1167" i="7"/>
  <c r="AD1166" i="7"/>
  <c r="AD1165" i="7"/>
  <c r="AD1164" i="7"/>
  <c r="AD1163" i="7"/>
  <c r="AD1162" i="7"/>
  <c r="AD1161" i="7"/>
  <c r="AD1160" i="7"/>
  <c r="AD1159" i="7"/>
  <c r="AD1158" i="7"/>
  <c r="AD1157" i="7"/>
  <c r="AD1156" i="7"/>
  <c r="AE1155" i="7"/>
  <c r="AE1154" i="7"/>
  <c r="AE1153" i="7"/>
  <c r="AE1152" i="7"/>
  <c r="AE1151" i="7"/>
  <c r="AE1150" i="7"/>
  <c r="AE1149" i="7"/>
  <c r="AE1148" i="7"/>
  <c r="AE1147" i="7"/>
  <c r="AE1146" i="7"/>
  <c r="AE1145" i="7"/>
  <c r="AE1144" i="7"/>
  <c r="AD1155" i="7"/>
  <c r="AD1154" i="7"/>
  <c r="AD1153" i="7"/>
  <c r="AD1152" i="7"/>
  <c r="AD1151" i="7"/>
  <c r="AD1150" i="7"/>
  <c r="AD1149" i="7"/>
  <c r="AD1148" i="7"/>
  <c r="AD1147" i="7"/>
  <c r="AD1146" i="7"/>
  <c r="AD1145" i="7"/>
  <c r="AD1144" i="7"/>
  <c r="AF1115" i="7"/>
  <c r="AG1115" i="7"/>
  <c r="AF1116" i="7"/>
  <c r="AG1116" i="7"/>
  <c r="AF1117" i="7"/>
  <c r="AG1117" i="7"/>
  <c r="AF1118" i="7"/>
  <c r="AG1118" i="7"/>
  <c r="AF1119" i="7"/>
  <c r="AG1119" i="7"/>
  <c r="AF1120" i="7"/>
  <c r="AG1120" i="7"/>
  <c r="AF1121" i="7"/>
  <c r="AG1121" i="7"/>
  <c r="AF1122" i="7"/>
  <c r="AG1122" i="7"/>
  <c r="AF1123" i="7"/>
  <c r="AG1123" i="7"/>
  <c r="AF1124" i="7"/>
  <c r="AG1124" i="7"/>
  <c r="AF1125" i="7"/>
  <c r="AG1125" i="7"/>
  <c r="AF1126" i="7"/>
  <c r="AG1126" i="7"/>
  <c r="AF1127" i="7"/>
  <c r="AG1127" i="7"/>
  <c r="AF1128" i="7"/>
  <c r="AG1128" i="7"/>
  <c r="AF1129" i="7"/>
  <c r="AG1129" i="7"/>
  <c r="AF1130" i="7"/>
  <c r="AG1130" i="7"/>
  <c r="AF1131" i="7"/>
  <c r="AG1131" i="7"/>
  <c r="AF1132" i="7"/>
  <c r="AF1133" i="7"/>
  <c r="AF1134" i="7"/>
  <c r="AF1135" i="7"/>
  <c r="AF1136" i="7"/>
  <c r="AF1137" i="7"/>
  <c r="AF1138" i="7"/>
  <c r="AG1138" i="7"/>
  <c r="AF1139" i="7"/>
  <c r="AG1139" i="7"/>
  <c r="AF1140" i="7"/>
  <c r="AG1140" i="7"/>
  <c r="AF1141" i="7"/>
  <c r="AG1141" i="7"/>
  <c r="AF1142" i="7"/>
  <c r="AG1142" i="7"/>
  <c r="AF1143" i="7"/>
  <c r="AG1143" i="7"/>
  <c r="AG1114" i="7"/>
  <c r="AF1114" i="7"/>
  <c r="AD1143" i="7"/>
  <c r="AD1142" i="7"/>
  <c r="AD1141" i="7"/>
  <c r="AD1140" i="7"/>
  <c r="AD1139" i="7"/>
  <c r="AD1138" i="7"/>
  <c r="AD1137" i="7"/>
  <c r="AD1136" i="7"/>
  <c r="AD1135" i="7"/>
  <c r="AD1134" i="7"/>
  <c r="AD1133" i="7"/>
  <c r="AD1132" i="7"/>
  <c r="AD1131" i="7"/>
  <c r="AD1130" i="7"/>
  <c r="AD1129" i="7"/>
  <c r="AD1128" i="7"/>
  <c r="AD1127" i="7"/>
  <c r="AD1126" i="7"/>
  <c r="AD1125" i="7"/>
  <c r="AD1124" i="7"/>
  <c r="AD1123" i="7"/>
  <c r="AD1122" i="7"/>
  <c r="AD1121" i="7"/>
  <c r="AD1120" i="7"/>
  <c r="AD1119" i="7"/>
  <c r="AD1118" i="7"/>
  <c r="AD1117" i="7"/>
  <c r="AD1116" i="7"/>
  <c r="AD1115" i="7"/>
  <c r="AD1114" i="7"/>
  <c r="AE1143" i="7"/>
  <c r="AE1142" i="7"/>
  <c r="AE1141" i="7"/>
  <c r="AE1140" i="7"/>
  <c r="AE1139" i="7"/>
  <c r="AE1138" i="7"/>
  <c r="AE1137" i="7"/>
  <c r="AE1136" i="7"/>
  <c r="AE1135" i="7"/>
  <c r="AE1134" i="7"/>
  <c r="AE1133" i="7"/>
  <c r="AE1132" i="7"/>
  <c r="AE1131" i="7"/>
  <c r="AE1130" i="7"/>
  <c r="AE1129" i="7"/>
  <c r="AE1128" i="7"/>
  <c r="AE1127" i="7"/>
  <c r="AE1126" i="7"/>
  <c r="AE1125" i="7"/>
  <c r="AE1124" i="7"/>
  <c r="AE1123" i="7"/>
  <c r="AE1122" i="7"/>
  <c r="AE1121" i="7"/>
  <c r="AE1120" i="7"/>
  <c r="AE1119" i="7"/>
  <c r="AE1118" i="7"/>
  <c r="AE1117" i="7"/>
  <c r="AE1116" i="7"/>
  <c r="AE1115" i="7"/>
  <c r="AE1114" i="7"/>
  <c r="AD1109" i="7"/>
  <c r="AE1109" i="7"/>
  <c r="AD1110" i="7"/>
  <c r="AE1110" i="7"/>
  <c r="AD1111" i="7"/>
  <c r="AE1111" i="7"/>
  <c r="AD1112" i="7"/>
  <c r="AE1112" i="7"/>
  <c r="AD1113" i="7"/>
  <c r="AE1113" i="7"/>
  <c r="AE1107" i="7"/>
  <c r="AE1108" i="7"/>
  <c r="AD1108" i="7"/>
  <c r="AD1097" i="7"/>
  <c r="AE1097" i="7"/>
  <c r="AD1098" i="7"/>
  <c r="AE1098" i="7"/>
  <c r="AD1099" i="7"/>
  <c r="AE1099" i="7"/>
  <c r="AD1100" i="7"/>
  <c r="AE1100" i="7"/>
  <c r="AD1101" i="7"/>
  <c r="AE1101" i="7"/>
  <c r="AD1102" i="7"/>
  <c r="AE1102" i="7"/>
  <c r="AD1103" i="7"/>
  <c r="AE1103" i="7"/>
  <c r="AD1104" i="7"/>
  <c r="AE1104" i="7"/>
  <c r="AD1105" i="7"/>
  <c r="AE1105" i="7"/>
  <c r="AD1106" i="7"/>
  <c r="AE1106" i="7"/>
  <c r="AD1107" i="7"/>
  <c r="AE1096" i="7"/>
  <c r="AD1096" i="7"/>
  <c r="AK1095" i="7"/>
  <c r="AJ1095" i="7"/>
  <c r="Z18" i="12"/>
  <c r="AC18" i="12" s="1"/>
  <c r="Z15" i="12"/>
  <c r="AC15" i="12" s="1"/>
  <c r="W4" i="14"/>
  <c r="Z3" i="14"/>
  <c r="Z2" i="14"/>
  <c r="AB3" i="14"/>
  <c r="AC3" i="14" s="1"/>
  <c r="AB2" i="14"/>
  <c r="AC2" i="14" s="1"/>
  <c r="T3" i="14"/>
  <c r="T2" i="14"/>
  <c r="N20" i="5"/>
  <c r="N21" i="5"/>
  <c r="N22" i="5"/>
  <c r="N23" i="5"/>
  <c r="N24" i="5"/>
  <c r="N25" i="5"/>
  <c r="N26" i="5"/>
  <c r="N27" i="5"/>
  <c r="N28" i="5"/>
  <c r="N30" i="5"/>
  <c r="N31" i="5"/>
  <c r="N32" i="5"/>
  <c r="N33" i="5"/>
  <c r="N34" i="5"/>
  <c r="N37" i="5"/>
  <c r="N38" i="5"/>
  <c r="N39" i="5"/>
  <c r="N40" i="5"/>
  <c r="N41" i="5"/>
  <c r="N42" i="5"/>
  <c r="N47" i="5"/>
  <c r="N48" i="5"/>
  <c r="N49" i="5"/>
  <c r="N50" i="5"/>
  <c r="N51" i="5"/>
  <c r="N52" i="5"/>
  <c r="N53" i="5"/>
  <c r="N54" i="5"/>
  <c r="N55" i="5"/>
  <c r="N56" i="5"/>
  <c r="N57" i="5"/>
  <c r="N58" i="5"/>
  <c r="AE1094" i="7"/>
  <c r="AE1093" i="7"/>
  <c r="AE1092" i="7"/>
  <c r="AE1091" i="7"/>
  <c r="AE1090" i="7"/>
  <c r="AE1089" i="7"/>
  <c r="AE1088" i="7"/>
  <c r="AD1083" i="7"/>
  <c r="AD1084" i="7"/>
  <c r="AD1085" i="7"/>
  <c r="AD1086" i="7"/>
  <c r="AD1087" i="7"/>
  <c r="AD1088" i="7"/>
  <c r="AD1089" i="7"/>
  <c r="AD1090" i="7"/>
  <c r="AD1091" i="7"/>
  <c r="AD1092" i="7"/>
  <c r="AD1093" i="7"/>
  <c r="AD1094" i="7"/>
  <c r="AE1085" i="7"/>
  <c r="AE1086" i="7"/>
  <c r="AE1087" i="7"/>
  <c r="AD1080" i="7"/>
  <c r="AE1080" i="7"/>
  <c r="AD1081" i="7"/>
  <c r="AE1081" i="7"/>
  <c r="AD1082" i="7"/>
  <c r="AE1082" i="7"/>
  <c r="AE1083" i="7"/>
  <c r="AE1084" i="7"/>
  <c r="Y1079" i="7"/>
  <c r="AE1079" i="7" s="1"/>
  <c r="Y1078" i="7"/>
  <c r="Y1077" i="7"/>
  <c r="Y1076" i="7"/>
  <c r="W1079" i="7"/>
  <c r="W1078" i="7"/>
  <c r="W1077" i="7"/>
  <c r="W1076" i="7"/>
  <c r="AQ1077" i="7"/>
  <c r="AQ1078" i="7"/>
  <c r="AQ1079" i="7"/>
  <c r="AQ1076" i="7"/>
  <c r="AE1075" i="7"/>
  <c r="AE1074" i="7"/>
  <c r="AD1075" i="7"/>
  <c r="AD1074" i="7"/>
  <c r="AE1073" i="7"/>
  <c r="AE1072" i="7"/>
  <c r="AD1073" i="7"/>
  <c r="AD1072" i="7"/>
  <c r="AE1071" i="7"/>
  <c r="AE1070" i="7"/>
  <c r="AD1071" i="7"/>
  <c r="AD1070" i="7"/>
  <c r="AQ1075" i="7"/>
  <c r="AQ1074" i="7"/>
  <c r="AQ1073" i="7"/>
  <c r="AQ1072" i="7"/>
  <c r="AQ1071" i="7"/>
  <c r="AQ1070" i="7"/>
  <c r="AE1069" i="7"/>
  <c r="AD1069" i="7"/>
  <c r="AE1068" i="7"/>
  <c r="AD1068" i="7"/>
  <c r="AE1067" i="7"/>
  <c r="AD1067" i="7"/>
  <c r="AQ1069" i="7"/>
  <c r="AQ1068" i="7"/>
  <c r="AQ1067" i="7"/>
  <c r="AD1060" i="7"/>
  <c r="AE1060" i="7"/>
  <c r="AD1061" i="7"/>
  <c r="AE1061" i="7"/>
  <c r="AD1062" i="7"/>
  <c r="AE1062" i="7"/>
  <c r="AD1063" i="7"/>
  <c r="AE1063" i="7"/>
  <c r="AD1064" i="7"/>
  <c r="AE1064" i="7"/>
  <c r="AD1065" i="7"/>
  <c r="AE1065" i="7"/>
  <c r="AD1066" i="7"/>
  <c r="AE1066" i="7"/>
  <c r="AE1059" i="7"/>
  <c r="AD1059" i="7"/>
  <c r="AZ241" i="11"/>
  <c r="AL241" i="11"/>
  <c r="AA241" i="11" s="1"/>
  <c r="AO241" i="11" s="1"/>
  <c r="AR241" i="11" s="1"/>
  <c r="AL240" i="11"/>
  <c r="AB240" i="11" s="1"/>
  <c r="AK241" i="11"/>
  <c r="AK240" i="11"/>
  <c r="AZ237" i="11"/>
  <c r="AZ238" i="11"/>
  <c r="AZ239" i="11"/>
  <c r="AR235" i="11"/>
  <c r="AR237" i="11"/>
  <c r="AR238" i="11"/>
  <c r="AR239" i="11"/>
  <c r="AZ234" i="11"/>
  <c r="AZ235" i="11"/>
  <c r="AZ236" i="11"/>
  <c r="P95" i="14"/>
  <c r="M95" i="14"/>
  <c r="P94" i="14"/>
  <c r="M94" i="14"/>
  <c r="P93" i="14"/>
  <c r="M93" i="14"/>
  <c r="AA38" i="14"/>
  <c r="AC38" i="14" s="1"/>
  <c r="AA39" i="14"/>
  <c r="AC39" i="14" s="1"/>
  <c r="AA40" i="14"/>
  <c r="AC40" i="14" s="1"/>
  <c r="AA41" i="14"/>
  <c r="AC41" i="14" s="1"/>
  <c r="AA42" i="14"/>
  <c r="AC42" i="14" s="1"/>
  <c r="AA43" i="14"/>
  <c r="AC43" i="14" s="1"/>
  <c r="Q43" i="14"/>
  <c r="N43" i="14"/>
  <c r="Q42" i="14"/>
  <c r="N42" i="14"/>
  <c r="Q40" i="14"/>
  <c r="N40" i="14"/>
  <c r="Q41" i="14"/>
  <c r="N41" i="14"/>
  <c r="Q38" i="14"/>
  <c r="N38" i="14"/>
  <c r="Q39" i="14"/>
  <c r="N39" i="14"/>
  <c r="Q36" i="14"/>
  <c r="N36" i="14"/>
  <c r="Q37" i="14"/>
  <c r="N37" i="14"/>
  <c r="AL210" i="11"/>
  <c r="AO232" i="11"/>
  <c r="AR232" i="11" s="1"/>
  <c r="AO233" i="11"/>
  <c r="AR233" i="11" s="1"/>
  <c r="P232" i="11"/>
  <c r="P233" i="11"/>
  <c r="L45" i="5"/>
  <c r="L44" i="5"/>
  <c r="L43" i="5"/>
  <c r="L36" i="5"/>
  <c r="L35" i="5"/>
  <c r="R31" i="5"/>
  <c r="R32" i="5"/>
  <c r="R33" i="5"/>
  <c r="R30" i="5"/>
  <c r="L29" i="5"/>
  <c r="L17" i="5"/>
  <c r="L18" i="5"/>
  <c r="L19" i="5"/>
  <c r="L16" i="5"/>
  <c r="R13" i="5"/>
  <c r="R12" i="5"/>
  <c r="R11" i="5"/>
  <c r="R10" i="5"/>
  <c r="R9" i="5"/>
  <c r="R5" i="5"/>
  <c r="R6" i="5"/>
  <c r="R4" i="5"/>
  <c r="AJ33" i="8"/>
  <c r="AJ34" i="8"/>
  <c r="AJ35" i="8"/>
  <c r="AJ36" i="8"/>
  <c r="AJ37" i="8"/>
  <c r="AJ38" i="8"/>
  <c r="AJ39" i="8"/>
  <c r="AJ40" i="8"/>
  <c r="AJ41" i="8"/>
  <c r="AJ42" i="8"/>
  <c r="AJ43" i="8"/>
  <c r="AJ32" i="8"/>
  <c r="AJ45" i="8"/>
  <c r="AJ46" i="8"/>
  <c r="AJ47" i="8"/>
  <c r="AO47" i="8" s="1"/>
  <c r="AJ48" i="8"/>
  <c r="AJ49" i="8"/>
  <c r="AJ50" i="8"/>
  <c r="AJ51" i="8"/>
  <c r="AO51" i="8" s="1"/>
  <c r="AJ52" i="8"/>
  <c r="AO52" i="8" s="1"/>
  <c r="AJ53" i="8"/>
  <c r="AO53" i="8" s="1"/>
  <c r="AJ54" i="8"/>
  <c r="AJ55" i="8"/>
  <c r="AI45" i="8"/>
  <c r="AI46" i="8"/>
  <c r="AI48" i="8"/>
  <c r="AI49" i="8"/>
  <c r="AI50" i="8"/>
  <c r="AI54" i="8"/>
  <c r="AI55" i="8"/>
  <c r="AI1278" i="7" l="1"/>
  <c r="AE1077" i="7"/>
  <c r="AI1105" i="7"/>
  <c r="AI1101" i="7"/>
  <c r="AI1097" i="7"/>
  <c r="AE1078" i="7"/>
  <c r="AI1174" i="7"/>
  <c r="AI1286" i="7"/>
  <c r="AI1145" i="7"/>
  <c r="AI1153" i="7"/>
  <c r="AO49" i="8"/>
  <c r="AO50" i="8"/>
  <c r="AO54" i="8"/>
  <c r="AO48" i="8"/>
  <c r="AO46" i="8"/>
  <c r="AO55" i="8"/>
  <c r="AO45" i="8"/>
  <c r="AI1151" i="7"/>
  <c r="AI1163" i="7"/>
  <c r="AU233" i="11"/>
  <c r="AX233" i="11" s="1"/>
  <c r="AY233" i="11" s="1"/>
  <c r="AB241" i="11"/>
  <c r="AU241" i="11" s="1"/>
  <c r="AX241" i="11" s="1"/>
  <c r="AY241" i="11" s="1"/>
  <c r="AA240" i="11"/>
  <c r="AO240" i="11" s="1"/>
  <c r="AR240" i="11" s="1"/>
  <c r="AU232" i="11"/>
  <c r="AX232" i="11" s="1"/>
  <c r="AY232" i="11" s="1"/>
  <c r="AI1068" i="7"/>
  <c r="AI1150" i="7"/>
  <c r="AD1076" i="7"/>
  <c r="AI1144" i="7"/>
  <c r="AI1104" i="7"/>
  <c r="AI1100" i="7"/>
  <c r="AI1169" i="7"/>
  <c r="AI1170" i="7"/>
  <c r="AI1062" i="7"/>
  <c r="AI1167" i="7"/>
  <c r="AI1171" i="7"/>
  <c r="AI1148" i="7"/>
  <c r="AI1156" i="7"/>
  <c r="AI1088" i="7"/>
  <c r="AI1161" i="7"/>
  <c r="AI1276" i="7"/>
  <c r="AI1284" i="7"/>
  <c r="AI1292" i="7"/>
  <c r="AI1082" i="7"/>
  <c r="AI1085" i="7"/>
  <c r="AI1140" i="7"/>
  <c r="AI1277" i="7"/>
  <c r="AI1285" i="7"/>
  <c r="AI1293" i="7"/>
  <c r="AI1120" i="7"/>
  <c r="AI1128" i="7"/>
  <c r="AI1146" i="7"/>
  <c r="AI1154" i="7"/>
  <c r="AI1279" i="7"/>
  <c r="AI1287" i="7"/>
  <c r="AI1071" i="7"/>
  <c r="AI1110" i="7"/>
  <c r="AI1147" i="7"/>
  <c r="AI1155" i="7"/>
  <c r="AI1157" i="7"/>
  <c r="AI1168" i="7"/>
  <c r="AI1280" i="7"/>
  <c r="AI1288" i="7"/>
  <c r="AI1114" i="7"/>
  <c r="AI1166" i="7"/>
  <c r="AI1281" i="7"/>
  <c r="AI1289" i="7"/>
  <c r="AI1291" i="7"/>
  <c r="AI1283" i="7"/>
  <c r="AI1086" i="7"/>
  <c r="AI1106" i="7"/>
  <c r="AI1102" i="7"/>
  <c r="AI1098" i="7"/>
  <c r="AI1115" i="7"/>
  <c r="AI1123" i="7"/>
  <c r="AI1131" i="7"/>
  <c r="AI1139" i="7"/>
  <c r="AI1149" i="7"/>
  <c r="AI1159" i="7"/>
  <c r="AI1173" i="7"/>
  <c r="AI1081" i="7"/>
  <c r="AI1152" i="7"/>
  <c r="AI1158" i="7"/>
  <c r="AI1176" i="7"/>
  <c r="AD1078" i="7"/>
  <c r="AI1116" i="7"/>
  <c r="AI1124" i="7"/>
  <c r="AI1132" i="7"/>
  <c r="AD1079" i="7"/>
  <c r="AI1079" i="7" s="1"/>
  <c r="AE1076" i="7"/>
  <c r="AI1112" i="7"/>
  <c r="AI1117" i="7"/>
  <c r="AI1125" i="7"/>
  <c r="AI1133" i="7"/>
  <c r="AI1141" i="7"/>
  <c r="AI1164" i="7"/>
  <c r="AI1118" i="7"/>
  <c r="AI1126" i="7"/>
  <c r="AI1134" i="7"/>
  <c r="AI1142" i="7"/>
  <c r="AI1165" i="7"/>
  <c r="AI1080" i="7"/>
  <c r="AI1119" i="7"/>
  <c r="AI1127" i="7"/>
  <c r="AI1135" i="7"/>
  <c r="AI1143" i="7"/>
  <c r="AI1136" i="7"/>
  <c r="AI1160" i="7"/>
  <c r="AI1096" i="7"/>
  <c r="AI1121" i="7"/>
  <c r="AI1129" i="7"/>
  <c r="AI1137" i="7"/>
  <c r="AD1077" i="7"/>
  <c r="AI1077" i="7" s="1"/>
  <c r="AI1087" i="7"/>
  <c r="AI1122" i="7"/>
  <c r="AI1130" i="7"/>
  <c r="AI1138" i="7"/>
  <c r="AI1162" i="7"/>
  <c r="AI1066" i="7"/>
  <c r="AI1075" i="7"/>
  <c r="AI1108" i="7"/>
  <c r="AI1111" i="7"/>
  <c r="AI1084" i="7"/>
  <c r="AI1064" i="7"/>
  <c r="AI1060" i="7"/>
  <c r="AI1083" i="7"/>
  <c r="AI1063" i="7"/>
  <c r="AI1059" i="7"/>
  <c r="AI1103" i="7"/>
  <c r="AI1099" i="7"/>
  <c r="AI1107" i="7"/>
  <c r="AI1067" i="7"/>
  <c r="AI1072" i="7"/>
  <c r="AI1113" i="7"/>
  <c r="AI1073" i="7"/>
  <c r="AI1069" i="7"/>
  <c r="AI1109" i="7"/>
  <c r="AI1065" i="7"/>
  <c r="AI1061" i="7"/>
  <c r="AI1070" i="7"/>
  <c r="AI1074" i="7"/>
  <c r="AD38" i="14"/>
  <c r="AF38" i="14" s="1"/>
  <c r="AD43" i="14"/>
  <c r="AF43" i="14" s="1"/>
  <c r="AD39" i="14"/>
  <c r="AF39" i="14" s="1"/>
  <c r="AA94" i="14"/>
  <c r="AC94" i="14" s="1"/>
  <c r="AD40" i="14"/>
  <c r="AF40" i="14" s="1"/>
  <c r="AD42" i="14"/>
  <c r="AF42" i="14" s="1"/>
  <c r="AD36" i="14"/>
  <c r="AF36" i="14" s="1"/>
  <c r="AA95" i="14"/>
  <c r="AC95" i="14" s="1"/>
  <c r="AD37" i="14"/>
  <c r="AF37" i="14" s="1"/>
  <c r="AD41" i="14"/>
  <c r="AF41" i="14" s="1"/>
  <c r="AA93" i="14"/>
  <c r="AC93" i="14" s="1"/>
  <c r="L92" i="5"/>
  <c r="L91" i="5"/>
  <c r="L90" i="5"/>
  <c r="L89" i="5"/>
  <c r="L88" i="5"/>
  <c r="L87" i="5"/>
  <c r="O92" i="5"/>
  <c r="O91" i="5"/>
  <c r="O90" i="5"/>
  <c r="O89" i="5"/>
  <c r="O88" i="5"/>
  <c r="O87" i="5"/>
  <c r="O86" i="5"/>
  <c r="O85" i="5"/>
  <c r="O84" i="5"/>
  <c r="L86" i="5"/>
  <c r="L85" i="5"/>
  <c r="L84" i="5"/>
  <c r="AI1078" i="7" l="1"/>
  <c r="AI1076" i="7"/>
  <c r="AU240" i="11"/>
  <c r="AX240" i="11" s="1"/>
  <c r="AY240" i="11" s="1"/>
  <c r="R88" i="5"/>
  <c r="R91" i="5"/>
  <c r="R87" i="5"/>
  <c r="R90" i="5"/>
  <c r="R84" i="5"/>
  <c r="R89" i="5"/>
  <c r="R85" i="5"/>
  <c r="R92" i="5"/>
  <c r="R86" i="5"/>
  <c r="Q74" i="14"/>
  <c r="Q71" i="14"/>
  <c r="AD20" i="14"/>
  <c r="AF20" i="14" s="1"/>
  <c r="AD21" i="14"/>
  <c r="AF21" i="14" s="1"/>
  <c r="AD22" i="14"/>
  <c r="AF22" i="14" s="1"/>
  <c r="AD23" i="14"/>
  <c r="AF23" i="14" s="1"/>
  <c r="AD24" i="14"/>
  <c r="AF24" i="14" s="1"/>
  <c r="AD25" i="14"/>
  <c r="AF25" i="14" s="1"/>
  <c r="AD32" i="14"/>
  <c r="AF32" i="14" s="1"/>
  <c r="AD33" i="14"/>
  <c r="AF33" i="14" s="1"/>
  <c r="AD34" i="14"/>
  <c r="AF34" i="14" s="1"/>
  <c r="AD35" i="14"/>
  <c r="AF35" i="14" s="1"/>
  <c r="AA17" i="14"/>
  <c r="AB17" i="14"/>
  <c r="AA18" i="14"/>
  <c r="AB18" i="14"/>
  <c r="AA19" i="14"/>
  <c r="AB19" i="14"/>
  <c r="AA20" i="14"/>
  <c r="AC20" i="14" s="1"/>
  <c r="AA21" i="14"/>
  <c r="AC21" i="14" s="1"/>
  <c r="AA22" i="14"/>
  <c r="AC22" i="14" s="1"/>
  <c r="AA23" i="14"/>
  <c r="AC23" i="14" s="1"/>
  <c r="AA24" i="14"/>
  <c r="AC24" i="14" s="1"/>
  <c r="AA25" i="14"/>
  <c r="AC25" i="14" s="1"/>
  <c r="AA32" i="14"/>
  <c r="AC32" i="14" s="1"/>
  <c r="AA33" i="14"/>
  <c r="AC33" i="14" s="1"/>
  <c r="AA34" i="14"/>
  <c r="AC34" i="14" s="1"/>
  <c r="AA35" i="14"/>
  <c r="AC35" i="14" s="1"/>
  <c r="AA36" i="14"/>
  <c r="AC36" i="14" s="1"/>
  <c r="AA37" i="14"/>
  <c r="AC37" i="14" s="1"/>
  <c r="AA53" i="14"/>
  <c r="AC53" i="14" s="1"/>
  <c r="AA54" i="14"/>
  <c r="AC54" i="14" s="1"/>
  <c r="AA55" i="14"/>
  <c r="AC55" i="14" s="1"/>
  <c r="AA56" i="14"/>
  <c r="AC56" i="14" s="1"/>
  <c r="AA57" i="14"/>
  <c r="AC57" i="14" s="1"/>
  <c r="AA58" i="14"/>
  <c r="AC58" i="14" s="1"/>
  <c r="AA59" i="14"/>
  <c r="AC59" i="14" s="1"/>
  <c r="AA60" i="14"/>
  <c r="AC60" i="14" s="1"/>
  <c r="AA61" i="14"/>
  <c r="AC61" i="14" s="1"/>
  <c r="AA62" i="14"/>
  <c r="AC62" i="14" s="1"/>
  <c r="AA63" i="14"/>
  <c r="AC63" i="14" s="1"/>
  <c r="AA64" i="14"/>
  <c r="AC64" i="14" s="1"/>
  <c r="AA65" i="14"/>
  <c r="AC65" i="14" s="1"/>
  <c r="AA66" i="14"/>
  <c r="AC66" i="14" s="1"/>
  <c r="AA67" i="14"/>
  <c r="AC67" i="14" s="1"/>
  <c r="AA68" i="14"/>
  <c r="AC68" i="14" s="1"/>
  <c r="AA69" i="14"/>
  <c r="AC69" i="14" s="1"/>
  <c r="AA70" i="14"/>
  <c r="AC70" i="14" s="1"/>
  <c r="AA71" i="14"/>
  <c r="AC71" i="14" s="1"/>
  <c r="AA72" i="14"/>
  <c r="AC72" i="14" s="1"/>
  <c r="AA73" i="14"/>
  <c r="AC73" i="14" s="1"/>
  <c r="AA74" i="14"/>
  <c r="AC74" i="14" s="1"/>
  <c r="AA75" i="14"/>
  <c r="AC75" i="14" s="1"/>
  <c r="AA76" i="14"/>
  <c r="AC76" i="14" s="1"/>
  <c r="AA77" i="14"/>
  <c r="AC77" i="14" s="1"/>
  <c r="AA78" i="14"/>
  <c r="AC78" i="14" s="1"/>
  <c r="AA79" i="14"/>
  <c r="AC79" i="14" s="1"/>
  <c r="AA80" i="14"/>
  <c r="AC80" i="14" s="1"/>
  <c r="AA81" i="14"/>
  <c r="AC81" i="14" s="1"/>
  <c r="AA86" i="14"/>
  <c r="AC86" i="14" s="1"/>
  <c r="AA87" i="14"/>
  <c r="AC87" i="14" s="1"/>
  <c r="AA88" i="14"/>
  <c r="AC88" i="14" s="1"/>
  <c r="AA89" i="14"/>
  <c r="AC89" i="14" s="1"/>
  <c r="AA90" i="14"/>
  <c r="AC90" i="14" s="1"/>
  <c r="AA91" i="14"/>
  <c r="AC91" i="14" s="1"/>
  <c r="AF240" i="7"/>
  <c r="AE240" i="7"/>
  <c r="AD240" i="7"/>
  <c r="AD241" i="7"/>
  <c r="AE241" i="7"/>
  <c r="AF241" i="7"/>
  <c r="AD242" i="7"/>
  <c r="AE242" i="7"/>
  <c r="AF242" i="7"/>
  <c r="AD243" i="7"/>
  <c r="AD244" i="7"/>
  <c r="AD245" i="7"/>
  <c r="AV43" i="8"/>
  <c r="AV42" i="8"/>
  <c r="AV41" i="8"/>
  <c r="AV39" i="8"/>
  <c r="AV40" i="8"/>
  <c r="AV38" i="8"/>
  <c r="AV37" i="8"/>
  <c r="AV34" i="8"/>
  <c r="AV36" i="8"/>
  <c r="AV35" i="8"/>
  <c r="AV33" i="8"/>
  <c r="AV32" i="8"/>
  <c r="AI26" i="8"/>
  <c r="AI27" i="8"/>
  <c r="AI28" i="8"/>
  <c r="AI29" i="8"/>
  <c r="AI30" i="8"/>
  <c r="AO30" i="8" s="1"/>
  <c r="AI31" i="8"/>
  <c r="AO31" i="8" s="1"/>
  <c r="AI32" i="8"/>
  <c r="AI33" i="8"/>
  <c r="AI34" i="8"/>
  <c r="AI35" i="8"/>
  <c r="AI36" i="8"/>
  <c r="AI37" i="8"/>
  <c r="AI38" i="8"/>
  <c r="AI39" i="8"/>
  <c r="AI40" i="8"/>
  <c r="AI41" i="8"/>
  <c r="AI42" i="8"/>
  <c r="AI43" i="8"/>
  <c r="R71" i="5"/>
  <c r="R72" i="5"/>
  <c r="R73" i="5"/>
  <c r="R74" i="5"/>
  <c r="R75" i="5"/>
  <c r="R76" i="5"/>
  <c r="R81" i="5"/>
  <c r="R82" i="5"/>
  <c r="R83" i="5"/>
  <c r="R8" i="5"/>
  <c r="AA196" i="6"/>
  <c r="AA193" i="6"/>
  <c r="AA194" i="6"/>
  <c r="AA195" i="6"/>
  <c r="AA185" i="6"/>
  <c r="AA186" i="6"/>
  <c r="AA188" i="6"/>
  <c r="AA189" i="6"/>
  <c r="AA184" i="6"/>
  <c r="V12" i="12"/>
  <c r="AE201" i="11"/>
  <c r="AF201" i="11"/>
  <c r="AF200" i="11"/>
  <c r="AE200" i="11"/>
  <c r="AB201" i="11"/>
  <c r="AB200" i="11"/>
  <c r="AE190" i="11"/>
  <c r="AE169" i="11"/>
  <c r="AE168" i="11"/>
  <c r="AE137" i="11"/>
  <c r="AE138" i="11"/>
  <c r="AE139" i="11"/>
  <c r="AE140" i="11"/>
  <c r="AE141" i="11"/>
  <c r="AE142" i="11"/>
  <c r="AE143" i="11"/>
  <c r="AE144" i="11"/>
  <c r="AE145" i="11"/>
  <c r="AE146" i="11"/>
  <c r="AE147" i="11"/>
  <c r="AE148" i="11"/>
  <c r="AE149" i="11"/>
  <c r="AE150" i="11"/>
  <c r="AE151" i="11"/>
  <c r="AE136" i="11"/>
  <c r="AA79" i="11"/>
  <c r="AA80" i="11"/>
  <c r="AA81" i="11"/>
  <c r="AA82" i="11"/>
  <c r="AA83" i="11"/>
  <c r="AA84" i="11"/>
  <c r="AA85" i="11"/>
  <c r="AA86" i="11"/>
  <c r="AA87" i="11"/>
  <c r="AA88" i="11"/>
  <c r="AA89" i="11"/>
  <c r="AA90" i="11"/>
  <c r="AA91" i="11"/>
  <c r="AA92" i="11"/>
  <c r="AA93" i="11"/>
  <c r="AA94" i="11"/>
  <c r="AA95" i="11"/>
  <c r="AA98" i="11"/>
  <c r="AA99" i="11"/>
  <c r="AA100" i="11"/>
  <c r="AA101" i="11"/>
  <c r="AA102" i="11"/>
  <c r="AA103" i="11"/>
  <c r="AA104" i="11"/>
  <c r="AA105" i="11"/>
  <c r="AA106" i="11"/>
  <c r="AA107" i="11"/>
  <c r="AA108" i="11"/>
  <c r="AA109" i="11"/>
  <c r="AA110" i="11"/>
  <c r="AA111" i="11"/>
  <c r="AA112" i="11"/>
  <c r="AA113" i="11"/>
  <c r="AA114" i="11"/>
  <c r="AA115" i="11"/>
  <c r="AA116"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7" i="11"/>
  <c r="AA148" i="11"/>
  <c r="AA149" i="11"/>
  <c r="AA150" i="11"/>
  <c r="AA151" i="11"/>
  <c r="AA152" i="11"/>
  <c r="AA153" i="11"/>
  <c r="AA155" i="11"/>
  <c r="AA156" i="11"/>
  <c r="AA157" i="11"/>
  <c r="AA158" i="11"/>
  <c r="AA159" i="11"/>
  <c r="AA160" i="11"/>
  <c r="AA161" i="11"/>
  <c r="AA162" i="11"/>
  <c r="AA163" i="11"/>
  <c r="AA164" i="11"/>
  <c r="AA165" i="11"/>
  <c r="AA166" i="11"/>
  <c r="AA167" i="11"/>
  <c r="AA168" i="11"/>
  <c r="AA169" i="11"/>
  <c r="AA172" i="11"/>
  <c r="AA173" i="11"/>
  <c r="AA174" i="11"/>
  <c r="AA175" i="11"/>
  <c r="AA176" i="11"/>
  <c r="AA177" i="11"/>
  <c r="AA178" i="11"/>
  <c r="AA179" i="11"/>
  <c r="AA180" i="11"/>
  <c r="AA181" i="11"/>
  <c r="AA182" i="11"/>
  <c r="AA183" i="11"/>
  <c r="AA184" i="11"/>
  <c r="AA185" i="11"/>
  <c r="AA186" i="11"/>
  <c r="AA187" i="11"/>
  <c r="AA188" i="11"/>
  <c r="AA190" i="11"/>
  <c r="AA200" i="11"/>
  <c r="AA201" i="11"/>
  <c r="AA202" i="11"/>
  <c r="AE62" i="11"/>
  <c r="AE63" i="11"/>
  <c r="AE65" i="11"/>
  <c r="AE66" i="11"/>
  <c r="AE68" i="11"/>
  <c r="AE69" i="11"/>
  <c r="AE71" i="11"/>
  <c r="AE72" i="11"/>
  <c r="AE74" i="11"/>
  <c r="AE75" i="11"/>
  <c r="AE77" i="11"/>
  <c r="AE78" i="11"/>
  <c r="AE87" i="11"/>
  <c r="AE88" i="11"/>
  <c r="AE89" i="11"/>
  <c r="AE90" i="11"/>
  <c r="AE91" i="11"/>
  <c r="AE92" i="11"/>
  <c r="AE93" i="11"/>
  <c r="AE94" i="11"/>
  <c r="AE95" i="11"/>
  <c r="AE96" i="11"/>
  <c r="AE97" i="11"/>
  <c r="AE49" i="11"/>
  <c r="AE50" i="11"/>
  <c r="AE51" i="11"/>
  <c r="AE55" i="11"/>
  <c r="AE56" i="11"/>
  <c r="AE57" i="11"/>
  <c r="AE58" i="11"/>
  <c r="AE59" i="11"/>
  <c r="AE60" i="11"/>
  <c r="AE43" i="11"/>
  <c r="AA49" i="11"/>
  <c r="AA50" i="11"/>
  <c r="AA51" i="11"/>
  <c r="AA52" i="11"/>
  <c r="AA53" i="11"/>
  <c r="AA54" i="11"/>
  <c r="AA55" i="11"/>
  <c r="AA56" i="11"/>
  <c r="AA57" i="11"/>
  <c r="AA58" i="11"/>
  <c r="AA59" i="11"/>
  <c r="AA60" i="11"/>
  <c r="AA61" i="11"/>
  <c r="AA62" i="11"/>
  <c r="AA63" i="11"/>
  <c r="AA64" i="11"/>
  <c r="AA65" i="11"/>
  <c r="AA66" i="11"/>
  <c r="AA67" i="11"/>
  <c r="AA68" i="11"/>
  <c r="AA69" i="11"/>
  <c r="AA70" i="11"/>
  <c r="AA71" i="11"/>
  <c r="AA72" i="11"/>
  <c r="AA73" i="11"/>
  <c r="AA74" i="11"/>
  <c r="AA75" i="11"/>
  <c r="AA76" i="11"/>
  <c r="AA77" i="11"/>
  <c r="AA78" i="11"/>
  <c r="AA42" i="11"/>
  <c r="AE30" i="11"/>
  <c r="AE31" i="11"/>
  <c r="AE29" i="11"/>
  <c r="AA3" i="11"/>
  <c r="AA4" i="11"/>
  <c r="AA5" i="11"/>
  <c r="AA6" i="11"/>
  <c r="AA7" i="11"/>
  <c r="AA8" i="11"/>
  <c r="AA9" i="11"/>
  <c r="AA10" i="11"/>
  <c r="AA11" i="11"/>
  <c r="AA12" i="11"/>
  <c r="AA13" i="11"/>
  <c r="AA14" i="11"/>
  <c r="AA15" i="11"/>
  <c r="AA16" i="11"/>
  <c r="AA17" i="11"/>
  <c r="AA18" i="11"/>
  <c r="AA19" i="11"/>
  <c r="AA20" i="11"/>
  <c r="AA21" i="11"/>
  <c r="AA22" i="11"/>
  <c r="AA23" i="11"/>
  <c r="AA24" i="11"/>
  <c r="AA25" i="11"/>
  <c r="AA26" i="11"/>
  <c r="AO26" i="11" s="1"/>
  <c r="AR26" i="11" s="1"/>
  <c r="AA28" i="11"/>
  <c r="AA29" i="11"/>
  <c r="AA30" i="11"/>
  <c r="AA31" i="11"/>
  <c r="AA2" i="11"/>
  <c r="AW208" i="11"/>
  <c r="AW209" i="11"/>
  <c r="AW210" i="11"/>
  <c r="AW207" i="11"/>
  <c r="AO27" i="10"/>
  <c r="AO3" i="10"/>
  <c r="AO4" i="10"/>
  <c r="AO5" i="10"/>
  <c r="AO6" i="10"/>
  <c r="AO7" i="10"/>
  <c r="AO8" i="10"/>
  <c r="AO9" i="10"/>
  <c r="AO10" i="10"/>
  <c r="AO25" i="10"/>
  <c r="AO26" i="10"/>
  <c r="AO2" i="10"/>
  <c r="AL73" i="7"/>
  <c r="AO73" i="7" s="1"/>
  <c r="AL74" i="7"/>
  <c r="AO74" i="7" s="1"/>
  <c r="AL75" i="7"/>
  <c r="AO75" i="7" s="1"/>
  <c r="AL76" i="7"/>
  <c r="AO76" i="7" s="1"/>
  <c r="AL77" i="7"/>
  <c r="AO77" i="7" s="1"/>
  <c r="AL78" i="7"/>
  <c r="AO78" i="7" s="1"/>
  <c r="AL79" i="7"/>
  <c r="AO79" i="7" s="1"/>
  <c r="AL80" i="7"/>
  <c r="AO80" i="7" s="1"/>
  <c r="AL81" i="7"/>
  <c r="AO81" i="7" s="1"/>
  <c r="AL82" i="7"/>
  <c r="AO82" i="7" s="1"/>
  <c r="AL83" i="7"/>
  <c r="AO83" i="7" s="1"/>
  <c r="AL84" i="7"/>
  <c r="AO84" i="7" s="1"/>
  <c r="AL85" i="7"/>
  <c r="AO85" i="7" s="1"/>
  <c r="AL86" i="7"/>
  <c r="AO86" i="7" s="1"/>
  <c r="AL87" i="7"/>
  <c r="AO87" i="7" s="1"/>
  <c r="AL88" i="7"/>
  <c r="AO88" i="7" s="1"/>
  <c r="AL89" i="7"/>
  <c r="AO89" i="7" s="1"/>
  <c r="AL90" i="7"/>
  <c r="AO90" i="7" s="1"/>
  <c r="AL91" i="7"/>
  <c r="AO91" i="7" s="1"/>
  <c r="AL92" i="7"/>
  <c r="AO92" i="7" s="1"/>
  <c r="AL93" i="7"/>
  <c r="AO93" i="7" s="1"/>
  <c r="AL94" i="7"/>
  <c r="AO94" i="7" s="1"/>
  <c r="AL95" i="7"/>
  <c r="AO95" i="7" s="1"/>
  <c r="AL96" i="7"/>
  <c r="AO96" i="7" s="1"/>
  <c r="AL97" i="7"/>
  <c r="AO97" i="7" s="1"/>
  <c r="AL98" i="7"/>
  <c r="AO98" i="7" s="1"/>
  <c r="AL99" i="7"/>
  <c r="AO99" i="7" s="1"/>
  <c r="AL100" i="7"/>
  <c r="AO100" i="7" s="1"/>
  <c r="AL101" i="7"/>
  <c r="AO101" i="7" s="1"/>
  <c r="AL102" i="7"/>
  <c r="AO102" i="7" s="1"/>
  <c r="AL103" i="7"/>
  <c r="AO103" i="7" s="1"/>
  <c r="AL104" i="7"/>
  <c r="AO104" i="7" s="1"/>
  <c r="AL105" i="7"/>
  <c r="AO105" i="7" s="1"/>
  <c r="AL106" i="7"/>
  <c r="AO106" i="7" s="1"/>
  <c r="AL107" i="7"/>
  <c r="AO107" i="7" s="1"/>
  <c r="AL108" i="7"/>
  <c r="AO108" i="7" s="1"/>
  <c r="AL109" i="7"/>
  <c r="AO109" i="7" s="1"/>
  <c r="AL110" i="7"/>
  <c r="AO110" i="7" s="1"/>
  <c r="AL111" i="7"/>
  <c r="AO111" i="7" s="1"/>
  <c r="AL112" i="7"/>
  <c r="AO112" i="7" s="1"/>
  <c r="AL113" i="7"/>
  <c r="AO113" i="7" s="1"/>
  <c r="AL114" i="7"/>
  <c r="AO114" i="7" s="1"/>
  <c r="AL115" i="7"/>
  <c r="AO115" i="7" s="1"/>
  <c r="AL116" i="7"/>
  <c r="AO116" i="7" s="1"/>
  <c r="AL117" i="7"/>
  <c r="AO117" i="7" s="1"/>
  <c r="AL118" i="7"/>
  <c r="AO118" i="7" s="1"/>
  <c r="AL119" i="7"/>
  <c r="AO119" i="7" s="1"/>
  <c r="AL120" i="7"/>
  <c r="AO120" i="7" s="1"/>
  <c r="AL121" i="7"/>
  <c r="AO121" i="7" s="1"/>
  <c r="AL122" i="7"/>
  <c r="AO122" i="7" s="1"/>
  <c r="AL123" i="7"/>
  <c r="AO123" i="7" s="1"/>
  <c r="AL124" i="7"/>
  <c r="AO124" i="7" s="1"/>
  <c r="AL125" i="7"/>
  <c r="AO125" i="7" s="1"/>
  <c r="AL126" i="7"/>
  <c r="AO126" i="7" s="1"/>
  <c r="AL127" i="7"/>
  <c r="AO127" i="7" s="1"/>
  <c r="AL128" i="7"/>
  <c r="AO128" i="7" s="1"/>
  <c r="AL129" i="7"/>
  <c r="AO129" i="7" s="1"/>
  <c r="AL130" i="7"/>
  <c r="AO130" i="7" s="1"/>
  <c r="AL131" i="7"/>
  <c r="AO131" i="7" s="1"/>
  <c r="AL132" i="7"/>
  <c r="AO132" i="7" s="1"/>
  <c r="AL133" i="7"/>
  <c r="AO133" i="7" s="1"/>
  <c r="AL134" i="7"/>
  <c r="AO134" i="7" s="1"/>
  <c r="AL135" i="7"/>
  <c r="AO135" i="7" s="1"/>
  <c r="AL136" i="7"/>
  <c r="AO136" i="7" s="1"/>
  <c r="AL137" i="7"/>
  <c r="AO137" i="7" s="1"/>
  <c r="AL138" i="7"/>
  <c r="AO138" i="7" s="1"/>
  <c r="AL139" i="7"/>
  <c r="AO139" i="7" s="1"/>
  <c r="AL140" i="7"/>
  <c r="AO140" i="7" s="1"/>
  <c r="AL141" i="7"/>
  <c r="AO141" i="7" s="1"/>
  <c r="AL142" i="7"/>
  <c r="AO142" i="7" s="1"/>
  <c r="AL143" i="7"/>
  <c r="AO143" i="7" s="1"/>
  <c r="AL144" i="7"/>
  <c r="AO144" i="7" s="1"/>
  <c r="AL145" i="7"/>
  <c r="AO145" i="7" s="1"/>
  <c r="AL146" i="7"/>
  <c r="AO146" i="7" s="1"/>
  <c r="AL147" i="7"/>
  <c r="AO147" i="7" s="1"/>
  <c r="AL148" i="7"/>
  <c r="AO148" i="7" s="1"/>
  <c r="AL149" i="7"/>
  <c r="AO149" i="7" s="1"/>
  <c r="AL150" i="7"/>
  <c r="AO150" i="7" s="1"/>
  <c r="AL151" i="7"/>
  <c r="AO151" i="7" s="1"/>
  <c r="AL152" i="7"/>
  <c r="AO152" i="7" s="1"/>
  <c r="AL153" i="7"/>
  <c r="AO153" i="7" s="1"/>
  <c r="AL154" i="7"/>
  <c r="AO154" i="7" s="1"/>
  <c r="AL155" i="7"/>
  <c r="AO155" i="7" s="1"/>
  <c r="AL156" i="7"/>
  <c r="AO156" i="7" s="1"/>
  <c r="AL157" i="7"/>
  <c r="AO157" i="7" s="1"/>
  <c r="AL158" i="7"/>
  <c r="AO158" i="7" s="1"/>
  <c r="AL159" i="7"/>
  <c r="AO159" i="7" s="1"/>
  <c r="AL160" i="7"/>
  <c r="AO160" i="7" s="1"/>
  <c r="AL161" i="7"/>
  <c r="AO161" i="7" s="1"/>
  <c r="AL162" i="7"/>
  <c r="AO162" i="7" s="1"/>
  <c r="AL163" i="7"/>
  <c r="AO163" i="7" s="1"/>
  <c r="AL164" i="7"/>
  <c r="AO164" i="7" s="1"/>
  <c r="AL165" i="7"/>
  <c r="AO165" i="7" s="1"/>
  <c r="AL166" i="7"/>
  <c r="AO166" i="7" s="1"/>
  <c r="AL167" i="7"/>
  <c r="AO167" i="7" s="1"/>
  <c r="AL168" i="7"/>
  <c r="AO168" i="7" s="1"/>
  <c r="AL169" i="7"/>
  <c r="AO169" i="7" s="1"/>
  <c r="AL170" i="7"/>
  <c r="AO170" i="7" s="1"/>
  <c r="AL171" i="7"/>
  <c r="AO171" i="7" s="1"/>
  <c r="AL172" i="7"/>
  <c r="AO172" i="7" s="1"/>
  <c r="AL173" i="7"/>
  <c r="AO173" i="7" s="1"/>
  <c r="AL174" i="7"/>
  <c r="AO174" i="7" s="1"/>
  <c r="AL175" i="7"/>
  <c r="AO175" i="7" s="1"/>
  <c r="AL176" i="7"/>
  <c r="AO176" i="7" s="1"/>
  <c r="AL177" i="7"/>
  <c r="AO177" i="7" s="1"/>
  <c r="AL178" i="7"/>
  <c r="AO178" i="7" s="1"/>
  <c r="AL179" i="7"/>
  <c r="AO179" i="7" s="1"/>
  <c r="AL180" i="7"/>
  <c r="AO180" i="7" s="1"/>
  <c r="AL181" i="7"/>
  <c r="AO181" i="7" s="1"/>
  <c r="AL182" i="7"/>
  <c r="AO182" i="7" s="1"/>
  <c r="AL199" i="7"/>
  <c r="AO199" i="7" s="1"/>
  <c r="AP199" i="7" s="1"/>
  <c r="AL200" i="7"/>
  <c r="AO200" i="7" s="1"/>
  <c r="AP200" i="7" s="1"/>
  <c r="AL201" i="7"/>
  <c r="AO201" i="7" s="1"/>
  <c r="AP201" i="7" s="1"/>
  <c r="AL202" i="7"/>
  <c r="AO202" i="7" s="1"/>
  <c r="AP202" i="7" s="1"/>
  <c r="AO225" i="7"/>
  <c r="AP225" i="7" s="1"/>
  <c r="AL226" i="7"/>
  <c r="AL227" i="7"/>
  <c r="AO227" i="7" s="1"/>
  <c r="AP227" i="7" s="1"/>
  <c r="AL228" i="7"/>
  <c r="AO228" i="7" s="1"/>
  <c r="AP228" i="7" s="1"/>
  <c r="AL255" i="7"/>
  <c r="AO255" i="7" s="1"/>
  <c r="AL256" i="7"/>
  <c r="AO256" i="7" s="1"/>
  <c r="AL257" i="7"/>
  <c r="AO257" i="7" s="1"/>
  <c r="AL258" i="7"/>
  <c r="AO258" i="7" s="1"/>
  <c r="AL259" i="7"/>
  <c r="AO259" i="7" s="1"/>
  <c r="AL260" i="7"/>
  <c r="AO260" i="7" s="1"/>
  <c r="AL261" i="7"/>
  <c r="AO261" i="7" s="1"/>
  <c r="AL262" i="7"/>
  <c r="AO262" i="7" s="1"/>
  <c r="AL263" i="7"/>
  <c r="AO263" i="7" s="1"/>
  <c r="AL276" i="7"/>
  <c r="AL277" i="7"/>
  <c r="AL278" i="7"/>
  <c r="AL279" i="7"/>
  <c r="AL280" i="7"/>
  <c r="AL281" i="7"/>
  <c r="AL282" i="7"/>
  <c r="AL283" i="7"/>
  <c r="AL385" i="7"/>
  <c r="AL386" i="7"/>
  <c r="AL390" i="7"/>
  <c r="AO390" i="7" s="1"/>
  <c r="AL391" i="7"/>
  <c r="AO391" i="7" s="1"/>
  <c r="AJ12" i="10"/>
  <c r="AJ11" i="10"/>
  <c r="AR33" i="11"/>
  <c r="AR34" i="11"/>
  <c r="AR35" i="11"/>
  <c r="AR36" i="11"/>
  <c r="AR37" i="11"/>
  <c r="AR32" i="11"/>
  <c r="AR189" i="11"/>
  <c r="U31" i="8"/>
  <c r="U30" i="8"/>
  <c r="AV31" i="8"/>
  <c r="AV30" i="8"/>
  <c r="AO283" i="7" l="1"/>
  <c r="AO385" i="7"/>
  <c r="AP385" i="7" s="1"/>
  <c r="AO276" i="7"/>
  <c r="AO37" i="8"/>
  <c r="AP37" i="8"/>
  <c r="AQ37" i="8"/>
  <c r="AO36" i="8"/>
  <c r="AP36" i="8"/>
  <c r="AQ36" i="8"/>
  <c r="AO43" i="8"/>
  <c r="AP43" i="8"/>
  <c r="AQ43" i="8"/>
  <c r="AO35" i="8"/>
  <c r="AQ35" i="8"/>
  <c r="AP35" i="8"/>
  <c r="AO27" i="8"/>
  <c r="AP27" i="8"/>
  <c r="AQ27" i="8"/>
  <c r="AO42" i="8"/>
  <c r="AP42" i="8"/>
  <c r="AQ42" i="8"/>
  <c r="AO34" i="8"/>
  <c r="AP34" i="8"/>
  <c r="AQ34" i="8"/>
  <c r="AO26" i="8"/>
  <c r="AP26" i="8"/>
  <c r="AQ26" i="8"/>
  <c r="AO38" i="8"/>
  <c r="AP38" i="8"/>
  <c r="AQ38" i="8"/>
  <c r="AO41" i="8"/>
  <c r="AP41" i="8"/>
  <c r="AQ41" i="8"/>
  <c r="AO33" i="8"/>
  <c r="AP33" i="8"/>
  <c r="AQ33" i="8"/>
  <c r="AO25" i="8"/>
  <c r="AQ25" i="8"/>
  <c r="AP25" i="8"/>
  <c r="AO40" i="8"/>
  <c r="AP40" i="8"/>
  <c r="AQ40" i="8"/>
  <c r="AO32" i="8"/>
  <c r="AP32" i="8"/>
  <c r="AQ32" i="8"/>
  <c r="AO29" i="8"/>
  <c r="AQ29" i="8"/>
  <c r="AP29" i="8"/>
  <c r="AO28" i="8"/>
  <c r="AP28" i="8"/>
  <c r="AQ28" i="8"/>
  <c r="AO39" i="8"/>
  <c r="AQ39" i="8"/>
  <c r="AP39" i="8"/>
  <c r="AO278" i="7"/>
  <c r="AO226" i="7"/>
  <c r="AP226" i="7" s="1"/>
  <c r="AO281" i="7"/>
  <c r="AO279" i="7"/>
  <c r="AC18" i="14"/>
  <c r="AO282" i="7"/>
  <c r="AC17" i="14"/>
  <c r="AC19" i="14"/>
  <c r="AV201" i="11"/>
  <c r="AV200" i="11"/>
  <c r="AU201" i="11"/>
  <c r="AO280" i="7"/>
  <c r="AU200" i="11"/>
  <c r="AO386" i="7"/>
  <c r="AP386" i="7" s="1"/>
  <c r="AO277" i="7"/>
  <c r="AP212" i="11"/>
  <c r="AP213" i="11"/>
  <c r="AP214" i="11"/>
  <c r="AP215" i="11"/>
  <c r="AP216" i="11"/>
  <c r="AP217" i="11"/>
  <c r="AP218" i="11"/>
  <c r="AP219" i="11"/>
  <c r="AP220" i="11"/>
  <c r="AP221" i="11"/>
  <c r="AP222" i="11"/>
  <c r="AP223" i="11"/>
  <c r="AP224" i="11"/>
  <c r="AP225" i="11"/>
  <c r="AP226" i="11"/>
  <c r="AP227" i="11"/>
  <c r="AP228" i="11"/>
  <c r="AP229" i="11"/>
  <c r="AP230" i="11"/>
  <c r="AP231" i="11"/>
  <c r="AP211" i="11"/>
  <c r="AL209" i="11"/>
  <c r="AA209" i="11" s="1"/>
  <c r="AL207" i="11"/>
  <c r="AQ208" i="11"/>
  <c r="AQ209" i="11"/>
  <c r="AQ210" i="11"/>
  <c r="AQ207" i="11"/>
  <c r="AP208" i="11"/>
  <c r="AP209" i="11"/>
  <c r="AP210" i="11"/>
  <c r="AP207" i="11"/>
  <c r="K286" i="7"/>
  <c r="K285" i="7"/>
  <c r="K284" i="7"/>
  <c r="K275" i="7"/>
  <c r="L275" i="7"/>
  <c r="AE65" i="10"/>
  <c r="W65" i="10" s="1"/>
  <c r="AH65" i="10" s="1"/>
  <c r="AJ65" i="10" s="1"/>
  <c r="AE63" i="10"/>
  <c r="W63" i="10" s="1"/>
  <c r="AH63" i="10" s="1"/>
  <c r="AJ63" i="10" s="1"/>
  <c r="AE64" i="10"/>
  <c r="W64" i="10" s="1"/>
  <c r="AH64" i="10" s="1"/>
  <c r="AJ64" i="10" s="1"/>
  <c r="AE62" i="10"/>
  <c r="W62" i="10" s="1"/>
  <c r="AH62" i="10" s="1"/>
  <c r="AJ62" i="10" s="1"/>
  <c r="W40" i="10"/>
  <c r="W41" i="10"/>
  <c r="W42" i="10"/>
  <c r="W43" i="10"/>
  <c r="W44" i="10"/>
  <c r="W45" i="10"/>
  <c r="W46" i="10"/>
  <c r="W47" i="10"/>
  <c r="W48" i="10"/>
  <c r="W49" i="10"/>
  <c r="W50" i="10"/>
  <c r="W51" i="10"/>
  <c r="W52" i="10"/>
  <c r="W53" i="10"/>
  <c r="W54" i="10"/>
  <c r="W55" i="10"/>
  <c r="AD48" i="10"/>
  <c r="AD49" i="10"/>
  <c r="AD50" i="10"/>
  <c r="AD51" i="10"/>
  <c r="AD52" i="10"/>
  <c r="AD53" i="10"/>
  <c r="AD54" i="10"/>
  <c r="AD55" i="10"/>
  <c r="AD47" i="10"/>
  <c r="AD41" i="10"/>
  <c r="AD42" i="10"/>
  <c r="AD43" i="10"/>
  <c r="AD44" i="10"/>
  <c r="AD45" i="10"/>
  <c r="AD46" i="10"/>
  <c r="AD40" i="10"/>
  <c r="W29" i="10"/>
  <c r="W30" i="10"/>
  <c r="W31" i="10"/>
  <c r="W32" i="10"/>
  <c r="W33" i="10"/>
  <c r="W34" i="10"/>
  <c r="W35" i="10"/>
  <c r="W36" i="10"/>
  <c r="W37" i="10"/>
  <c r="W38" i="10"/>
  <c r="W39" i="10"/>
  <c r="W28" i="10"/>
  <c r="AD35" i="10"/>
  <c r="AD36" i="10"/>
  <c r="AD37" i="10"/>
  <c r="AD38" i="10"/>
  <c r="AD39" i="10"/>
  <c r="AD29" i="10"/>
  <c r="AD30" i="10"/>
  <c r="AD31" i="10"/>
  <c r="AD32" i="10"/>
  <c r="AD33" i="10"/>
  <c r="AD34" i="10"/>
  <c r="AD28" i="10"/>
  <c r="AE24" i="10"/>
  <c r="X24" i="10" s="1"/>
  <c r="AM24" i="10" s="1"/>
  <c r="AE23" i="10"/>
  <c r="X23" i="10" s="1"/>
  <c r="AM23" i="10" s="1"/>
  <c r="AE22" i="10"/>
  <c r="X22" i="10" s="1"/>
  <c r="AM22" i="10" s="1"/>
  <c r="AE17" i="10"/>
  <c r="X17" i="10" s="1"/>
  <c r="AM17" i="10" s="1"/>
  <c r="AE18" i="10"/>
  <c r="X18" i="10" s="1"/>
  <c r="AM18" i="10" s="1"/>
  <c r="AE16" i="10"/>
  <c r="X16" i="10" s="1"/>
  <c r="AM16" i="10" s="1"/>
  <c r="AE21" i="10"/>
  <c r="X21" i="10" s="1"/>
  <c r="AM21" i="10" s="1"/>
  <c r="AE20" i="10"/>
  <c r="X20" i="10" s="1"/>
  <c r="AM20" i="10" s="1"/>
  <c r="AE19" i="10"/>
  <c r="X19" i="10" s="1"/>
  <c r="AM19" i="10" s="1"/>
  <c r="AE14" i="10"/>
  <c r="X14" i="10" s="1"/>
  <c r="AM14" i="10" s="1"/>
  <c r="AE15" i="10"/>
  <c r="X15" i="10" s="1"/>
  <c r="AM15" i="10" s="1"/>
  <c r="AE13" i="10"/>
  <c r="X13" i="10" s="1"/>
  <c r="AM13" i="10" s="1"/>
  <c r="AK206" i="11"/>
  <c r="AK205" i="11"/>
  <c r="AK204" i="11"/>
  <c r="AK203" i="11"/>
  <c r="P206" i="11"/>
  <c r="P205" i="11"/>
  <c r="P204" i="11"/>
  <c r="P203" i="11"/>
  <c r="AD1037" i="7"/>
  <c r="AI1037" i="7" s="1"/>
  <c r="AD1038" i="7"/>
  <c r="AI1038" i="7" s="1"/>
  <c r="AD1039" i="7"/>
  <c r="AI1039" i="7" s="1"/>
  <c r="AD1040" i="7"/>
  <c r="AI1040" i="7" s="1"/>
  <c r="AD1041" i="7"/>
  <c r="AI1041" i="7" s="1"/>
  <c r="AD1042" i="7"/>
  <c r="AI1042" i="7" s="1"/>
  <c r="AD1043" i="7"/>
  <c r="AI1043" i="7" s="1"/>
  <c r="AD1044" i="7"/>
  <c r="AI1044" i="7" s="1"/>
  <c r="AD1045" i="7"/>
  <c r="AI1045" i="7" s="1"/>
  <c r="AD1046" i="7"/>
  <c r="AI1046" i="7" s="1"/>
  <c r="AD1047" i="7"/>
  <c r="AI1047" i="7" s="1"/>
  <c r="AD1048" i="7"/>
  <c r="AI1048" i="7" s="1"/>
  <c r="AD1049" i="7"/>
  <c r="AI1049" i="7" s="1"/>
  <c r="AD1050" i="7"/>
  <c r="AI1050" i="7" s="1"/>
  <c r="AD1051" i="7"/>
  <c r="AI1051" i="7" s="1"/>
  <c r="AD1052" i="7"/>
  <c r="AI1052" i="7" s="1"/>
  <c r="AD1053" i="7"/>
  <c r="AI1053" i="7" s="1"/>
  <c r="AD1054" i="7"/>
  <c r="AI1054" i="7" s="1"/>
  <c r="AD1055" i="7"/>
  <c r="AI1055" i="7" s="1"/>
  <c r="AD1056" i="7"/>
  <c r="AI1056" i="7" s="1"/>
  <c r="AD1057" i="7"/>
  <c r="AI1057" i="7" s="1"/>
  <c r="AD1036" i="7"/>
  <c r="AI1036" i="7" s="1"/>
  <c r="AH3" i="10"/>
  <c r="AH4" i="10"/>
  <c r="AH5" i="10"/>
  <c r="AH6" i="10"/>
  <c r="AH7" i="10"/>
  <c r="AH8" i="10"/>
  <c r="AH9" i="10"/>
  <c r="AH2" i="10"/>
  <c r="Q286" i="6"/>
  <c r="Q285" i="6"/>
  <c r="Q284" i="6"/>
  <c r="Q283" i="6"/>
  <c r="Q282" i="6"/>
  <c r="O286" i="6"/>
  <c r="O285" i="6"/>
  <c r="O284" i="6"/>
  <c r="O283" i="6"/>
  <c r="O282" i="6"/>
  <c r="O281" i="6"/>
  <c r="O280" i="6"/>
  <c r="O279" i="6"/>
  <c r="O278" i="6"/>
  <c r="S277" i="6"/>
  <c r="S276" i="6"/>
  <c r="O276" i="6"/>
  <c r="O277"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5" i="6"/>
  <c r="O204" i="6"/>
  <c r="O201" i="6"/>
  <c r="O198" i="6"/>
  <c r="Y191" i="6"/>
  <c r="Z191" i="6"/>
  <c r="Y192" i="6"/>
  <c r="Z192" i="6"/>
  <c r="Z190" i="6"/>
  <c r="Y190" i="6"/>
  <c r="V192" i="6"/>
  <c r="V191" i="6"/>
  <c r="V190" i="6"/>
  <c r="T192" i="6"/>
  <c r="T191" i="6"/>
  <c r="T190" i="6"/>
  <c r="R192" i="6"/>
  <c r="R191" i="6"/>
  <c r="R190" i="6"/>
  <c r="P192" i="6"/>
  <c r="P191" i="6"/>
  <c r="P190" i="6"/>
  <c r="AL206" i="11" l="1"/>
  <c r="AA206" i="11" s="1"/>
  <c r="AO206" i="11" s="1"/>
  <c r="AR206" i="11" s="1"/>
  <c r="AL203" i="11"/>
  <c r="AB203" i="11" s="1"/>
  <c r="AL204" i="11"/>
  <c r="AA204" i="11" s="1"/>
  <c r="AO204" i="11" s="1"/>
  <c r="AR204" i="11" s="1"/>
  <c r="AL205" i="11"/>
  <c r="AB205" i="11" s="1"/>
  <c r="AX200" i="11"/>
  <c r="AD191" i="6"/>
  <c r="AX201" i="11"/>
  <c r="AE192" i="6"/>
  <c r="AA207" i="11"/>
  <c r="AO207" i="11" s="1"/>
  <c r="AR207" i="11" s="1"/>
  <c r="AE207" i="11"/>
  <c r="AF207" i="11"/>
  <c r="AB207" i="11"/>
  <c r="AF210" i="11"/>
  <c r="AE210" i="11"/>
  <c r="AB210" i="11"/>
  <c r="AF209" i="11"/>
  <c r="AE209" i="11"/>
  <c r="AB209" i="11"/>
  <c r="AF208" i="11"/>
  <c r="AE208" i="11"/>
  <c r="AB208" i="11"/>
  <c r="AD190" i="6"/>
  <c r="AD192" i="6"/>
  <c r="AE190" i="6"/>
  <c r="AE191" i="6"/>
  <c r="AH18" i="10"/>
  <c r="AJ18" i="10" s="1"/>
  <c r="AO18" i="10"/>
  <c r="AH15" i="10"/>
  <c r="AJ15" i="10" s="1"/>
  <c r="AO15" i="10"/>
  <c r="AH22" i="10"/>
  <c r="AJ22" i="10" s="1"/>
  <c r="AO22" i="10"/>
  <c r="AH16" i="10"/>
  <c r="AJ16" i="10" s="1"/>
  <c r="AO16" i="10"/>
  <c r="AH14" i="10"/>
  <c r="AJ14" i="10" s="1"/>
  <c r="AO14" i="10"/>
  <c r="AH23" i="10"/>
  <c r="AJ23" i="10" s="1"/>
  <c r="AO23" i="10"/>
  <c r="AH19" i="10"/>
  <c r="AJ19" i="10" s="1"/>
  <c r="AO19" i="10"/>
  <c r="AH24" i="10"/>
  <c r="AJ24" i="10" s="1"/>
  <c r="AO24" i="10"/>
  <c r="AH13" i="10"/>
  <c r="AJ13" i="10" s="1"/>
  <c r="AO13" i="10"/>
  <c r="AH20" i="10"/>
  <c r="AJ20" i="10" s="1"/>
  <c r="AO20" i="10"/>
  <c r="AH17" i="10"/>
  <c r="AJ17" i="10" s="1"/>
  <c r="AO17" i="10"/>
  <c r="AH21" i="10"/>
  <c r="AJ21" i="10" s="1"/>
  <c r="AO21" i="10"/>
  <c r="AR223" i="11"/>
  <c r="AR218" i="11"/>
  <c r="AR221" i="11"/>
  <c r="AR213" i="11"/>
  <c r="AR220" i="11"/>
  <c r="AR212" i="11"/>
  <c r="AR219" i="11"/>
  <c r="AR215" i="11"/>
  <c r="AR231" i="11"/>
  <c r="AR226" i="11"/>
  <c r="AR217" i="11"/>
  <c r="AR216" i="11"/>
  <c r="AR224" i="11"/>
  <c r="AR211" i="11"/>
  <c r="AR222" i="11"/>
  <c r="AR225" i="11"/>
  <c r="AR214" i="11"/>
  <c r="AR227" i="11"/>
  <c r="AR229" i="11"/>
  <c r="AR228" i="11"/>
  <c r="AR230" i="11"/>
  <c r="AA210" i="11"/>
  <c r="AO210" i="11" s="1"/>
  <c r="AR210" i="11" s="1"/>
  <c r="AO209" i="11"/>
  <c r="AR209" i="11" s="1"/>
  <c r="AA208" i="11"/>
  <c r="AO208" i="11" s="1"/>
  <c r="AR208" i="11" s="1"/>
  <c r="AA190" i="6"/>
  <c r="AA192" i="6"/>
  <c r="AA191" i="6"/>
  <c r="AP202" i="11"/>
  <c r="AO202" i="11"/>
  <c r="AR27" i="11"/>
  <c r="AD1029" i="7"/>
  <c r="AE1029" i="7"/>
  <c r="AD1030" i="7"/>
  <c r="AE1030" i="7"/>
  <c r="AD1031" i="7"/>
  <c r="AE1031" i="7"/>
  <c r="AD1032" i="7"/>
  <c r="AE1032" i="7"/>
  <c r="AD1033" i="7"/>
  <c r="AE1033" i="7"/>
  <c r="AD1034" i="7"/>
  <c r="AE1034" i="7"/>
  <c r="AD1035" i="7"/>
  <c r="AE1035" i="7"/>
  <c r="AE1028" i="7"/>
  <c r="AD1028" i="7"/>
  <c r="AD1025" i="7"/>
  <c r="AI1025" i="7" s="1"/>
  <c r="AK1027" i="7"/>
  <c r="AJ1027" i="7"/>
  <c r="AD1027" i="7"/>
  <c r="AI1027" i="7" s="1"/>
  <c r="AK1026" i="7"/>
  <c r="AJ1026" i="7"/>
  <c r="AD1026" i="7"/>
  <c r="AI1026" i="7" s="1"/>
  <c r="Y288" i="6"/>
  <c r="Y289" i="6"/>
  <c r="Y290" i="6"/>
  <c r="Z290" i="6"/>
  <c r="Z289" i="6"/>
  <c r="Z288" i="6"/>
  <c r="Z287" i="6"/>
  <c r="Y287" i="6"/>
  <c r="AE1024" i="7"/>
  <c r="AD1024" i="7"/>
  <c r="AE1023" i="7"/>
  <c r="AD1023" i="7"/>
  <c r="AD1022" i="7"/>
  <c r="AE1022" i="7"/>
  <c r="AD1021" i="7"/>
  <c r="AE1021" i="7"/>
  <c r="AE1020" i="7"/>
  <c r="AD1020" i="7"/>
  <c r="AD1019" i="7"/>
  <c r="AE1019" i="7"/>
  <c r="AD1018" i="7"/>
  <c r="AD1017" i="7"/>
  <c r="AE1018" i="7"/>
  <c r="AE1017" i="7"/>
  <c r="AE1012" i="7"/>
  <c r="AE1013" i="7"/>
  <c r="AE1014" i="7"/>
  <c r="AE1015" i="7"/>
  <c r="AE1016" i="7"/>
  <c r="AE1011" i="7"/>
  <c r="AD1016" i="7"/>
  <c r="AD1015" i="7"/>
  <c r="AD1014" i="7"/>
  <c r="AD1013" i="7"/>
  <c r="AD1012" i="7"/>
  <c r="AD1011" i="7"/>
  <c r="AD1010" i="7"/>
  <c r="AI1010" i="7" s="1"/>
  <c r="AD1009" i="7"/>
  <c r="AI1009" i="7" s="1"/>
  <c r="AD1008" i="7"/>
  <c r="AI1008" i="7" s="1"/>
  <c r="AD1007" i="7"/>
  <c r="AI1007" i="7" s="1"/>
  <c r="AD1006" i="7"/>
  <c r="AI1006" i="7" s="1"/>
  <c r="AD1005" i="7"/>
  <c r="AI1005" i="7" s="1"/>
  <c r="AD1004" i="7"/>
  <c r="AI1004" i="7" s="1"/>
  <c r="AD1003" i="7"/>
  <c r="AI1003" i="7" s="1"/>
  <c r="AD1002" i="7"/>
  <c r="AI1002" i="7" s="1"/>
  <c r="AD1001" i="7"/>
  <c r="AI1001" i="7" s="1"/>
  <c r="AD1000" i="7"/>
  <c r="AI1000" i="7" s="1"/>
  <c r="AD999" i="7"/>
  <c r="AI999" i="7" s="1"/>
  <c r="AD998" i="7"/>
  <c r="AI998" i="7" s="1"/>
  <c r="AD997" i="7"/>
  <c r="AI997" i="7" s="1"/>
  <c r="AD996" i="7"/>
  <c r="AI996" i="7" s="1"/>
  <c r="AD995" i="7"/>
  <c r="AI995" i="7" s="1"/>
  <c r="AD994" i="7"/>
  <c r="AI994" i="7" s="1"/>
  <c r="AD993" i="7"/>
  <c r="AI993" i="7" s="1"/>
  <c r="AD992" i="7"/>
  <c r="AI992" i="7" s="1"/>
  <c r="AD991" i="7"/>
  <c r="AI991" i="7" s="1"/>
  <c r="AD990" i="7"/>
  <c r="AI990" i="7" s="1"/>
  <c r="AD989" i="7"/>
  <c r="AI989" i="7" s="1"/>
  <c r="AD988" i="7"/>
  <c r="AI988" i="7" s="1"/>
  <c r="AD987" i="7"/>
  <c r="AI987" i="7" s="1"/>
  <c r="AD986" i="7"/>
  <c r="AI986" i="7" s="1"/>
  <c r="AD985" i="7"/>
  <c r="AI985" i="7" s="1"/>
  <c r="AD970" i="7"/>
  <c r="AD971" i="7"/>
  <c r="AD972" i="7"/>
  <c r="AD973" i="7"/>
  <c r="AD974" i="7"/>
  <c r="AD975" i="7"/>
  <c r="AD976" i="7"/>
  <c r="AD977" i="7"/>
  <c r="AD978" i="7"/>
  <c r="AD979" i="7"/>
  <c r="AD980" i="7"/>
  <c r="AD981" i="7"/>
  <c r="AD982" i="7"/>
  <c r="AD983" i="7"/>
  <c r="AD984" i="7"/>
  <c r="AE969" i="7"/>
  <c r="AD969" i="7"/>
  <c r="AE968" i="7"/>
  <c r="AE967" i="7"/>
  <c r="AE966" i="7"/>
  <c r="AE965" i="7"/>
  <c r="AE964" i="7"/>
  <c r="AE963" i="7"/>
  <c r="AE962" i="7"/>
  <c r="AE961" i="7"/>
  <c r="AE960" i="7"/>
  <c r="AD968" i="7"/>
  <c r="AD967" i="7"/>
  <c r="AD966" i="7"/>
  <c r="AD965" i="7"/>
  <c r="AD964" i="7"/>
  <c r="AD963" i="7"/>
  <c r="AD962" i="7"/>
  <c r="AD961" i="7"/>
  <c r="AD960" i="7"/>
  <c r="M92" i="14"/>
  <c r="P92" i="14"/>
  <c r="AE959" i="7"/>
  <c r="AE958" i="7"/>
  <c r="AE957" i="7"/>
  <c r="AE956" i="7"/>
  <c r="AD959" i="7"/>
  <c r="AD958" i="7"/>
  <c r="AD957" i="7"/>
  <c r="AD956" i="7"/>
  <c r="AE955" i="7"/>
  <c r="AE954" i="7"/>
  <c r="AE953" i="7"/>
  <c r="AD955" i="7"/>
  <c r="AD954" i="7"/>
  <c r="AD953" i="7"/>
  <c r="AE952" i="7"/>
  <c r="AE951" i="7"/>
  <c r="AD952" i="7"/>
  <c r="AD951" i="7"/>
  <c r="AE950" i="7"/>
  <c r="AE949" i="7"/>
  <c r="AD950" i="7"/>
  <c r="AD949" i="7"/>
  <c r="AE948" i="7"/>
  <c r="AE947" i="7"/>
  <c r="AD948" i="7"/>
  <c r="AD947" i="7"/>
  <c r="AB206" i="11" l="1"/>
  <c r="AU206" i="11" s="1"/>
  <c r="AX206" i="11" s="1"/>
  <c r="AY206" i="11" s="1"/>
  <c r="AP13" i="10"/>
  <c r="AP14" i="10"/>
  <c r="AP17" i="10"/>
  <c r="AP20" i="10"/>
  <c r="AP23" i="10"/>
  <c r="AP15" i="10"/>
  <c r="AP22" i="10"/>
  <c r="AP21" i="10"/>
  <c r="AP24" i="10"/>
  <c r="AA205" i="11"/>
  <c r="AO205" i="11" s="1"/>
  <c r="AR205" i="11" s="1"/>
  <c r="AB204" i="11"/>
  <c r="AU204" i="11" s="1"/>
  <c r="AX204" i="11" s="1"/>
  <c r="AY204" i="11" s="1"/>
  <c r="AA203" i="11"/>
  <c r="AO203" i="11" s="1"/>
  <c r="AR203" i="11" s="1"/>
  <c r="AP19" i="10"/>
  <c r="AP18" i="10"/>
  <c r="AP16" i="10"/>
  <c r="AI1034" i="7"/>
  <c r="AA92" i="14"/>
  <c r="AC92" i="14" s="1"/>
  <c r="AI1013" i="7"/>
  <c r="AF191" i="6"/>
  <c r="AG191" i="6" s="1"/>
  <c r="AF192" i="6"/>
  <c r="AG192" i="6" s="1"/>
  <c r="AV208" i="11"/>
  <c r="AV207" i="11"/>
  <c r="AU208" i="11"/>
  <c r="AV209" i="11"/>
  <c r="AU207" i="11"/>
  <c r="AV210" i="11"/>
  <c r="AU210" i="11"/>
  <c r="AU209" i="11"/>
  <c r="AF190" i="6"/>
  <c r="AG190" i="6" s="1"/>
  <c r="AI1028" i="7"/>
  <c r="AI1030" i="7"/>
  <c r="AI1019" i="7"/>
  <c r="AI1022" i="7"/>
  <c r="AI1031" i="7"/>
  <c r="AI1035" i="7"/>
  <c r="AI1033" i="7"/>
  <c r="AI1029" i="7"/>
  <c r="AI1020" i="7"/>
  <c r="AI1024" i="7"/>
  <c r="AI1032" i="7"/>
  <c r="AR202" i="11"/>
  <c r="AA290" i="6"/>
  <c r="AI1021" i="7"/>
  <c r="AA287" i="6"/>
  <c r="AA288" i="6"/>
  <c r="AA289" i="6"/>
  <c r="AI1023" i="7"/>
  <c r="AI1018" i="7"/>
  <c r="AI1012" i="7"/>
  <c r="AI1016" i="7"/>
  <c r="AI1017" i="7"/>
  <c r="AI1015" i="7"/>
  <c r="AI1014" i="7"/>
  <c r="AI1011" i="7"/>
  <c r="AI950" i="7"/>
  <c r="AI967" i="7"/>
  <c r="AI953" i="7"/>
  <c r="AI957" i="7"/>
  <c r="AI963" i="7"/>
  <c r="AI954" i="7"/>
  <c r="AI958" i="7"/>
  <c r="AI964" i="7"/>
  <c r="AI965" i="7"/>
  <c r="AI962" i="7"/>
  <c r="AI966" i="7"/>
  <c r="AI955" i="7"/>
  <c r="AI959" i="7"/>
  <c r="AI960" i="7"/>
  <c r="AI947" i="7"/>
  <c r="AI951" i="7"/>
  <c r="AI961" i="7"/>
  <c r="AI948" i="7"/>
  <c r="AI952" i="7"/>
  <c r="AI968" i="7"/>
  <c r="AI949" i="7"/>
  <c r="AI956" i="7"/>
  <c r="AI969" i="7"/>
  <c r="AE943" i="7"/>
  <c r="AE944" i="7"/>
  <c r="AE945" i="7"/>
  <c r="AE946" i="7"/>
  <c r="AD946" i="7"/>
  <c r="AD945" i="7"/>
  <c r="AD944" i="7"/>
  <c r="AD943" i="7"/>
  <c r="AD942" i="7"/>
  <c r="AD941" i="7"/>
  <c r="AI941" i="7" s="1"/>
  <c r="AD940" i="7"/>
  <c r="AI940" i="7" s="1"/>
  <c r="AD939" i="7"/>
  <c r="AI939" i="7" s="1"/>
  <c r="AD938" i="7"/>
  <c r="AI938" i="7" s="1"/>
  <c r="AD937" i="7"/>
  <c r="AI937" i="7" s="1"/>
  <c r="AD936" i="7"/>
  <c r="AI936" i="7" s="1"/>
  <c r="L92" i="14"/>
  <c r="K92" i="14"/>
  <c r="W83" i="14"/>
  <c r="W84" i="14"/>
  <c r="W85" i="14"/>
  <c r="W82" i="14"/>
  <c r="P85" i="14"/>
  <c r="AA85" i="14" s="1"/>
  <c r="AC85" i="14" s="1"/>
  <c r="P84" i="14"/>
  <c r="AA84" i="14" s="1"/>
  <c r="AC84" i="14" s="1"/>
  <c r="P83" i="14"/>
  <c r="AA83" i="14" s="1"/>
  <c r="AC83" i="14" s="1"/>
  <c r="P82" i="14"/>
  <c r="AA82" i="14" s="1"/>
  <c r="AC82" i="14" s="1"/>
  <c r="L326" i="7"/>
  <c r="L325" i="7"/>
  <c r="K326" i="7"/>
  <c r="K325" i="7"/>
  <c r="AU203" i="11" l="1"/>
  <c r="AX203" i="11" s="1"/>
  <c r="AY203" i="11" s="1"/>
  <c r="AX210" i="11"/>
  <c r="AY210" i="11" s="1"/>
  <c r="AU205" i="11"/>
  <c r="AX205" i="11" s="1"/>
  <c r="AY205" i="11" s="1"/>
  <c r="AX208" i="11"/>
  <c r="AY208" i="11" s="1"/>
  <c r="AX209" i="11"/>
  <c r="AY209" i="11" s="1"/>
  <c r="AX207" i="11"/>
  <c r="AY207" i="11" s="1"/>
  <c r="AI943" i="7"/>
  <c r="AI942" i="7"/>
  <c r="AI944" i="7"/>
  <c r="AI945" i="7"/>
  <c r="AI946" i="7"/>
  <c r="AE935" i="7"/>
  <c r="AE934" i="7"/>
  <c r="AE933" i="7"/>
  <c r="AE932" i="7"/>
  <c r="AE931" i="7"/>
  <c r="AE930" i="7"/>
  <c r="AE929" i="7"/>
  <c r="AE928" i="7"/>
  <c r="AD935" i="7"/>
  <c r="AD934" i="7"/>
  <c r="AD933" i="7"/>
  <c r="AD932" i="7"/>
  <c r="AD931" i="7"/>
  <c r="AD930" i="7"/>
  <c r="AD929" i="7"/>
  <c r="AD928" i="7"/>
  <c r="AE927" i="7"/>
  <c r="AE926" i="7"/>
  <c r="AE925" i="7"/>
  <c r="AE924" i="7"/>
  <c r="AE923" i="7"/>
  <c r="AE922" i="7"/>
  <c r="AE921" i="7"/>
  <c r="AE920" i="7"/>
  <c r="AD927" i="7"/>
  <c r="AD926" i="7"/>
  <c r="AD925" i="7"/>
  <c r="AD924" i="7"/>
  <c r="AD923" i="7"/>
  <c r="AD922" i="7"/>
  <c r="AD921" i="7"/>
  <c r="AI921" i="7" s="1"/>
  <c r="AD920" i="7"/>
  <c r="Q68" i="14"/>
  <c r="N68" i="14"/>
  <c r="Q67" i="14"/>
  <c r="N67" i="14"/>
  <c r="Q66" i="14"/>
  <c r="N66" i="14"/>
  <c r="Q65" i="14"/>
  <c r="N65" i="14"/>
  <c r="Q64" i="14"/>
  <c r="N64" i="14"/>
  <c r="N63" i="14"/>
  <c r="Q63" i="14"/>
  <c r="Q62" i="14"/>
  <c r="N62" i="14"/>
  <c r="Q61" i="14"/>
  <c r="N61" i="14"/>
  <c r="Q60" i="14"/>
  <c r="N60" i="14"/>
  <c r="Q59" i="14"/>
  <c r="N59" i="14"/>
  <c r="AE919" i="7"/>
  <c r="AE918" i="7"/>
  <c r="AE917" i="7"/>
  <c r="AE916" i="7"/>
  <c r="AD919" i="7"/>
  <c r="AD918" i="7"/>
  <c r="AD917" i="7"/>
  <c r="AD916" i="7"/>
  <c r="AE909" i="7"/>
  <c r="AE910" i="7"/>
  <c r="AE911" i="7"/>
  <c r="AE912" i="7"/>
  <c r="AE913" i="7"/>
  <c r="AE914" i="7"/>
  <c r="AE915" i="7"/>
  <c r="AD902" i="7"/>
  <c r="AD903" i="7"/>
  <c r="AD904" i="7"/>
  <c r="AD905" i="7"/>
  <c r="AD906" i="7"/>
  <c r="AD907" i="7"/>
  <c r="AD908" i="7"/>
  <c r="AD909" i="7"/>
  <c r="AD910" i="7"/>
  <c r="AD911" i="7"/>
  <c r="AD912" i="7"/>
  <c r="AD913" i="7"/>
  <c r="AD914" i="7"/>
  <c r="AD915" i="7"/>
  <c r="AD901" i="7"/>
  <c r="AD900" i="7"/>
  <c r="AD899" i="7"/>
  <c r="AD898" i="7"/>
  <c r="AD896" i="7"/>
  <c r="AE908" i="7"/>
  <c r="AE907" i="7"/>
  <c r="AE906" i="7"/>
  <c r="AE905" i="7"/>
  <c r="AE904" i="7"/>
  <c r="AE903" i="7"/>
  <c r="AE902" i="7"/>
  <c r="AE901" i="7"/>
  <c r="AQ902" i="7"/>
  <c r="AQ903" i="7"/>
  <c r="AQ904" i="7"/>
  <c r="AQ905" i="7"/>
  <c r="AQ906" i="7"/>
  <c r="AQ907" i="7"/>
  <c r="AQ901" i="7"/>
  <c r="AE897" i="7"/>
  <c r="AD897" i="7"/>
  <c r="AE898" i="7"/>
  <c r="AE899" i="7"/>
  <c r="AE900" i="7"/>
  <c r="AE896" i="7"/>
  <c r="AE895" i="7"/>
  <c r="AD895" i="7"/>
  <c r="P52" i="14"/>
  <c r="AA52" i="14" s="1"/>
  <c r="AC52" i="14" s="1"/>
  <c r="P51" i="14"/>
  <c r="AA51" i="14" s="1"/>
  <c r="AC51" i="14" s="1"/>
  <c r="P50" i="14"/>
  <c r="AA50" i="14" s="1"/>
  <c r="AC50" i="14" s="1"/>
  <c r="P49" i="14"/>
  <c r="AA49" i="14" s="1"/>
  <c r="AC49" i="14" s="1"/>
  <c r="P48" i="14"/>
  <c r="AA48" i="14" s="1"/>
  <c r="AC48" i="14" s="1"/>
  <c r="P47" i="14"/>
  <c r="AA47" i="14" s="1"/>
  <c r="AC47" i="14" s="1"/>
  <c r="P46" i="14"/>
  <c r="AA46" i="14" s="1"/>
  <c r="AC46" i="14" s="1"/>
  <c r="P45" i="14"/>
  <c r="AA45" i="14" s="1"/>
  <c r="AC45" i="14" s="1"/>
  <c r="P44" i="14"/>
  <c r="M44" i="14"/>
  <c r="AD60" i="14" l="1"/>
  <c r="AF60" i="14" s="1"/>
  <c r="AD63" i="14"/>
  <c r="AF63" i="14" s="1"/>
  <c r="AD61" i="14"/>
  <c r="AF61" i="14" s="1"/>
  <c r="AD65" i="14"/>
  <c r="AF65" i="14" s="1"/>
  <c r="AD62" i="14"/>
  <c r="AF62" i="14" s="1"/>
  <c r="AD66" i="14"/>
  <c r="AF66" i="14" s="1"/>
  <c r="AD59" i="14"/>
  <c r="AF59" i="14" s="1"/>
  <c r="AD67" i="14"/>
  <c r="AF67" i="14" s="1"/>
  <c r="AD64" i="14"/>
  <c r="AF64" i="14" s="1"/>
  <c r="AD68" i="14"/>
  <c r="AF68" i="14" s="1"/>
  <c r="AA44" i="14"/>
  <c r="AC44" i="14" s="1"/>
  <c r="AI896" i="7"/>
  <c r="AI908" i="7"/>
  <c r="AI899" i="7"/>
  <c r="AI917" i="7"/>
  <c r="AI905" i="7"/>
  <c r="AI898" i="7"/>
  <c r="AI914" i="7"/>
  <c r="AI907" i="7"/>
  <c r="AI915" i="7"/>
  <c r="AI913" i="7"/>
  <c r="AI895" i="7"/>
  <c r="AI900" i="7"/>
  <c r="AI912" i="7"/>
  <c r="AI924" i="7"/>
  <c r="AI918" i="7"/>
  <c r="AI904" i="7"/>
  <c r="AI925" i="7"/>
  <c r="AI933" i="7"/>
  <c r="AI932" i="7"/>
  <c r="AI916" i="7"/>
  <c r="AI934" i="7"/>
  <c r="AI926" i="7"/>
  <c r="AI920" i="7"/>
  <c r="AI927" i="7"/>
  <c r="AI935" i="7"/>
  <c r="AI928" i="7"/>
  <c r="AI929" i="7"/>
  <c r="AI919" i="7"/>
  <c r="AI922" i="7"/>
  <c r="AI930" i="7"/>
  <c r="AI906" i="7"/>
  <c r="AI923" i="7"/>
  <c r="AI931" i="7"/>
  <c r="AI911" i="7"/>
  <c r="AI902" i="7"/>
  <c r="AI910" i="7"/>
  <c r="AI903" i="7"/>
  <c r="AI909" i="7"/>
  <c r="AI901" i="7"/>
  <c r="AI897" i="7"/>
  <c r="AG39" i="14"/>
  <c r="AG37" i="14"/>
  <c r="P31" i="14"/>
  <c r="AA31" i="14" s="1"/>
  <c r="AC31" i="14" s="1"/>
  <c r="P30" i="14"/>
  <c r="AA30" i="14" s="1"/>
  <c r="AC30" i="14" s="1"/>
  <c r="P29" i="14"/>
  <c r="AA29" i="14" s="1"/>
  <c r="AC29" i="14" s="1"/>
  <c r="P28" i="14"/>
  <c r="AA28" i="14" s="1"/>
  <c r="AC28" i="14" s="1"/>
  <c r="P27" i="14"/>
  <c r="AA27" i="14" s="1"/>
  <c r="AC27" i="14" s="1"/>
  <c r="P26" i="14"/>
  <c r="AA26" i="14" s="1"/>
  <c r="AC26" i="14" s="1"/>
  <c r="AE888" i="7"/>
  <c r="AE889" i="7"/>
  <c r="AE890" i="7"/>
  <c r="AE891" i="7"/>
  <c r="AE892" i="7"/>
  <c r="AE893" i="7"/>
  <c r="AE894" i="7"/>
  <c r="AE887" i="7"/>
  <c r="AD888" i="7"/>
  <c r="AD889" i="7"/>
  <c r="AD890" i="7"/>
  <c r="AI890" i="7" s="1"/>
  <c r="AD891" i="7"/>
  <c r="AD892" i="7"/>
  <c r="AD893" i="7"/>
  <c r="AD894" i="7"/>
  <c r="Z894" i="7"/>
  <c r="AM894" i="7" s="1"/>
  <c r="Z893" i="7"/>
  <c r="AM893" i="7" s="1"/>
  <c r="Z892" i="7"/>
  <c r="AM892" i="7" s="1"/>
  <c r="Z891" i="7"/>
  <c r="AM891" i="7" s="1"/>
  <c r="Z890" i="7"/>
  <c r="AM890" i="7" s="1"/>
  <c r="Z889" i="7"/>
  <c r="AM889" i="7" s="1"/>
  <c r="X894" i="7"/>
  <c r="X893" i="7"/>
  <c r="X892" i="7"/>
  <c r="X891" i="7"/>
  <c r="X890" i="7"/>
  <c r="X889" i="7"/>
  <c r="O894" i="7"/>
  <c r="O893" i="7"/>
  <c r="O892" i="7"/>
  <c r="O891" i="7"/>
  <c r="O890" i="7"/>
  <c r="O889" i="7"/>
  <c r="AF888" i="7"/>
  <c r="AE886" i="7"/>
  <c r="AE885" i="7"/>
  <c r="AD887" i="7"/>
  <c r="AD886" i="7"/>
  <c r="AD885" i="7"/>
  <c r="AQ886" i="7"/>
  <c r="AQ887" i="7"/>
  <c r="AQ888" i="7"/>
  <c r="AQ885" i="7"/>
  <c r="T274" i="6"/>
  <c r="P274" i="6"/>
  <c r="V165" i="6"/>
  <c r="V164" i="6"/>
  <c r="V163" i="6"/>
  <c r="V162" i="6"/>
  <c r="V161" i="6"/>
  <c r="V160" i="6"/>
  <c r="V159" i="6"/>
  <c r="V158" i="6"/>
  <c r="V157" i="6"/>
  <c r="V156" i="6"/>
  <c r="V155" i="6"/>
  <c r="V154" i="6"/>
  <c r="V153" i="6"/>
  <c r="V152" i="6"/>
  <c r="V151" i="6"/>
  <c r="V150" i="6"/>
  <c r="T165" i="6"/>
  <c r="T164" i="6"/>
  <c r="T163" i="6"/>
  <c r="T162" i="6"/>
  <c r="T161" i="6"/>
  <c r="T160" i="6"/>
  <c r="T159" i="6"/>
  <c r="T158" i="6"/>
  <c r="T157" i="6"/>
  <c r="T156" i="6"/>
  <c r="T155" i="6"/>
  <c r="T154" i="6"/>
  <c r="T153" i="6"/>
  <c r="T152" i="6"/>
  <c r="T151" i="6"/>
  <c r="T150" i="6"/>
  <c r="P165" i="6"/>
  <c r="P164" i="6"/>
  <c r="P163" i="6"/>
  <c r="P162" i="6"/>
  <c r="P161" i="6"/>
  <c r="P160" i="6"/>
  <c r="P159" i="6"/>
  <c r="P158" i="6"/>
  <c r="P157" i="6"/>
  <c r="P156" i="6"/>
  <c r="P155" i="6"/>
  <c r="P154" i="6"/>
  <c r="P153" i="6"/>
  <c r="P152" i="6"/>
  <c r="P151" i="6"/>
  <c r="P150" i="6"/>
  <c r="T58" i="6"/>
  <c r="T57" i="6"/>
  <c r="T56" i="6"/>
  <c r="T55" i="6"/>
  <c r="T54" i="6"/>
  <c r="T53" i="6"/>
  <c r="P58" i="6"/>
  <c r="P57" i="6"/>
  <c r="P56" i="6"/>
  <c r="P55" i="6"/>
  <c r="P54" i="6"/>
  <c r="P53" i="6"/>
  <c r="T133" i="6"/>
  <c r="P133" i="6"/>
  <c r="AI889" i="7" l="1"/>
  <c r="AD133" i="6"/>
  <c r="AF133" i="6" s="1"/>
  <c r="AD274" i="6"/>
  <c r="AF274" i="6" s="1"/>
  <c r="AD161" i="6"/>
  <c r="AF161" i="6" s="1"/>
  <c r="AD155" i="6"/>
  <c r="AF155" i="6" s="1"/>
  <c r="AD163" i="6"/>
  <c r="AF163" i="6" s="1"/>
  <c r="AD156" i="6"/>
  <c r="AF156" i="6" s="1"/>
  <c r="AD164" i="6"/>
  <c r="AF164" i="6" s="1"/>
  <c r="AD153" i="6"/>
  <c r="AF153" i="6" s="1"/>
  <c r="AD162" i="6"/>
  <c r="AF162" i="6" s="1"/>
  <c r="AD157" i="6"/>
  <c r="AF157" i="6" s="1"/>
  <c r="AD165" i="6"/>
  <c r="AF165" i="6" s="1"/>
  <c r="AD150" i="6"/>
  <c r="AF150" i="6" s="1"/>
  <c r="AD158" i="6"/>
  <c r="AF158" i="6" s="1"/>
  <c r="AD151" i="6"/>
  <c r="AF151" i="6" s="1"/>
  <c r="AD159" i="6"/>
  <c r="AF159" i="6" s="1"/>
  <c r="AD154" i="6"/>
  <c r="AF154" i="6" s="1"/>
  <c r="AD152" i="6"/>
  <c r="AF152" i="6" s="1"/>
  <c r="AD160" i="6"/>
  <c r="AF160" i="6" s="1"/>
  <c r="AL892" i="7"/>
  <c r="AI891" i="7"/>
  <c r="AL891" i="7"/>
  <c r="AL889" i="7"/>
  <c r="AL893" i="7"/>
  <c r="AL894" i="7"/>
  <c r="AL890" i="7"/>
  <c r="AI887" i="7"/>
  <c r="AI892" i="7"/>
  <c r="AI893" i="7"/>
  <c r="AI894" i="7"/>
  <c r="AI885" i="7"/>
  <c r="AI888" i="7"/>
  <c r="AI886" i="7"/>
  <c r="AD877" i="7"/>
  <c r="AE877" i="7"/>
  <c r="AD878" i="7"/>
  <c r="AE878" i="7"/>
  <c r="AD879" i="7"/>
  <c r="AE879" i="7"/>
  <c r="AD880" i="7"/>
  <c r="AE880" i="7"/>
  <c r="AD881" i="7"/>
  <c r="AE881" i="7"/>
  <c r="AD882" i="7"/>
  <c r="AE882" i="7"/>
  <c r="AD883" i="7"/>
  <c r="AE883" i="7"/>
  <c r="AD884" i="7"/>
  <c r="AE884" i="7"/>
  <c r="AE876" i="7"/>
  <c r="AD876" i="7"/>
  <c r="AD868" i="7"/>
  <c r="AE868" i="7"/>
  <c r="AD869" i="7"/>
  <c r="AE869" i="7"/>
  <c r="AD870" i="7"/>
  <c r="AE870" i="7"/>
  <c r="AD871" i="7"/>
  <c r="AE871" i="7"/>
  <c r="AD872" i="7"/>
  <c r="AE872" i="7"/>
  <c r="AD873" i="7"/>
  <c r="AE873" i="7"/>
  <c r="AD874" i="7"/>
  <c r="AE874" i="7"/>
  <c r="AD875" i="7"/>
  <c r="AE875" i="7"/>
  <c r="AE867" i="7"/>
  <c r="AD867" i="7"/>
  <c r="AE861" i="7"/>
  <c r="AD859" i="7"/>
  <c r="AE859" i="7"/>
  <c r="AD860" i="7"/>
  <c r="AE860" i="7"/>
  <c r="AD861" i="7"/>
  <c r="AD862" i="7"/>
  <c r="AE862" i="7"/>
  <c r="AD863" i="7"/>
  <c r="AE863" i="7"/>
  <c r="AD864" i="7"/>
  <c r="AE864" i="7"/>
  <c r="AD865" i="7"/>
  <c r="AE865" i="7"/>
  <c r="AD866" i="7"/>
  <c r="AE866" i="7"/>
  <c r="AD853" i="7"/>
  <c r="AE858" i="7"/>
  <c r="AE857" i="7"/>
  <c r="AE856" i="7"/>
  <c r="AE855" i="7"/>
  <c r="AE854" i="7"/>
  <c r="AE853" i="7"/>
  <c r="AD858" i="7"/>
  <c r="AD857" i="7"/>
  <c r="AD856" i="7"/>
  <c r="AD855" i="7"/>
  <c r="AD854" i="7"/>
  <c r="AD849" i="7"/>
  <c r="AF849" i="7" s="1"/>
  <c r="AE849" i="7"/>
  <c r="AD850" i="7"/>
  <c r="AF850" i="7" s="1"/>
  <c r="AE850" i="7"/>
  <c r="AD851" i="7"/>
  <c r="AF851" i="7" s="1"/>
  <c r="AE851" i="7"/>
  <c r="AD852" i="7"/>
  <c r="AF852" i="7" s="1"/>
  <c r="AE852" i="7"/>
  <c r="P848" i="7"/>
  <c r="Y848" i="7"/>
  <c r="W848" i="7"/>
  <c r="N848" i="7"/>
  <c r="AQ848" i="7"/>
  <c r="AD847" i="7"/>
  <c r="AI847" i="7" s="1"/>
  <c r="AD846" i="7"/>
  <c r="AI846" i="7" s="1"/>
  <c r="AD845" i="7"/>
  <c r="AI845" i="7" s="1"/>
  <c r="AD844" i="7"/>
  <c r="AI844" i="7" s="1"/>
  <c r="AD843" i="7"/>
  <c r="AI843" i="7" s="1"/>
  <c r="AD842" i="7"/>
  <c r="AI842" i="7" s="1"/>
  <c r="AD841" i="7"/>
  <c r="AI841" i="7" s="1"/>
  <c r="AD840" i="7"/>
  <c r="AI840" i="7" s="1"/>
  <c r="AE839" i="7"/>
  <c r="AE838" i="7"/>
  <c r="AE837" i="7"/>
  <c r="AE836" i="7"/>
  <c r="AD839" i="7"/>
  <c r="AD838" i="7"/>
  <c r="AD837" i="7"/>
  <c r="AD836" i="7"/>
  <c r="AE835" i="7"/>
  <c r="AD835" i="7"/>
  <c r="AE834" i="7"/>
  <c r="AD834" i="7"/>
  <c r="AE833" i="7"/>
  <c r="AD833" i="7"/>
  <c r="AE832" i="7"/>
  <c r="AE831" i="7"/>
  <c r="AE830" i="7"/>
  <c r="AD832" i="7"/>
  <c r="AD831" i="7"/>
  <c r="AD830" i="7"/>
  <c r="Z66" i="12"/>
  <c r="AC66" i="12" s="1"/>
  <c r="Z67" i="12"/>
  <c r="AC67" i="12" s="1"/>
  <c r="Z68" i="12"/>
  <c r="AC68" i="12" s="1"/>
  <c r="Z69" i="12"/>
  <c r="AC69" i="12" s="1"/>
  <c r="Z70" i="12"/>
  <c r="AC70" i="12" s="1"/>
  <c r="Z71" i="12"/>
  <c r="AC71" i="12" s="1"/>
  <c r="Z72" i="12"/>
  <c r="AC72" i="12" s="1"/>
  <c r="Z73" i="12"/>
  <c r="AC73" i="12" s="1"/>
  <c r="Z74" i="12"/>
  <c r="AC74" i="12" s="1"/>
  <c r="Z75" i="12"/>
  <c r="AC75" i="12" s="1"/>
  <c r="Z76" i="12"/>
  <c r="AC76" i="12" s="1"/>
  <c r="Z77" i="12"/>
  <c r="AC77" i="12" s="1"/>
  <c r="Z78" i="12"/>
  <c r="AC78" i="12" s="1"/>
  <c r="Z79" i="12"/>
  <c r="AC79" i="12" s="1"/>
  <c r="Z80" i="12"/>
  <c r="AC80" i="12" s="1"/>
  <c r="Z81" i="12"/>
  <c r="AC81" i="12" s="1"/>
  <c r="Z82" i="12"/>
  <c r="AC82" i="12" s="1"/>
  <c r="Z83" i="12"/>
  <c r="AC83" i="12" s="1"/>
  <c r="AE829" i="7"/>
  <c r="AE828" i="7"/>
  <c r="AE827" i="7"/>
  <c r="AE826" i="7"/>
  <c r="AE825" i="7"/>
  <c r="AD829" i="7"/>
  <c r="AD828" i="7"/>
  <c r="AD827" i="7"/>
  <c r="AD826" i="7"/>
  <c r="AD825" i="7"/>
  <c r="AE824" i="7"/>
  <c r="AE823" i="7"/>
  <c r="AE822" i="7"/>
  <c r="AE821" i="7"/>
  <c r="AE820" i="7"/>
  <c r="AD824" i="7"/>
  <c r="AD823" i="7"/>
  <c r="AD822" i="7"/>
  <c r="AD821" i="7"/>
  <c r="AD820" i="7"/>
  <c r="AO201" i="11"/>
  <c r="AP201" i="11"/>
  <c r="AP200" i="11"/>
  <c r="AO200" i="11"/>
  <c r="AD817" i="7"/>
  <c r="AE817" i="7"/>
  <c r="AF817" i="7"/>
  <c r="AD818" i="7"/>
  <c r="AE818" i="7"/>
  <c r="AF818" i="7"/>
  <c r="AD819" i="7"/>
  <c r="AE819" i="7"/>
  <c r="AF819" i="7"/>
  <c r="AD815" i="7"/>
  <c r="AE815" i="7"/>
  <c r="AF815" i="7"/>
  <c r="AD816" i="7"/>
  <c r="AE816" i="7"/>
  <c r="AF816" i="7"/>
  <c r="AE814" i="7"/>
  <c r="AF814" i="7"/>
  <c r="AD814" i="7"/>
  <c r="AQ813" i="7"/>
  <c r="AQ812" i="7"/>
  <c r="AQ811" i="7"/>
  <c r="AQ810" i="7"/>
  <c r="AQ809" i="7"/>
  <c r="AQ808" i="7"/>
  <c r="AQ807" i="7"/>
  <c r="AQ806" i="7"/>
  <c r="AQ805" i="7"/>
  <c r="AQ804" i="7"/>
  <c r="AQ803" i="7"/>
  <c r="AQ802" i="7"/>
  <c r="AQ801" i="7"/>
  <c r="AQ800" i="7"/>
  <c r="AQ799" i="7"/>
  <c r="AQ798" i="7"/>
  <c r="AQ793" i="7"/>
  <c r="AQ792" i="7"/>
  <c r="AQ791" i="7"/>
  <c r="AQ797" i="7"/>
  <c r="AQ796" i="7"/>
  <c r="AQ795" i="7"/>
  <c r="AQ789" i="7"/>
  <c r="AQ788" i="7"/>
  <c r="AQ787" i="7"/>
  <c r="AQ785" i="7"/>
  <c r="AQ784" i="7"/>
  <c r="AQ783" i="7"/>
  <c r="AQ790" i="7"/>
  <c r="AQ786" i="7"/>
  <c r="AQ794" i="7"/>
  <c r="AQ782" i="7"/>
  <c r="AE771" i="7"/>
  <c r="AE772" i="7"/>
  <c r="AE773" i="7"/>
  <c r="AE774" i="7"/>
  <c r="AE775" i="7"/>
  <c r="AE776" i="7"/>
  <c r="AE777" i="7"/>
  <c r="AE778" i="7"/>
  <c r="AD779" i="7"/>
  <c r="AE779" i="7"/>
  <c r="AD780" i="7"/>
  <c r="AE780" i="7"/>
  <c r="AD781" i="7"/>
  <c r="AE781" i="7"/>
  <c r="AD778" i="7"/>
  <c r="AD777" i="7"/>
  <c r="AD776" i="7"/>
  <c r="AD775" i="7"/>
  <c r="AD774" i="7"/>
  <c r="AD773" i="7"/>
  <c r="AD772" i="7"/>
  <c r="AD771" i="7"/>
  <c r="AE769" i="7"/>
  <c r="AE767" i="7"/>
  <c r="AD770" i="7"/>
  <c r="AI770" i="7" s="1"/>
  <c r="AD769" i="7"/>
  <c r="AD768" i="7"/>
  <c r="AI768" i="7" s="1"/>
  <c r="AD767" i="7"/>
  <c r="AD763" i="7"/>
  <c r="AE763" i="7"/>
  <c r="AD764" i="7"/>
  <c r="AE764" i="7"/>
  <c r="AD765" i="7"/>
  <c r="AE765" i="7"/>
  <c r="AD766" i="7"/>
  <c r="AE766" i="7"/>
  <c r="AE762" i="7"/>
  <c r="AE761" i="7"/>
  <c r="AD762" i="7"/>
  <c r="AD761" i="7"/>
  <c r="AF753" i="7"/>
  <c r="AF747" i="7"/>
  <c r="AF754" i="7"/>
  <c r="AF755" i="7"/>
  <c r="AF756" i="7"/>
  <c r="AF757" i="7"/>
  <c r="AF758" i="7"/>
  <c r="AF759" i="7"/>
  <c r="AF760" i="7"/>
  <c r="AF745" i="7"/>
  <c r="AE746" i="7"/>
  <c r="AE747" i="7"/>
  <c r="AE748" i="7"/>
  <c r="AE749" i="7"/>
  <c r="AE750" i="7"/>
  <c r="AE751" i="7"/>
  <c r="AE752" i="7"/>
  <c r="AE753" i="7"/>
  <c r="AE754" i="7"/>
  <c r="AE755" i="7"/>
  <c r="AE756" i="7"/>
  <c r="AE757" i="7"/>
  <c r="AE758" i="7"/>
  <c r="AE759" i="7"/>
  <c r="AE760" i="7"/>
  <c r="AE745" i="7"/>
  <c r="AD746" i="7"/>
  <c r="AD747" i="7"/>
  <c r="AD748" i="7"/>
  <c r="AD749" i="7"/>
  <c r="AD750" i="7"/>
  <c r="AD751" i="7"/>
  <c r="AD752" i="7"/>
  <c r="AD753" i="7"/>
  <c r="AD754" i="7"/>
  <c r="AD755" i="7"/>
  <c r="AD756" i="7"/>
  <c r="AD757" i="7"/>
  <c r="AD758" i="7"/>
  <c r="AD759" i="7"/>
  <c r="AD760" i="7"/>
  <c r="AI760" i="7" s="1"/>
  <c r="AD745" i="7"/>
  <c r="AI744" i="7"/>
  <c r="AI743" i="7"/>
  <c r="AI742" i="7"/>
  <c r="AI741" i="7"/>
  <c r="AI740" i="7"/>
  <c r="AI739" i="7"/>
  <c r="AI738" i="7"/>
  <c r="AI737" i="7"/>
  <c r="AI736" i="7"/>
  <c r="AI735" i="7"/>
  <c r="AI734" i="7"/>
  <c r="AI733" i="7"/>
  <c r="AQ744" i="7"/>
  <c r="AQ742" i="7"/>
  <c r="AQ740" i="7"/>
  <c r="AQ738" i="7"/>
  <c r="AQ736" i="7"/>
  <c r="AQ734" i="7"/>
  <c r="AI725" i="7"/>
  <c r="AI726" i="7"/>
  <c r="AI727" i="7"/>
  <c r="AI728" i="7"/>
  <c r="AI729" i="7"/>
  <c r="AI730" i="7"/>
  <c r="AI731" i="7"/>
  <c r="AI732" i="7"/>
  <c r="AI724" i="7"/>
  <c r="AI723" i="7"/>
  <c r="AI722" i="7"/>
  <c r="AI721" i="7"/>
  <c r="AI720" i="7"/>
  <c r="AI719" i="7"/>
  <c r="AI718" i="7"/>
  <c r="AI717" i="7"/>
  <c r="AI716" i="7"/>
  <c r="AI715" i="7"/>
  <c r="AI707" i="7"/>
  <c r="AI708" i="7"/>
  <c r="AI709" i="7"/>
  <c r="AI710" i="7"/>
  <c r="AI711" i="7"/>
  <c r="AI712" i="7"/>
  <c r="AI713" i="7"/>
  <c r="AI714" i="7"/>
  <c r="AI706" i="7"/>
  <c r="AI691" i="7"/>
  <c r="AI692" i="7"/>
  <c r="AI693" i="7"/>
  <c r="AI694" i="7"/>
  <c r="AI695" i="7"/>
  <c r="AI696" i="7"/>
  <c r="AI697" i="7"/>
  <c r="AI698" i="7"/>
  <c r="AI699" i="7"/>
  <c r="AI700" i="7"/>
  <c r="AI701" i="7"/>
  <c r="AI702" i="7"/>
  <c r="AI703" i="7"/>
  <c r="AI704" i="7"/>
  <c r="AI705" i="7"/>
  <c r="AI690" i="7"/>
  <c r="AI687" i="7"/>
  <c r="AI688" i="7"/>
  <c r="AI689" i="7"/>
  <c r="AI686" i="7"/>
  <c r="AI748" i="7" l="1"/>
  <c r="AO891" i="7"/>
  <c r="AP891" i="7" s="1"/>
  <c r="AO894" i="7"/>
  <c r="AP894" i="7" s="1"/>
  <c r="AO892" i="7"/>
  <c r="AP892" i="7" s="1"/>
  <c r="AO893" i="7"/>
  <c r="AP893" i="7" s="1"/>
  <c r="AO889" i="7"/>
  <c r="AP889" i="7" s="1"/>
  <c r="AO890" i="7"/>
  <c r="AP890" i="7" s="1"/>
  <c r="AR200" i="11"/>
  <c r="AY200" i="11" s="1"/>
  <c r="AR201" i="11"/>
  <c r="AY201" i="11" s="1"/>
  <c r="AI752" i="7"/>
  <c r="AI855" i="7"/>
  <c r="AI867" i="7"/>
  <c r="AI755" i="7"/>
  <c r="AI839" i="7"/>
  <c r="AI869" i="7"/>
  <c r="AI857" i="7"/>
  <c r="AI861" i="7"/>
  <c r="AI830" i="7"/>
  <c r="AI875" i="7"/>
  <c r="AI871" i="7"/>
  <c r="AI876" i="7"/>
  <c r="AI881" i="7"/>
  <c r="AI874" i="7"/>
  <c r="AD848" i="7"/>
  <c r="AI858" i="7"/>
  <c r="AI870" i="7"/>
  <c r="AI831" i="7"/>
  <c r="AI878" i="7"/>
  <c r="AI832" i="7"/>
  <c r="AE848" i="7"/>
  <c r="AI862" i="7"/>
  <c r="AI873" i="7"/>
  <c r="AI884" i="7"/>
  <c r="AI880" i="7"/>
  <c r="AI872" i="7"/>
  <c r="AI868" i="7"/>
  <c r="AI836" i="7"/>
  <c r="AI854" i="7"/>
  <c r="AI838" i="7"/>
  <c r="AI856" i="7"/>
  <c r="AI859" i="7"/>
  <c r="AI877" i="7"/>
  <c r="AI814" i="7"/>
  <c r="AI882" i="7"/>
  <c r="AI879" i="7"/>
  <c r="AI853" i="7"/>
  <c r="AI819" i="7"/>
  <c r="AI816" i="7"/>
  <c r="AI883" i="7"/>
  <c r="AI863" i="7"/>
  <c r="AI864" i="7"/>
  <c r="AI865" i="7"/>
  <c r="AI860" i="7"/>
  <c r="AI866" i="7"/>
  <c r="AI837" i="7"/>
  <c r="AI835" i="7"/>
  <c r="AI834" i="7"/>
  <c r="AI833" i="7"/>
  <c r="AI818" i="7"/>
  <c r="AI815" i="7"/>
  <c r="AI817" i="7"/>
  <c r="AI751" i="7"/>
  <c r="AI754" i="7"/>
  <c r="AI750" i="7"/>
  <c r="AI759" i="7"/>
  <c r="AI758" i="7"/>
  <c r="AI756" i="7"/>
  <c r="AI749" i="7"/>
  <c r="AI745" i="7"/>
  <c r="AI779" i="7"/>
  <c r="AI778" i="7"/>
  <c r="AI781" i="7"/>
  <c r="AI775" i="7"/>
  <c r="AI746" i="7"/>
  <c r="AI774" i="7"/>
  <c r="AI776" i="7"/>
  <c r="AI777" i="7"/>
  <c r="AI772" i="7"/>
  <c r="AI771" i="7"/>
  <c r="AI773" i="7"/>
  <c r="AI780" i="7"/>
  <c r="AI769" i="7"/>
  <c r="AI767" i="7"/>
  <c r="AI764" i="7"/>
  <c r="AI765" i="7"/>
  <c r="AI762" i="7"/>
  <c r="AI766" i="7"/>
  <c r="AI761" i="7"/>
  <c r="AI763" i="7"/>
  <c r="AI757" i="7"/>
  <c r="AI747" i="7"/>
  <c r="AI753" i="7"/>
  <c r="AI685" i="7"/>
  <c r="AI684" i="7"/>
  <c r="AI683" i="7"/>
  <c r="AI682" i="7"/>
  <c r="AI681" i="7"/>
  <c r="AI680" i="7"/>
  <c r="AI679" i="7"/>
  <c r="AI678" i="7"/>
  <c r="AI677" i="7"/>
  <c r="AI676" i="7"/>
  <c r="AI675" i="7"/>
  <c r="AI674" i="7"/>
  <c r="AI673" i="7"/>
  <c r="AI672" i="7"/>
  <c r="AI671" i="7"/>
  <c r="AI670" i="7"/>
  <c r="AI669" i="7"/>
  <c r="AI668" i="7"/>
  <c r="AI667" i="7"/>
  <c r="AI666" i="7"/>
  <c r="AI665" i="7"/>
  <c r="AI664" i="7"/>
  <c r="AI663" i="7"/>
  <c r="AI662" i="7"/>
  <c r="AI661" i="7"/>
  <c r="AI660" i="7"/>
  <c r="AI659" i="7"/>
  <c r="AI658" i="7"/>
  <c r="AI657" i="7"/>
  <c r="AI656" i="7"/>
  <c r="AI655" i="7"/>
  <c r="AI654" i="7"/>
  <c r="AI653" i="7"/>
  <c r="AI652" i="7"/>
  <c r="AI651" i="7"/>
  <c r="AI650" i="7"/>
  <c r="AI649" i="7"/>
  <c r="AI648" i="7"/>
  <c r="AI647" i="7"/>
  <c r="AI646" i="7"/>
  <c r="AI645" i="7"/>
  <c r="AI643" i="7"/>
  <c r="AI641" i="7"/>
  <c r="AI639" i="7"/>
  <c r="AI640" i="7"/>
  <c r="AI642" i="7"/>
  <c r="AI644" i="7"/>
  <c r="AI638" i="7"/>
  <c r="AI637" i="7"/>
  <c r="AD636" i="7"/>
  <c r="AE636" i="7"/>
  <c r="AD628" i="7"/>
  <c r="AE628" i="7"/>
  <c r="AD629" i="7"/>
  <c r="AE629" i="7"/>
  <c r="AD630" i="7"/>
  <c r="AE630" i="7"/>
  <c r="AD631" i="7"/>
  <c r="AE631" i="7"/>
  <c r="AD632" i="7"/>
  <c r="AE632" i="7"/>
  <c r="AD633" i="7"/>
  <c r="AE633" i="7"/>
  <c r="AD634" i="7"/>
  <c r="AE634" i="7"/>
  <c r="AD635" i="7"/>
  <c r="AE635" i="7"/>
  <c r="AE627" i="7"/>
  <c r="AD627" i="7"/>
  <c r="AE626" i="7"/>
  <c r="AD626" i="7"/>
  <c r="AE625" i="7"/>
  <c r="AD625" i="7"/>
  <c r="AI606" i="7"/>
  <c r="AI607" i="7"/>
  <c r="AI608" i="7"/>
  <c r="AI605" i="7"/>
  <c r="AD609" i="7"/>
  <c r="AE609" i="7"/>
  <c r="AD610" i="7"/>
  <c r="AE610" i="7"/>
  <c r="AD611" i="7"/>
  <c r="AE611" i="7"/>
  <c r="AD612" i="7"/>
  <c r="AE612" i="7"/>
  <c r="AD613" i="7"/>
  <c r="AE613" i="7"/>
  <c r="AD614" i="7"/>
  <c r="AE614" i="7"/>
  <c r="AD615" i="7"/>
  <c r="AE615" i="7"/>
  <c r="AD616" i="7"/>
  <c r="AE616" i="7"/>
  <c r="AD618" i="7"/>
  <c r="AE618" i="7"/>
  <c r="AD619" i="7"/>
  <c r="AE619" i="7"/>
  <c r="AD620" i="7"/>
  <c r="AE620" i="7"/>
  <c r="AD621" i="7"/>
  <c r="AE621" i="7"/>
  <c r="AD622" i="7"/>
  <c r="AE622" i="7"/>
  <c r="AD623" i="7"/>
  <c r="AE623" i="7"/>
  <c r="AD624" i="7"/>
  <c r="AE624" i="7"/>
  <c r="AE617" i="7"/>
  <c r="AD617"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N580"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32"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460" i="7"/>
  <c r="AE459" i="7"/>
  <c r="AD459" i="7"/>
  <c r="AD458" i="7"/>
  <c r="AE458" i="7"/>
  <c r="AQ457" i="7"/>
  <c r="AI457" i="7"/>
  <c r="AQ456" i="7"/>
  <c r="AI456" i="7"/>
  <c r="AQ455" i="7"/>
  <c r="AI455" i="7"/>
  <c r="AQ454" i="7"/>
  <c r="AI454" i="7"/>
  <c r="AQ453" i="7"/>
  <c r="AI453" i="7"/>
  <c r="AQ452" i="7"/>
  <c r="AI452" i="7"/>
  <c r="AQ451" i="7"/>
  <c r="AI451" i="7"/>
  <c r="AQ450" i="7"/>
  <c r="AI450" i="7"/>
  <c r="AQ449" i="7"/>
  <c r="AI449" i="7"/>
  <c r="AQ448" i="7"/>
  <c r="AI448" i="7"/>
  <c r="AQ447" i="7"/>
  <c r="AI447" i="7"/>
  <c r="AQ446" i="7"/>
  <c r="AI446" i="7"/>
  <c r="AQ445" i="7"/>
  <c r="AQ444" i="7"/>
  <c r="AQ443" i="7"/>
  <c r="AQ442" i="7"/>
  <c r="AQ441" i="7"/>
  <c r="AQ440" i="7"/>
  <c r="AQ439" i="7"/>
  <c r="AQ438" i="7"/>
  <c r="AQ437" i="7"/>
  <c r="AQ436" i="7"/>
  <c r="AQ435" i="7"/>
  <c r="AI435" i="7"/>
  <c r="AI436" i="7"/>
  <c r="AI437" i="7"/>
  <c r="AI438" i="7"/>
  <c r="AI439" i="7"/>
  <c r="AI440" i="7"/>
  <c r="AI441" i="7"/>
  <c r="AI442" i="7"/>
  <c r="AI443" i="7"/>
  <c r="AI444" i="7"/>
  <c r="AI445" i="7"/>
  <c r="AI434" i="7"/>
  <c r="AQ434" i="7"/>
  <c r="AI421" i="7"/>
  <c r="AI420" i="7"/>
  <c r="AI417" i="7"/>
  <c r="AI418" i="7"/>
  <c r="AI419" i="7"/>
  <c r="AI416" i="7"/>
  <c r="AI389" i="7"/>
  <c r="AI387" i="7"/>
  <c r="AI388" i="7"/>
  <c r="AI415" i="7"/>
  <c r="AD410" i="7"/>
  <c r="AE410" i="7"/>
  <c r="AD411" i="7"/>
  <c r="AE411" i="7"/>
  <c r="AD412" i="7"/>
  <c r="AE412" i="7"/>
  <c r="AD413" i="7"/>
  <c r="AE413" i="7"/>
  <c r="AE409" i="7"/>
  <c r="AD409" i="7"/>
  <c r="Z283" i="6"/>
  <c r="Z284" i="6"/>
  <c r="Z285" i="6"/>
  <c r="Z286" i="6"/>
  <c r="Z282" i="6"/>
  <c r="Y286" i="6"/>
  <c r="Y285" i="6"/>
  <c r="Y284" i="6"/>
  <c r="Y283" i="6"/>
  <c r="Y282" i="6"/>
  <c r="O68" i="5"/>
  <c r="O67" i="5"/>
  <c r="O66" i="5"/>
  <c r="O65" i="5"/>
  <c r="O64" i="5"/>
  <c r="O63" i="5"/>
  <c r="O62" i="5"/>
  <c r="O61" i="5"/>
  <c r="O60" i="5"/>
  <c r="P58" i="5"/>
  <c r="P57" i="5"/>
  <c r="Q57" i="5" s="1"/>
  <c r="P56" i="5"/>
  <c r="Q56" i="5" s="1"/>
  <c r="P55" i="5"/>
  <c r="Q55" i="5" s="1"/>
  <c r="O58" i="5"/>
  <c r="O57" i="5"/>
  <c r="O56" i="5"/>
  <c r="O55" i="5"/>
  <c r="P54" i="5"/>
  <c r="Q54" i="5" s="1"/>
  <c r="P53" i="5"/>
  <c r="Q53" i="5" s="1"/>
  <c r="P52" i="5"/>
  <c r="P51" i="5"/>
  <c r="O54" i="5"/>
  <c r="O53" i="5"/>
  <c r="O52" i="5"/>
  <c r="O51" i="5"/>
  <c r="P50" i="5"/>
  <c r="Q50" i="5" s="1"/>
  <c r="P49" i="5"/>
  <c r="P48" i="5"/>
  <c r="Q48" i="5" s="1"/>
  <c r="P47" i="5"/>
  <c r="Q47" i="5" s="1"/>
  <c r="O50" i="5"/>
  <c r="O49" i="5"/>
  <c r="O48" i="5"/>
  <c r="O47" i="5"/>
  <c r="O45" i="5"/>
  <c r="O44" i="5"/>
  <c r="O43" i="5"/>
  <c r="P42" i="5"/>
  <c r="P41" i="5"/>
  <c r="P40" i="5"/>
  <c r="O42" i="5"/>
  <c r="O41" i="5"/>
  <c r="O40" i="5"/>
  <c r="P39" i="5"/>
  <c r="P38" i="5"/>
  <c r="P37" i="5"/>
  <c r="O39" i="5"/>
  <c r="O38" i="5"/>
  <c r="O37" i="5"/>
  <c r="P34" i="5"/>
  <c r="Q34" i="5" s="1"/>
  <c r="P33" i="5"/>
  <c r="P32" i="5"/>
  <c r="P31" i="5"/>
  <c r="P30" i="5"/>
  <c r="P28" i="5"/>
  <c r="Q28" i="5" s="1"/>
  <c r="P27" i="5"/>
  <c r="Q27" i="5" s="1"/>
  <c r="P26" i="5"/>
  <c r="O28" i="5"/>
  <c r="O27" i="5"/>
  <c r="O26" i="5"/>
  <c r="P25" i="5"/>
  <c r="Q25" i="5" s="1"/>
  <c r="P24" i="5"/>
  <c r="Q24" i="5" s="1"/>
  <c r="P23" i="5"/>
  <c r="Q23" i="5" s="1"/>
  <c r="O25" i="5"/>
  <c r="O24" i="5"/>
  <c r="O23" i="5"/>
  <c r="P22" i="5"/>
  <c r="Q22" i="5" s="1"/>
  <c r="P21" i="5"/>
  <c r="Q21" i="5" s="1"/>
  <c r="P20" i="5"/>
  <c r="Q20" i="5" s="1"/>
  <c r="O22" i="5"/>
  <c r="O21" i="5"/>
  <c r="O20" i="5"/>
  <c r="M15" i="5"/>
  <c r="N15" i="5" s="1"/>
  <c r="L15" i="5"/>
  <c r="P15" i="5"/>
  <c r="Q15" i="5" s="1"/>
  <c r="O15" i="5"/>
  <c r="M14" i="5"/>
  <c r="N14" i="5" s="1"/>
  <c r="L14" i="5"/>
  <c r="P14" i="5"/>
  <c r="Q14" i="5" s="1"/>
  <c r="O14" i="5"/>
  <c r="M8" i="5"/>
  <c r="N8" i="5" s="1"/>
  <c r="P8" i="5"/>
  <c r="Y48" i="11"/>
  <c r="AA48" i="11" s="1"/>
  <c r="Y47" i="11"/>
  <c r="AA47" i="11" s="1"/>
  <c r="Y46" i="11"/>
  <c r="AA46" i="11" s="1"/>
  <c r="Y45" i="11"/>
  <c r="AA45" i="11" s="1"/>
  <c r="Y44" i="11"/>
  <c r="AA44" i="11" s="1"/>
  <c r="Y43" i="11"/>
  <c r="AA43" i="11" s="1"/>
  <c r="AC48" i="11"/>
  <c r="AE48" i="11" s="1"/>
  <c r="AC47" i="11"/>
  <c r="AE47" i="11" s="1"/>
  <c r="AC46" i="11"/>
  <c r="AE46" i="11" s="1"/>
  <c r="AC45" i="11"/>
  <c r="AE45" i="11" s="1"/>
  <c r="AC44" i="11"/>
  <c r="AE44" i="11" s="1"/>
  <c r="Q48" i="11"/>
  <c r="Q47" i="11"/>
  <c r="Q46" i="11"/>
  <c r="Q45" i="11"/>
  <c r="Q44" i="11"/>
  <c r="O48" i="11"/>
  <c r="O47" i="11"/>
  <c r="O46" i="11"/>
  <c r="O45" i="11"/>
  <c r="O44" i="11"/>
  <c r="O43" i="11"/>
  <c r="S58" i="6"/>
  <c r="S57" i="6"/>
  <c r="O58" i="6"/>
  <c r="O57" i="6"/>
  <c r="Z58" i="6"/>
  <c r="S56" i="6"/>
  <c r="S55" i="6"/>
  <c r="O56" i="6"/>
  <c r="O55" i="6"/>
  <c r="Z56" i="6"/>
  <c r="S54" i="6"/>
  <c r="S53" i="6"/>
  <c r="O54" i="6"/>
  <c r="O53" i="6"/>
  <c r="Z54" i="6"/>
  <c r="AO28" i="11"/>
  <c r="AR28" i="11" s="1"/>
  <c r="P83" i="5"/>
  <c r="Q83" i="5" s="1"/>
  <c r="P82" i="5"/>
  <c r="Q82" i="5" s="1"/>
  <c r="M82" i="5"/>
  <c r="N82" i="5" s="1"/>
  <c r="M83" i="5"/>
  <c r="N83" i="5" s="1"/>
  <c r="M81" i="5"/>
  <c r="N81" i="5" s="1"/>
  <c r="P81" i="5"/>
  <c r="Q81" i="5" s="1"/>
  <c r="Y281" i="6"/>
  <c r="AA281" i="6" s="1"/>
  <c r="Y280" i="6"/>
  <c r="AA280" i="6" s="1"/>
  <c r="Y279" i="6"/>
  <c r="AA279" i="6" s="1"/>
  <c r="Y278" i="6"/>
  <c r="AA278" i="6" s="1"/>
  <c r="Y275" i="6"/>
  <c r="AA275" i="6" s="1"/>
  <c r="AD407" i="7"/>
  <c r="AI407" i="7" s="1"/>
  <c r="R61" i="5" l="1"/>
  <c r="R62" i="5"/>
  <c r="R63" i="5"/>
  <c r="R64" i="5"/>
  <c r="R65" i="5"/>
  <c r="R66" i="5"/>
  <c r="R67" i="5"/>
  <c r="R60" i="5"/>
  <c r="R68" i="5"/>
  <c r="R55" i="5"/>
  <c r="R56" i="5"/>
  <c r="R57" i="5"/>
  <c r="R58" i="5"/>
  <c r="R53" i="5"/>
  <c r="R52" i="5"/>
  <c r="R54" i="5"/>
  <c r="R51" i="5"/>
  <c r="R47" i="5"/>
  <c r="R48" i="5"/>
  <c r="R49" i="5"/>
  <c r="R50" i="5"/>
  <c r="R40" i="5"/>
  <c r="R41" i="5"/>
  <c r="R37" i="5"/>
  <c r="R42" i="5"/>
  <c r="R38" i="5"/>
  <c r="R39" i="5"/>
  <c r="U8" i="5"/>
  <c r="V8" i="5" s="1"/>
  <c r="AD55" i="6"/>
  <c r="AF55" i="6" s="1"/>
  <c r="AD56" i="6"/>
  <c r="AF56" i="6" s="1"/>
  <c r="U42" i="5"/>
  <c r="Q42" i="5"/>
  <c r="U38" i="5"/>
  <c r="Q38" i="5"/>
  <c r="U26" i="5"/>
  <c r="Q26" i="5"/>
  <c r="U33" i="5"/>
  <c r="V33" i="5" s="1"/>
  <c r="Q33" i="5"/>
  <c r="U39" i="5"/>
  <c r="Q39" i="5"/>
  <c r="U52" i="5"/>
  <c r="Q52" i="5"/>
  <c r="U49" i="5"/>
  <c r="Q49" i="5"/>
  <c r="U37" i="5"/>
  <c r="Q37" i="5"/>
  <c r="Q8" i="5"/>
  <c r="U31" i="5"/>
  <c r="V31" i="5" s="1"/>
  <c r="Q31" i="5"/>
  <c r="U58" i="5"/>
  <c r="Q58" i="5"/>
  <c r="U32" i="5"/>
  <c r="V32" i="5" s="1"/>
  <c r="Q32" i="5"/>
  <c r="U40" i="5"/>
  <c r="Q40" i="5"/>
  <c r="U51" i="5"/>
  <c r="Q51" i="5"/>
  <c r="U30" i="5"/>
  <c r="V30" i="5" s="1"/>
  <c r="Q30" i="5"/>
  <c r="U41" i="5"/>
  <c r="Q41" i="5"/>
  <c r="U50" i="5"/>
  <c r="U83" i="5"/>
  <c r="V83" i="5" s="1"/>
  <c r="U53" i="5"/>
  <c r="U28" i="5"/>
  <c r="U54" i="5"/>
  <c r="R45" i="5"/>
  <c r="U82" i="5"/>
  <c r="V82" i="5" s="1"/>
  <c r="U23" i="5"/>
  <c r="U55" i="5"/>
  <c r="U81" i="5"/>
  <c r="V81" i="5" s="1"/>
  <c r="U47" i="5"/>
  <c r="U56" i="5"/>
  <c r="V56" i="5" s="1"/>
  <c r="R44" i="5"/>
  <c r="R43" i="5"/>
  <c r="U48" i="5"/>
  <c r="U57" i="5"/>
  <c r="U22" i="5"/>
  <c r="R27" i="5"/>
  <c r="R23" i="5"/>
  <c r="R28" i="5"/>
  <c r="R24" i="5"/>
  <c r="R20" i="5"/>
  <c r="R25" i="5"/>
  <c r="U27" i="5"/>
  <c r="R21" i="5"/>
  <c r="R22" i="5"/>
  <c r="U24" i="5"/>
  <c r="U25" i="5"/>
  <c r="U21" i="5"/>
  <c r="R26" i="5"/>
  <c r="R14" i="5"/>
  <c r="U14" i="5"/>
  <c r="R15" i="5"/>
  <c r="U15" i="5"/>
  <c r="AD57" i="6"/>
  <c r="AF57" i="6" s="1"/>
  <c r="AD53" i="6"/>
  <c r="AF53" i="6" s="1"/>
  <c r="AD54" i="6"/>
  <c r="AF54" i="6" s="1"/>
  <c r="AD58" i="6"/>
  <c r="AF58" i="6" s="1"/>
  <c r="AI580" i="7"/>
  <c r="AA283" i="6"/>
  <c r="AI848" i="7"/>
  <c r="AI636" i="7"/>
  <c r="AI627" i="7"/>
  <c r="AI629" i="7"/>
  <c r="AI625" i="7"/>
  <c r="AI634" i="7"/>
  <c r="AI613" i="7"/>
  <c r="AI609" i="7"/>
  <c r="AI626" i="7"/>
  <c r="AI616" i="7"/>
  <c r="AI630" i="7"/>
  <c r="AI611" i="7"/>
  <c r="AI615" i="7"/>
  <c r="AI628" i="7"/>
  <c r="AI632" i="7"/>
  <c r="AI633" i="7"/>
  <c r="AI635" i="7"/>
  <c r="AI631" i="7"/>
  <c r="AA286" i="6"/>
  <c r="AA284" i="6"/>
  <c r="AI614" i="7"/>
  <c r="AI610" i="7"/>
  <c r="AI622" i="7"/>
  <c r="AI618" i="7"/>
  <c r="AI413" i="7"/>
  <c r="AI612" i="7"/>
  <c r="AI623" i="7"/>
  <c r="AI621" i="7"/>
  <c r="AI624" i="7"/>
  <c r="AI620" i="7"/>
  <c r="AI619" i="7"/>
  <c r="AI617" i="7"/>
  <c r="AA282" i="6"/>
  <c r="AI410" i="7"/>
  <c r="AI459" i="7"/>
  <c r="AI412" i="7"/>
  <c r="AI458" i="7"/>
  <c r="AI411" i="7"/>
  <c r="AI409" i="7"/>
  <c r="AA285" i="6"/>
  <c r="AO43" i="11"/>
  <c r="AR43" i="11" s="1"/>
  <c r="AP44" i="11"/>
  <c r="AO47" i="11"/>
  <c r="Y58" i="6"/>
  <c r="AA58" i="6" s="1"/>
  <c r="Y56" i="6"/>
  <c r="AA56" i="6" s="1"/>
  <c r="Y54" i="6"/>
  <c r="AA54" i="6" s="1"/>
  <c r="Y276" i="6"/>
  <c r="AA276" i="6" s="1"/>
  <c r="Y277" i="6"/>
  <c r="AA277" i="6" s="1"/>
  <c r="N408" i="7"/>
  <c r="W408" i="7"/>
  <c r="AQ408" i="7"/>
  <c r="AD403" i="7"/>
  <c r="AI403" i="7" s="1"/>
  <c r="AD404" i="7"/>
  <c r="AI404" i="7" s="1"/>
  <c r="AD405" i="7"/>
  <c r="AI405" i="7" s="1"/>
  <c r="AD406" i="7"/>
  <c r="AI406" i="7" s="1"/>
  <c r="AQ407" i="7"/>
  <c r="AQ406" i="7"/>
  <c r="AQ404" i="7"/>
  <c r="AQ405" i="7"/>
  <c r="AQ403" i="7"/>
  <c r="X402" i="7"/>
  <c r="X401" i="7"/>
  <c r="X400" i="7"/>
  <c r="W402" i="7"/>
  <c r="W401" i="7"/>
  <c r="W400" i="7"/>
  <c r="O401" i="7"/>
  <c r="O402" i="7"/>
  <c r="O400" i="7"/>
  <c r="N401" i="7"/>
  <c r="N402" i="7"/>
  <c r="N400" i="7"/>
  <c r="AQ401" i="7"/>
  <c r="AQ402" i="7"/>
  <c r="AQ400" i="7"/>
  <c r="N393" i="7"/>
  <c r="O393" i="7"/>
  <c r="N394" i="7"/>
  <c r="O394" i="7"/>
  <c r="N395" i="7"/>
  <c r="O395" i="7"/>
  <c r="O392" i="7"/>
  <c r="N392" i="7"/>
  <c r="X395" i="7"/>
  <c r="W395" i="7"/>
  <c r="X394" i="7"/>
  <c r="W394" i="7"/>
  <c r="X393" i="7"/>
  <c r="W393" i="7"/>
  <c r="X392" i="7"/>
  <c r="W392" i="7"/>
  <c r="O397" i="7"/>
  <c r="O398" i="7"/>
  <c r="O399" i="7"/>
  <c r="O396" i="7"/>
  <c r="N397" i="7"/>
  <c r="N398" i="7"/>
  <c r="N399" i="7"/>
  <c r="N396" i="7"/>
  <c r="X399" i="7"/>
  <c r="W399" i="7"/>
  <c r="X398" i="7"/>
  <c r="W398" i="7"/>
  <c r="X397" i="7"/>
  <c r="W397" i="7"/>
  <c r="X396" i="7"/>
  <c r="W396" i="7"/>
  <c r="AD391" i="7"/>
  <c r="AI391" i="7" s="1"/>
  <c r="AP391" i="7" s="1"/>
  <c r="AD390" i="7"/>
  <c r="AI390" i="7" s="1"/>
  <c r="AP390" i="7" s="1"/>
  <c r="Y274" i="6"/>
  <c r="AA274" i="6" s="1"/>
  <c r="AG274" i="6" s="1"/>
  <c r="O79" i="5"/>
  <c r="L79" i="5"/>
  <c r="M79" i="5" s="1"/>
  <c r="N79" i="5" s="1"/>
  <c r="L80" i="5"/>
  <c r="M80" i="5" s="1"/>
  <c r="N80" i="5" s="1"/>
  <c r="O80" i="5"/>
  <c r="AA199" i="11"/>
  <c r="O199" i="11"/>
  <c r="L78" i="5"/>
  <c r="L77" i="5"/>
  <c r="O78" i="5"/>
  <c r="O77" i="5"/>
  <c r="AD386" i="7"/>
  <c r="AE386" i="7"/>
  <c r="AE385" i="7"/>
  <c r="AD385" i="7"/>
  <c r="AQ386" i="7"/>
  <c r="AQ385" i="7"/>
  <c r="AQ383" i="7"/>
  <c r="AF379" i="7"/>
  <c r="AG379" i="7" s="1"/>
  <c r="AH379" i="7" s="1"/>
  <c r="AF378" i="7"/>
  <c r="AG378" i="7" s="1"/>
  <c r="AF377" i="7"/>
  <c r="AH383" i="7"/>
  <c r="AE383" i="7"/>
  <c r="AF383" i="7" s="1"/>
  <c r="AG383" i="7" s="1"/>
  <c r="AE382" i="7"/>
  <c r="AF382" i="7" s="1"/>
  <c r="AG382" i="7" s="1"/>
  <c r="AE381" i="7"/>
  <c r="AF381" i="7" s="1"/>
  <c r="AE384" i="7"/>
  <c r="AE380" i="7"/>
  <c r="AQ381" i="7"/>
  <c r="AQ382" i="7"/>
  <c r="AQ384" i="7"/>
  <c r="AQ380" i="7"/>
  <c r="AD351" i="7"/>
  <c r="AE351" i="7"/>
  <c r="AD352" i="7"/>
  <c r="AE352" i="7"/>
  <c r="AD353" i="7"/>
  <c r="AE353" i="7"/>
  <c r="AD354" i="7"/>
  <c r="AE354" i="7"/>
  <c r="AD355" i="7"/>
  <c r="AE355" i="7"/>
  <c r="AD356" i="7"/>
  <c r="AE356" i="7"/>
  <c r="AD357" i="7"/>
  <c r="AE357" i="7"/>
  <c r="AD358" i="7"/>
  <c r="AE358" i="7"/>
  <c r="AD359" i="7"/>
  <c r="AE359" i="7"/>
  <c r="AD360" i="7"/>
  <c r="AE360" i="7"/>
  <c r="AD361" i="7"/>
  <c r="AE361" i="7"/>
  <c r="AD362" i="7"/>
  <c r="AE362" i="7"/>
  <c r="AD363" i="7"/>
  <c r="AE363" i="7"/>
  <c r="AD364" i="7"/>
  <c r="AE364" i="7"/>
  <c r="AD365" i="7"/>
  <c r="AE365" i="7"/>
  <c r="AD366" i="7"/>
  <c r="AE366" i="7"/>
  <c r="AD367" i="7"/>
  <c r="AE367" i="7"/>
  <c r="AD368" i="7"/>
  <c r="AE368" i="7"/>
  <c r="AD369" i="7"/>
  <c r="AE369" i="7"/>
  <c r="AD370" i="7"/>
  <c r="AE370" i="7"/>
  <c r="AD371" i="7"/>
  <c r="AE371" i="7"/>
  <c r="AD372" i="7"/>
  <c r="AE372" i="7"/>
  <c r="AD373" i="7"/>
  <c r="AE373" i="7"/>
  <c r="AD374" i="7"/>
  <c r="AE374" i="7"/>
  <c r="AE350" i="7"/>
  <c r="AD350" i="7"/>
  <c r="AE349" i="7"/>
  <c r="AD349" i="7"/>
  <c r="AE348" i="7"/>
  <c r="AD348" i="7"/>
  <c r="AE347" i="7"/>
  <c r="AD347" i="7"/>
  <c r="V50" i="5" l="1"/>
  <c r="V53" i="5"/>
  <c r="V55" i="5"/>
  <c r="V47" i="5"/>
  <c r="V37" i="5"/>
  <c r="AG56" i="6"/>
  <c r="AL408" i="7"/>
  <c r="AO408" i="7" s="1"/>
  <c r="V54" i="5"/>
  <c r="V57" i="5"/>
  <c r="V41" i="5"/>
  <c r="V52" i="5"/>
  <c r="V48" i="5"/>
  <c r="V42" i="5"/>
  <c r="V38" i="5"/>
  <c r="V39" i="5"/>
  <c r="V58" i="5"/>
  <c r="V51" i="5"/>
  <c r="V49" i="5"/>
  <c r="V40" i="5"/>
  <c r="V26" i="5"/>
  <c r="V28" i="5"/>
  <c r="V23" i="5"/>
  <c r="V21" i="5"/>
  <c r="V22" i="5"/>
  <c r="R79" i="5"/>
  <c r="V27" i="5"/>
  <c r="V25" i="5"/>
  <c r="V24" i="5"/>
  <c r="V15" i="5"/>
  <c r="V14" i="5"/>
  <c r="R77" i="5"/>
  <c r="AG58" i="6"/>
  <c r="P80" i="5"/>
  <c r="R80" i="5"/>
  <c r="R78" i="5"/>
  <c r="AG54" i="6"/>
  <c r="AL400" i="7"/>
  <c r="AO400" i="7" s="1"/>
  <c r="AL398" i="7"/>
  <c r="AO398" i="7" s="1"/>
  <c r="AL395" i="7"/>
  <c r="AO395" i="7" s="1"/>
  <c r="AL394" i="7"/>
  <c r="AO394" i="7" s="1"/>
  <c r="AL401" i="7"/>
  <c r="AO401" i="7" s="1"/>
  <c r="AL402" i="7"/>
  <c r="AO402" i="7" s="1"/>
  <c r="AL396" i="7"/>
  <c r="AO396" i="7" s="1"/>
  <c r="AL392" i="7"/>
  <c r="AO392" i="7" s="1"/>
  <c r="AL399" i="7"/>
  <c r="AO399" i="7" s="1"/>
  <c r="AL397" i="7"/>
  <c r="AO397" i="7" s="1"/>
  <c r="AL393" i="7"/>
  <c r="AO393" i="7" s="1"/>
  <c r="AD396" i="7"/>
  <c r="AI396" i="7" s="1"/>
  <c r="AD392" i="7"/>
  <c r="AI392" i="7" s="1"/>
  <c r="AD408" i="7"/>
  <c r="AI408" i="7" s="1"/>
  <c r="AO199" i="11"/>
  <c r="AR199" i="11" s="1"/>
  <c r="P79" i="5"/>
  <c r="AD398" i="7"/>
  <c r="AI398" i="7" s="1"/>
  <c r="AD399" i="7"/>
  <c r="AI399" i="7" s="1"/>
  <c r="AD397" i="7"/>
  <c r="AI397" i="7" s="1"/>
  <c r="AD393" i="7"/>
  <c r="AI393" i="7" s="1"/>
  <c r="AD400" i="7"/>
  <c r="AI400" i="7" s="1"/>
  <c r="AD395" i="7"/>
  <c r="AI395" i="7" s="1"/>
  <c r="AD401" i="7"/>
  <c r="AI401" i="7" s="1"/>
  <c r="AD394" i="7"/>
  <c r="AI394" i="7" s="1"/>
  <c r="AD402" i="7"/>
  <c r="AI402" i="7" s="1"/>
  <c r="AI350" i="7"/>
  <c r="AI371" i="7"/>
  <c r="AI367" i="7"/>
  <c r="AI355" i="7"/>
  <c r="AI366" i="7"/>
  <c r="AI374" i="7"/>
  <c r="AI357" i="7"/>
  <c r="AI368" i="7"/>
  <c r="AI360" i="7"/>
  <c r="AI358" i="7"/>
  <c r="AI354" i="7"/>
  <c r="AI352" i="7"/>
  <c r="AI363" i="7"/>
  <c r="AI359" i="7"/>
  <c r="AI351" i="7"/>
  <c r="AI373" i="7"/>
  <c r="AI361" i="7"/>
  <c r="AI365" i="7"/>
  <c r="AI347" i="7"/>
  <c r="AI370" i="7"/>
  <c r="AI364" i="7"/>
  <c r="AI349" i="7"/>
  <c r="AI369" i="7"/>
  <c r="AI353" i="7"/>
  <c r="AI372" i="7"/>
  <c r="AI362" i="7"/>
  <c r="AI356" i="7"/>
  <c r="AI348" i="7"/>
  <c r="AE346" i="7"/>
  <c r="AD346" i="7"/>
  <c r="AE345" i="7"/>
  <c r="AD345" i="7"/>
  <c r="AE344" i="7"/>
  <c r="AD344" i="7"/>
  <c r="AE343" i="7"/>
  <c r="AD343" i="7"/>
  <c r="AD332" i="7"/>
  <c r="AE332" i="7"/>
  <c r="AD333" i="7"/>
  <c r="AE333" i="7"/>
  <c r="AD334" i="7"/>
  <c r="AE334" i="7"/>
  <c r="AD335" i="7"/>
  <c r="AE335" i="7"/>
  <c r="AD336" i="7"/>
  <c r="AE336" i="7"/>
  <c r="AD337" i="7"/>
  <c r="AE337" i="7"/>
  <c r="AD338" i="7"/>
  <c r="AE338" i="7"/>
  <c r="AD339" i="7"/>
  <c r="AE339" i="7"/>
  <c r="AD340" i="7"/>
  <c r="AE340" i="7"/>
  <c r="AD341" i="7"/>
  <c r="AE341" i="7"/>
  <c r="AD342" i="7"/>
  <c r="AE342" i="7"/>
  <c r="AE331" i="7"/>
  <c r="AD331" i="7"/>
  <c r="AQ330" i="7"/>
  <c r="AQ328" i="7"/>
  <c r="AQ329" i="7"/>
  <c r="AQ327" i="7"/>
  <c r="V19" i="14"/>
  <c r="V18" i="14"/>
  <c r="V17" i="14"/>
  <c r="U19" i="14"/>
  <c r="U18" i="14"/>
  <c r="U17" i="14"/>
  <c r="T19" i="14"/>
  <c r="T18" i="14"/>
  <c r="T17" i="14"/>
  <c r="S19" i="14"/>
  <c r="S18" i="14"/>
  <c r="S17" i="14"/>
  <c r="N19" i="14"/>
  <c r="Q19" i="14"/>
  <c r="N18" i="14"/>
  <c r="Q18" i="14"/>
  <c r="N17" i="14"/>
  <c r="Q17" i="14"/>
  <c r="AG16" i="14"/>
  <c r="AG14" i="14"/>
  <c r="AG12" i="14"/>
  <c r="AG10" i="14"/>
  <c r="AG8" i="14"/>
  <c r="AG6" i="14"/>
  <c r="P16" i="14"/>
  <c r="P12" i="14"/>
  <c r="P8" i="14"/>
  <c r="P15" i="14"/>
  <c r="P11" i="14"/>
  <c r="P7" i="14"/>
  <c r="P14" i="14"/>
  <c r="P10" i="14"/>
  <c r="P6" i="14"/>
  <c r="P13" i="14"/>
  <c r="P9" i="14"/>
  <c r="P5" i="14"/>
  <c r="M16" i="14"/>
  <c r="M12" i="14"/>
  <c r="M8" i="14"/>
  <c r="M15" i="14"/>
  <c r="M11" i="14"/>
  <c r="M7" i="14"/>
  <c r="M14" i="14"/>
  <c r="M10" i="14"/>
  <c r="M6" i="14"/>
  <c r="M13" i="14"/>
  <c r="M9" i="14"/>
  <c r="M5" i="14"/>
  <c r="Q4" i="14"/>
  <c r="N4" i="14"/>
  <c r="M4" i="14"/>
  <c r="P4" i="14"/>
  <c r="AP195" i="11"/>
  <c r="AR195" i="11" s="1"/>
  <c r="AO190" i="11"/>
  <c r="AR190" i="11" s="1"/>
  <c r="Y194" i="11"/>
  <c r="AA194" i="11" s="1"/>
  <c r="Y193" i="11"/>
  <c r="AA193" i="11" s="1"/>
  <c r="Y192" i="11"/>
  <c r="AA192" i="11" s="1"/>
  <c r="Y191" i="11"/>
  <c r="AA191" i="11" s="1"/>
  <c r="O194" i="11"/>
  <c r="O193" i="11"/>
  <c r="O192" i="11"/>
  <c r="O191" i="11"/>
  <c r="Y273" i="6"/>
  <c r="AA273" i="6" s="1"/>
  <c r="Y272" i="6"/>
  <c r="AA272" i="6" s="1"/>
  <c r="Y271" i="6"/>
  <c r="AA271" i="6" s="1"/>
  <c r="Y270" i="6"/>
  <c r="AA270" i="6" s="1"/>
  <c r="Y269" i="6"/>
  <c r="AA269" i="6" s="1"/>
  <c r="Y268" i="6"/>
  <c r="AA268" i="6" s="1"/>
  <c r="Y267" i="6"/>
  <c r="AA267" i="6" s="1"/>
  <c r="Y266" i="6"/>
  <c r="AA266" i="6" s="1"/>
  <c r="Y265" i="6"/>
  <c r="AA265" i="6" s="1"/>
  <c r="Y264" i="6"/>
  <c r="AA264" i="6" s="1"/>
  <c r="Y263" i="6"/>
  <c r="AA263" i="6" s="1"/>
  <c r="Y262" i="6"/>
  <c r="AA262" i="6" s="1"/>
  <c r="Y261" i="6"/>
  <c r="AA261" i="6" s="1"/>
  <c r="Y260" i="6"/>
  <c r="AA260" i="6" s="1"/>
  <c r="Y259" i="6"/>
  <c r="AA259" i="6" s="1"/>
  <c r="Y258" i="6"/>
  <c r="AA258" i="6" s="1"/>
  <c r="Y257" i="6"/>
  <c r="AA257" i="6" s="1"/>
  <c r="Y256" i="6"/>
  <c r="AA256" i="6" s="1"/>
  <c r="Y255" i="6"/>
  <c r="AA255" i="6" s="1"/>
  <c r="Y254" i="6"/>
  <c r="AA254" i="6" s="1"/>
  <c r="Y253" i="6"/>
  <c r="AA253" i="6" s="1"/>
  <c r="Y252" i="6"/>
  <c r="AA252" i="6" s="1"/>
  <c r="Y251" i="6"/>
  <c r="AA251" i="6" s="1"/>
  <c r="Y250" i="6"/>
  <c r="AA250" i="6" s="1"/>
  <c r="Y249" i="6"/>
  <c r="AA249" i="6" s="1"/>
  <c r="Y248" i="6"/>
  <c r="AA248" i="6" s="1"/>
  <c r="Y247" i="6"/>
  <c r="AA247" i="6" s="1"/>
  <c r="Y246" i="6"/>
  <c r="AA246" i="6" s="1"/>
  <c r="Y245" i="6"/>
  <c r="AA245" i="6" s="1"/>
  <c r="Y244" i="6"/>
  <c r="AA244" i="6" s="1"/>
  <c r="Y243" i="6"/>
  <c r="AA243" i="6" s="1"/>
  <c r="Y242" i="6"/>
  <c r="AA242" i="6" s="1"/>
  <c r="Y198" i="6"/>
  <c r="AA198" i="6" s="1"/>
  <c r="Y200" i="6"/>
  <c r="AA200" i="6" s="1"/>
  <c r="Y201" i="6"/>
  <c r="AA201" i="6" s="1"/>
  <c r="Y204" i="6"/>
  <c r="AA204" i="6" s="1"/>
  <c r="Y205" i="6"/>
  <c r="AA205" i="6" s="1"/>
  <c r="Y208" i="6"/>
  <c r="AA208" i="6" s="1"/>
  <c r="Y209" i="6"/>
  <c r="AA209" i="6" s="1"/>
  <c r="Y210" i="6"/>
  <c r="AA210" i="6" s="1"/>
  <c r="Y211" i="6"/>
  <c r="AA211" i="6" s="1"/>
  <c r="Y212" i="6"/>
  <c r="AA212" i="6" s="1"/>
  <c r="Y213" i="6"/>
  <c r="AA213" i="6" s="1"/>
  <c r="Y214" i="6"/>
  <c r="AA214" i="6" s="1"/>
  <c r="Y215" i="6"/>
  <c r="AA215" i="6" s="1"/>
  <c r="Y216" i="6"/>
  <c r="AA216" i="6" s="1"/>
  <c r="Y217" i="6"/>
  <c r="AA217" i="6" s="1"/>
  <c r="Y218" i="6"/>
  <c r="AA218" i="6" s="1"/>
  <c r="Y219" i="6"/>
  <c r="AA219" i="6" s="1"/>
  <c r="Y220" i="6"/>
  <c r="AA220" i="6" s="1"/>
  <c r="Y221" i="6"/>
  <c r="AA221" i="6" s="1"/>
  <c r="Y222" i="6"/>
  <c r="AA222" i="6" s="1"/>
  <c r="Y223" i="6"/>
  <c r="AA223" i="6" s="1"/>
  <c r="Y224" i="6"/>
  <c r="AA224" i="6" s="1"/>
  <c r="Y225" i="6"/>
  <c r="AA225" i="6" s="1"/>
  <c r="Y226" i="6"/>
  <c r="AA226" i="6" s="1"/>
  <c r="Y227" i="6"/>
  <c r="AA227" i="6" s="1"/>
  <c r="Y228" i="6"/>
  <c r="AA228" i="6" s="1"/>
  <c r="Y229" i="6"/>
  <c r="AA229" i="6" s="1"/>
  <c r="Y230" i="6"/>
  <c r="AA230" i="6" s="1"/>
  <c r="Y231" i="6"/>
  <c r="AA231" i="6" s="1"/>
  <c r="Y232" i="6"/>
  <c r="AA232" i="6" s="1"/>
  <c r="Y233" i="6"/>
  <c r="AA233" i="6" s="1"/>
  <c r="Y234" i="6"/>
  <c r="AA234" i="6" s="1"/>
  <c r="Y235" i="6"/>
  <c r="AA235" i="6" s="1"/>
  <c r="Y236" i="6"/>
  <c r="AA236" i="6" s="1"/>
  <c r="Y237" i="6"/>
  <c r="AA237" i="6" s="1"/>
  <c r="Y238" i="6"/>
  <c r="AA238" i="6" s="1"/>
  <c r="Y239" i="6"/>
  <c r="AA239" i="6" s="1"/>
  <c r="Y240" i="6"/>
  <c r="AA240" i="6" s="1"/>
  <c r="Y241" i="6"/>
  <c r="AA241" i="6" s="1"/>
  <c r="Z197" i="6"/>
  <c r="Y197" i="6"/>
  <c r="AE314" i="7"/>
  <c r="AE315" i="7"/>
  <c r="AE316" i="7"/>
  <c r="AE317" i="7"/>
  <c r="AE318" i="7"/>
  <c r="AE319" i="7"/>
  <c r="AE320" i="7"/>
  <c r="AE321" i="7"/>
  <c r="AE322" i="7"/>
  <c r="AE323" i="7"/>
  <c r="AE324" i="7"/>
  <c r="AE313" i="7"/>
  <c r="AD314" i="7"/>
  <c r="AD315" i="7"/>
  <c r="AD316" i="7"/>
  <c r="AD317" i="7"/>
  <c r="AD318" i="7"/>
  <c r="AD319" i="7"/>
  <c r="AD320" i="7"/>
  <c r="AD321" i="7"/>
  <c r="AD322" i="7"/>
  <c r="AD323" i="7"/>
  <c r="AD324" i="7"/>
  <c r="AD313" i="7"/>
  <c r="P310" i="7"/>
  <c r="P311" i="7"/>
  <c r="P312" i="7"/>
  <c r="P309" i="7"/>
  <c r="N310" i="7"/>
  <c r="N311" i="7"/>
  <c r="N312" i="7"/>
  <c r="N309" i="7"/>
  <c r="AI309" i="7"/>
  <c r="AI310" i="7"/>
  <c r="AI311" i="7"/>
  <c r="AI312" i="7"/>
  <c r="AD297" i="7"/>
  <c r="AE297" i="7"/>
  <c r="AD298" i="7"/>
  <c r="AE298" i="7"/>
  <c r="AD299" i="7"/>
  <c r="AE299" i="7"/>
  <c r="AD300" i="7"/>
  <c r="AE300" i="7"/>
  <c r="AD301" i="7"/>
  <c r="AE301" i="7"/>
  <c r="AD302" i="7"/>
  <c r="AE302" i="7"/>
  <c r="AD303" i="7"/>
  <c r="AE303" i="7"/>
  <c r="AD304" i="7"/>
  <c r="AE304" i="7"/>
  <c r="AD305" i="7"/>
  <c r="AE305" i="7"/>
  <c r="AD306" i="7"/>
  <c r="AE306" i="7"/>
  <c r="AD307" i="7"/>
  <c r="AE307" i="7"/>
  <c r="AD308" i="7"/>
  <c r="AE308" i="7"/>
  <c r="AD294" i="7"/>
  <c r="AE295" i="7"/>
  <c r="AE296" i="7"/>
  <c r="AE294" i="7"/>
  <c r="AD295" i="7"/>
  <c r="AD296" i="7"/>
  <c r="AC69" i="10"/>
  <c r="AC68" i="10"/>
  <c r="Y69" i="10"/>
  <c r="Y68" i="10"/>
  <c r="Q69" i="10"/>
  <c r="Q68" i="10"/>
  <c r="U69" i="10"/>
  <c r="U68" i="10"/>
  <c r="O69" i="10"/>
  <c r="O68" i="10"/>
  <c r="AC67" i="10"/>
  <c r="AC66" i="10"/>
  <c r="Y67" i="10"/>
  <c r="Y66" i="10"/>
  <c r="Q67" i="10"/>
  <c r="Q66" i="10"/>
  <c r="U67" i="10"/>
  <c r="U66" i="10"/>
  <c r="O67" i="10"/>
  <c r="O66" i="10"/>
  <c r="AD9" i="14" l="1"/>
  <c r="AF9" i="14" s="1"/>
  <c r="AD5" i="14"/>
  <c r="AF5" i="14" s="1"/>
  <c r="AD15" i="14"/>
  <c r="AF15" i="14" s="1"/>
  <c r="AD8" i="14"/>
  <c r="AF8" i="14" s="1"/>
  <c r="AD17" i="14"/>
  <c r="AF17" i="14" s="1"/>
  <c r="AD11" i="14"/>
  <c r="AF11" i="14" s="1"/>
  <c r="AA6" i="14"/>
  <c r="AC6" i="14" s="1"/>
  <c r="AA10" i="14"/>
  <c r="AC10" i="14" s="1"/>
  <c r="AD6" i="14"/>
  <c r="AF6" i="14" s="1"/>
  <c r="AD7" i="14"/>
  <c r="AF7" i="14" s="1"/>
  <c r="AA13" i="14"/>
  <c r="AC13" i="14" s="1"/>
  <c r="AA12" i="14"/>
  <c r="AC12" i="14" s="1"/>
  <c r="U79" i="5"/>
  <c r="V79" i="5" s="1"/>
  <c r="Q79" i="5"/>
  <c r="U80" i="5"/>
  <c r="V80" i="5" s="1"/>
  <c r="Q80" i="5"/>
  <c r="AD19" i="14"/>
  <c r="AF19" i="14" s="1"/>
  <c r="AD4" i="14"/>
  <c r="AF4" i="14" s="1"/>
  <c r="AD13" i="14"/>
  <c r="AF13" i="14" s="1"/>
  <c r="AD12" i="14"/>
  <c r="AF12" i="14" s="1"/>
  <c r="AD16" i="14"/>
  <c r="AF16" i="14" s="1"/>
  <c r="AD10" i="14"/>
  <c r="AF10" i="14" s="1"/>
  <c r="AD14" i="14"/>
  <c r="AF14" i="14" s="1"/>
  <c r="AA9" i="14"/>
  <c r="AC9" i="14" s="1"/>
  <c r="AA8" i="14"/>
  <c r="AC8" i="14" s="1"/>
  <c r="AD18" i="14"/>
  <c r="AF18" i="14" s="1"/>
  <c r="AP397" i="7"/>
  <c r="AA4" i="14"/>
  <c r="AC4" i="14" s="1"/>
  <c r="AA16" i="14"/>
  <c r="AC16" i="14" s="1"/>
  <c r="AA14" i="14"/>
  <c r="AC14" i="14" s="1"/>
  <c r="AA11" i="14"/>
  <c r="AC11" i="14" s="1"/>
  <c r="AA7" i="14"/>
  <c r="AC7" i="14" s="1"/>
  <c r="AA5" i="14"/>
  <c r="AC5" i="14" s="1"/>
  <c r="AA15" i="14"/>
  <c r="AC15" i="14" s="1"/>
  <c r="AP393" i="7"/>
  <c r="AP408" i="7"/>
  <c r="AP396" i="7"/>
  <c r="AP402" i="7"/>
  <c r="AP401" i="7"/>
  <c r="AP394" i="7"/>
  <c r="AP395" i="7"/>
  <c r="AP398" i="7"/>
  <c r="AP399" i="7"/>
  <c r="AP400" i="7"/>
  <c r="AP392" i="7"/>
  <c r="AH67" i="10"/>
  <c r="AJ67" i="10" s="1"/>
  <c r="AH66" i="10"/>
  <c r="AJ66" i="10" s="1"/>
  <c r="AH68" i="10"/>
  <c r="AJ68" i="10" s="1"/>
  <c r="AH69" i="10"/>
  <c r="AJ69" i="10" s="1"/>
  <c r="AO194" i="11"/>
  <c r="AR194" i="11" s="1"/>
  <c r="AO192" i="11"/>
  <c r="AR192" i="11" s="1"/>
  <c r="AO193" i="11"/>
  <c r="AR193" i="11" s="1"/>
  <c r="AO191" i="11"/>
  <c r="AR191" i="11" s="1"/>
  <c r="AI340" i="7"/>
  <c r="AI336" i="7"/>
  <c r="AI346" i="7"/>
  <c r="AI313" i="7"/>
  <c r="AI317" i="7"/>
  <c r="AI342" i="7"/>
  <c r="AI338" i="7"/>
  <c r="AI344" i="7"/>
  <c r="AI341" i="7"/>
  <c r="AI294" i="7"/>
  <c r="AI297" i="7"/>
  <c r="AI345" i="7"/>
  <c r="AI337" i="7"/>
  <c r="AI343" i="7"/>
  <c r="AI339" i="7"/>
  <c r="AI335" i="7"/>
  <c r="AI334" i="7"/>
  <c r="AI333" i="7"/>
  <c r="AI332" i="7"/>
  <c r="AI306" i="7"/>
  <c r="AI298" i="7"/>
  <c r="AI331" i="7"/>
  <c r="AI296" i="7"/>
  <c r="AI324" i="7"/>
  <c r="AI316" i="7"/>
  <c r="AI299" i="7"/>
  <c r="AI323" i="7"/>
  <c r="AI322" i="7"/>
  <c r="AI314" i="7"/>
  <c r="AI305" i="7"/>
  <c r="AI315" i="7"/>
  <c r="AI318" i="7"/>
  <c r="AI308" i="7"/>
  <c r="AI321" i="7"/>
  <c r="AI320" i="7"/>
  <c r="AI319" i="7"/>
  <c r="AI295" i="7"/>
  <c r="AI302" i="7"/>
  <c r="AI307" i="7"/>
  <c r="AI303" i="7"/>
  <c r="AI304" i="7"/>
  <c r="AI300" i="7"/>
  <c r="AI301" i="7"/>
  <c r="AA197" i="6"/>
  <c r="AC63" i="10"/>
  <c r="AC65" i="10"/>
  <c r="AC64" i="10"/>
  <c r="AC62" i="10"/>
  <c r="AC57" i="10"/>
  <c r="AC58" i="10"/>
  <c r="AC59" i="10"/>
  <c r="AC56" i="10"/>
  <c r="AQ59" i="10"/>
  <c r="AQ58" i="10"/>
  <c r="AQ61" i="10"/>
  <c r="AQ57" i="10"/>
  <c r="U61" i="10"/>
  <c r="U60" i="10"/>
  <c r="U59" i="10"/>
  <c r="U58" i="10"/>
  <c r="U57" i="10"/>
  <c r="U56" i="10"/>
  <c r="O61" i="10"/>
  <c r="O60" i="10"/>
  <c r="O59" i="10"/>
  <c r="O58" i="10"/>
  <c r="O57" i="10"/>
  <c r="O56" i="10"/>
  <c r="AH55" i="10"/>
  <c r="AJ55" i="10" s="1"/>
  <c r="AQ54" i="10"/>
  <c r="AQ55" i="10" s="1"/>
  <c r="AH54" i="10"/>
  <c r="AJ54" i="10" s="1"/>
  <c r="AH53" i="10"/>
  <c r="AJ53" i="10" s="1"/>
  <c r="AH52" i="10"/>
  <c r="AJ52" i="10" s="1"/>
  <c r="AQ51" i="10"/>
  <c r="AH51" i="10"/>
  <c r="AJ51" i="10" s="1"/>
  <c r="AH50" i="10"/>
  <c r="AJ50" i="10" s="1"/>
  <c r="AQ49" i="10"/>
  <c r="AH49" i="10"/>
  <c r="AJ49" i="10" s="1"/>
  <c r="AH48" i="10"/>
  <c r="AJ48" i="10" s="1"/>
  <c r="AH47" i="10"/>
  <c r="AJ47" i="10" s="1"/>
  <c r="AH46" i="10"/>
  <c r="AJ46" i="10" s="1"/>
  <c r="AH45" i="10"/>
  <c r="AJ45" i="10" s="1"/>
  <c r="AH44" i="10"/>
  <c r="AJ44" i="10" s="1"/>
  <c r="AQ46" i="10"/>
  <c r="AQ47" i="10" s="1"/>
  <c r="AH43" i="10"/>
  <c r="AJ43" i="10" s="1"/>
  <c r="AH42" i="10"/>
  <c r="AJ42" i="10" s="1"/>
  <c r="AH41" i="10"/>
  <c r="AJ41" i="10" s="1"/>
  <c r="AH40" i="10"/>
  <c r="AJ40" i="10" s="1"/>
  <c r="AQ43" i="10"/>
  <c r="AQ41" i="10"/>
  <c r="AQ39" i="10"/>
  <c r="AQ33" i="10"/>
  <c r="AQ34" i="10" s="1"/>
  <c r="AH39" i="10"/>
  <c r="AJ39" i="10" s="1"/>
  <c r="AH38" i="10"/>
  <c r="AJ38" i="10" s="1"/>
  <c r="AH37" i="10"/>
  <c r="AJ37" i="10" s="1"/>
  <c r="AH36" i="10"/>
  <c r="AJ36" i="10" s="1"/>
  <c r="AH35" i="10"/>
  <c r="AJ35" i="10" s="1"/>
  <c r="AQ38" i="10"/>
  <c r="AQ36" i="10"/>
  <c r="AH34" i="10"/>
  <c r="AJ34" i="10" s="1"/>
  <c r="AH33" i="10"/>
  <c r="AJ33" i="10" s="1"/>
  <c r="AH32" i="10"/>
  <c r="AJ32" i="10" s="1"/>
  <c r="AH31" i="10"/>
  <c r="AJ31" i="10" s="1"/>
  <c r="AH30" i="10"/>
  <c r="AJ30" i="10" s="1"/>
  <c r="AH29" i="10"/>
  <c r="AJ29" i="10" s="1"/>
  <c r="AH28" i="10"/>
  <c r="AJ28" i="10" s="1"/>
  <c r="AQ31" i="10"/>
  <c r="AH27" i="10"/>
  <c r="AJ27" i="10" s="1"/>
  <c r="AP27" i="10" s="1"/>
  <c r="AH26" i="10"/>
  <c r="AJ26" i="10" s="1"/>
  <c r="AP26" i="10" s="1"/>
  <c r="AH25" i="10"/>
  <c r="AJ25" i="10" s="1"/>
  <c r="AP25" i="10" s="1"/>
  <c r="AG21" i="10"/>
  <c r="AB21" i="10"/>
  <c r="AA21" i="10"/>
  <c r="AG20" i="10"/>
  <c r="AB20" i="10"/>
  <c r="AA20" i="10"/>
  <c r="AG19" i="10"/>
  <c r="AB19" i="10"/>
  <c r="AA19" i="10"/>
  <c r="AG18" i="10"/>
  <c r="AB18" i="10"/>
  <c r="AA18" i="10"/>
  <c r="AG17" i="10"/>
  <c r="AB17" i="10"/>
  <c r="AA17" i="10"/>
  <c r="AG16" i="10"/>
  <c r="AB16" i="10"/>
  <c r="AA16" i="10"/>
  <c r="AA13" i="10"/>
  <c r="AB24" i="10"/>
  <c r="AB23" i="10"/>
  <c r="AB22" i="10"/>
  <c r="AB14" i="10"/>
  <c r="AB13" i="10"/>
  <c r="AA24" i="10"/>
  <c r="AA23" i="10"/>
  <c r="AA22" i="10"/>
  <c r="AA14" i="10"/>
  <c r="AG23" i="10"/>
  <c r="AG22" i="10"/>
  <c r="AG14" i="10"/>
  <c r="AG13" i="10"/>
  <c r="AG15" i="10"/>
  <c r="AG24" i="10"/>
  <c r="AP168" i="11"/>
  <c r="AP169" i="11"/>
  <c r="AO169" i="11"/>
  <c r="AO168" i="11"/>
  <c r="AP156" i="11"/>
  <c r="AP157" i="11"/>
  <c r="AP158" i="11"/>
  <c r="AP159" i="11"/>
  <c r="AP160" i="11"/>
  <c r="AP161" i="11"/>
  <c r="AP162" i="11"/>
  <c r="AP163" i="11"/>
  <c r="AP164" i="11"/>
  <c r="AP165" i="11"/>
  <c r="AP166" i="11"/>
  <c r="AP167" i="11"/>
  <c r="AP155" i="11"/>
  <c r="S97" i="11"/>
  <c r="S96" i="11"/>
  <c r="AG97" i="11"/>
  <c r="AG96" i="11"/>
  <c r="O11" i="12"/>
  <c r="AO155" i="11"/>
  <c r="AO156" i="11"/>
  <c r="AO157" i="11"/>
  <c r="AO158" i="11"/>
  <c r="AO167" i="11"/>
  <c r="AO166" i="11"/>
  <c r="AO165" i="11"/>
  <c r="AO164" i="11"/>
  <c r="AO163" i="11"/>
  <c r="AO162" i="11"/>
  <c r="AO161" i="11"/>
  <c r="AO160" i="11"/>
  <c r="AO159" i="11"/>
  <c r="AP151" i="11"/>
  <c r="AO151" i="11"/>
  <c r="AP150" i="11"/>
  <c r="AO150" i="11"/>
  <c r="AP149" i="11"/>
  <c r="AO149" i="11"/>
  <c r="AP148" i="11"/>
  <c r="AO148" i="11"/>
  <c r="AP147" i="11"/>
  <c r="AO147" i="11"/>
  <c r="AP146" i="11"/>
  <c r="AO146" i="11"/>
  <c r="AP145" i="11"/>
  <c r="AO145" i="11"/>
  <c r="AP144" i="11"/>
  <c r="AO144" i="11"/>
  <c r="AP143" i="11"/>
  <c r="AO143" i="11"/>
  <c r="AP142" i="11"/>
  <c r="AO142" i="11"/>
  <c r="AP141" i="11"/>
  <c r="AO141" i="11"/>
  <c r="AP140" i="11"/>
  <c r="AO140" i="11"/>
  <c r="AP139" i="11"/>
  <c r="AO139" i="11"/>
  <c r="AP138" i="11"/>
  <c r="AO138" i="11"/>
  <c r="AP137" i="11"/>
  <c r="AO137" i="11"/>
  <c r="AP136" i="11"/>
  <c r="AO136" i="11"/>
  <c r="AO135" i="11"/>
  <c r="AR135" i="11" s="1"/>
  <c r="AP128" i="11"/>
  <c r="AP129" i="11"/>
  <c r="AP130" i="11"/>
  <c r="AP131" i="11"/>
  <c r="AP132" i="11"/>
  <c r="AP133" i="11"/>
  <c r="AO133" i="11"/>
  <c r="AO132" i="11"/>
  <c r="AO131" i="11"/>
  <c r="AO130" i="11"/>
  <c r="AO129" i="11"/>
  <c r="AO128" i="11"/>
  <c r="AP122" i="11"/>
  <c r="AP123" i="11"/>
  <c r="AP124" i="11"/>
  <c r="AP125" i="11"/>
  <c r="AP126" i="11"/>
  <c r="AP127" i="11"/>
  <c r="AO127" i="11"/>
  <c r="AO126" i="11"/>
  <c r="AO125" i="11"/>
  <c r="AO124" i="11"/>
  <c r="AO123" i="11"/>
  <c r="AO122" i="11"/>
  <c r="AP116" i="11"/>
  <c r="AP117" i="11"/>
  <c r="AP118" i="11"/>
  <c r="AP119" i="11"/>
  <c r="AP120" i="11"/>
  <c r="AP121" i="11"/>
  <c r="AO121" i="11"/>
  <c r="AO120" i="11"/>
  <c r="AO119" i="11"/>
  <c r="AO118" i="11"/>
  <c r="AO117" i="11"/>
  <c r="AO116" i="11"/>
  <c r="AP110" i="11"/>
  <c r="AP111" i="11"/>
  <c r="AP112" i="11"/>
  <c r="AP113" i="11"/>
  <c r="AP114" i="11"/>
  <c r="AP115" i="11"/>
  <c r="AO115" i="11"/>
  <c r="AO114" i="11"/>
  <c r="AO113" i="11"/>
  <c r="AO112" i="11"/>
  <c r="AO111" i="11"/>
  <c r="AO110" i="11"/>
  <c r="AP109" i="11"/>
  <c r="AO109" i="11"/>
  <c r="AP108" i="11"/>
  <c r="AO108" i="11"/>
  <c r="AP107" i="11"/>
  <c r="AO107" i="11"/>
  <c r="AP106" i="11"/>
  <c r="AO106" i="11"/>
  <c r="AP105" i="11"/>
  <c r="AO105" i="11"/>
  <c r="AP104" i="11"/>
  <c r="AO104" i="11"/>
  <c r="AP103" i="11"/>
  <c r="AO103" i="11"/>
  <c r="AP102" i="11"/>
  <c r="AO102" i="11"/>
  <c r="AP101" i="11"/>
  <c r="AO101" i="11"/>
  <c r="AP100" i="11"/>
  <c r="AO100" i="11"/>
  <c r="AP99" i="11"/>
  <c r="AO99" i="11"/>
  <c r="AP98" i="11"/>
  <c r="AO98" i="11"/>
  <c r="AP94" i="11"/>
  <c r="AO94" i="11"/>
  <c r="AP93" i="11"/>
  <c r="AO93" i="11"/>
  <c r="Z86" i="11"/>
  <c r="AB86" i="11" s="1"/>
  <c r="Z85" i="11"/>
  <c r="AB85" i="11" s="1"/>
  <c r="Z84" i="11"/>
  <c r="AB84" i="11" s="1"/>
  <c r="Z83" i="11"/>
  <c r="AB83" i="11" s="1"/>
  <c r="P86" i="11"/>
  <c r="P85" i="11"/>
  <c r="P84" i="11"/>
  <c r="P83" i="11"/>
  <c r="AP86" i="11"/>
  <c r="AN86" i="11"/>
  <c r="AH86" i="11"/>
  <c r="AO86" i="11"/>
  <c r="T86" i="11"/>
  <c r="AP85" i="11"/>
  <c r="AN85" i="11"/>
  <c r="AH85" i="11"/>
  <c r="AO85" i="11"/>
  <c r="T85" i="11"/>
  <c r="AP84" i="11"/>
  <c r="AN84" i="11"/>
  <c r="AH84" i="11"/>
  <c r="AO84" i="11"/>
  <c r="T84" i="11"/>
  <c r="AP83" i="11"/>
  <c r="AN83" i="11"/>
  <c r="AH83" i="11"/>
  <c r="AO83" i="11"/>
  <c r="T83" i="11"/>
  <c r="Z82" i="11"/>
  <c r="AB82" i="11" s="1"/>
  <c r="Z81" i="11"/>
  <c r="AB81" i="11" s="1"/>
  <c r="Z80" i="11"/>
  <c r="AB80" i="11" s="1"/>
  <c r="AB79" i="11"/>
  <c r="P82" i="11"/>
  <c r="P81" i="11"/>
  <c r="P80" i="11"/>
  <c r="P79" i="11"/>
  <c r="AP82" i="11"/>
  <c r="AN82" i="11"/>
  <c r="AH82" i="11"/>
  <c r="T82" i="11"/>
  <c r="AO82" i="11"/>
  <c r="AP81" i="11"/>
  <c r="AO81" i="11"/>
  <c r="AN81" i="11"/>
  <c r="AH81" i="11"/>
  <c r="T81" i="11"/>
  <c r="AP80" i="11"/>
  <c r="AO80" i="11"/>
  <c r="AN80" i="11"/>
  <c r="AH80" i="11"/>
  <c r="T80" i="11"/>
  <c r="AP79" i="11"/>
  <c r="AO79" i="11"/>
  <c r="AN79" i="11"/>
  <c r="AH79" i="11"/>
  <c r="T79" i="11"/>
  <c r="AP78" i="11"/>
  <c r="AO78" i="11"/>
  <c r="AP77" i="11"/>
  <c r="AO77" i="11"/>
  <c r="AP75" i="11"/>
  <c r="AO75" i="11"/>
  <c r="AP74" i="11"/>
  <c r="AO74" i="11"/>
  <c r="AO73" i="11"/>
  <c r="AP72" i="11"/>
  <c r="AO72" i="11"/>
  <c r="AP71" i="11"/>
  <c r="AO71" i="11"/>
  <c r="AP69" i="11"/>
  <c r="AO69" i="11"/>
  <c r="AP68" i="11"/>
  <c r="AO68" i="11"/>
  <c r="AO67" i="11"/>
  <c r="AZ66" i="11"/>
  <c r="AP66" i="11"/>
  <c r="AO66" i="11"/>
  <c r="AZ65" i="11"/>
  <c r="AP65" i="11"/>
  <c r="AO65" i="11"/>
  <c r="AZ63" i="11"/>
  <c r="AP63" i="11"/>
  <c r="AO63" i="11"/>
  <c r="AZ62" i="11"/>
  <c r="AP62" i="11"/>
  <c r="AO62" i="11"/>
  <c r="O39" i="11"/>
  <c r="P39" i="11"/>
  <c r="O40" i="11"/>
  <c r="P40" i="11"/>
  <c r="O41" i="11"/>
  <c r="P41" i="11"/>
  <c r="O42" i="11"/>
  <c r="AO42" i="11" s="1"/>
  <c r="AR42" i="11" s="1"/>
  <c r="P42" i="11"/>
  <c r="Y41" i="11"/>
  <c r="AA41" i="11" s="1"/>
  <c r="Y40" i="11"/>
  <c r="AA40" i="11" s="1"/>
  <c r="AB39" i="11"/>
  <c r="Y39" i="11"/>
  <c r="AA39" i="11" s="1"/>
  <c r="AB38" i="11"/>
  <c r="Y38" i="11"/>
  <c r="AA38" i="11" s="1"/>
  <c r="AU80" i="11" l="1"/>
  <c r="AX80" i="11" s="1"/>
  <c r="AU82" i="11"/>
  <c r="AX82" i="11" s="1"/>
  <c r="AU81" i="11"/>
  <c r="AX81" i="11" s="1"/>
  <c r="AU83" i="11"/>
  <c r="AX83" i="11" s="1"/>
  <c r="AU85" i="11"/>
  <c r="AX85" i="11" s="1"/>
  <c r="AU84" i="11"/>
  <c r="AX84" i="11" s="1"/>
  <c r="AU39" i="11"/>
  <c r="AX39" i="11" s="1"/>
  <c r="AU86" i="11"/>
  <c r="AX86" i="11" s="1"/>
  <c r="AU79" i="11"/>
  <c r="AX79" i="11" s="1"/>
  <c r="AO41" i="11"/>
  <c r="AR41" i="11" s="1"/>
  <c r="AO39" i="11"/>
  <c r="AR39" i="11" s="1"/>
  <c r="AO40" i="11"/>
  <c r="AR40" i="11" s="1"/>
  <c r="AH59" i="10"/>
  <c r="AJ59" i="10" s="1"/>
  <c r="AH60" i="10"/>
  <c r="AJ60" i="10" s="1"/>
  <c r="AH61" i="10"/>
  <c r="AJ61" i="10" s="1"/>
  <c r="AH56" i="10"/>
  <c r="AJ56" i="10" s="1"/>
  <c r="AH57" i="10"/>
  <c r="AJ57" i="10" s="1"/>
  <c r="AH58" i="10"/>
  <c r="AJ58" i="10" s="1"/>
  <c r="AQ53" i="10"/>
  <c r="AQ32" i="10"/>
  <c r="AQ45" i="10"/>
  <c r="AQ29" i="10"/>
  <c r="AR169" i="11"/>
  <c r="AR168" i="11"/>
  <c r="AR158" i="11"/>
  <c r="AR155" i="11"/>
  <c r="AR156" i="11"/>
  <c r="AR157" i="11"/>
  <c r="AR165" i="11"/>
  <c r="AR167" i="11"/>
  <c r="AR164" i="11"/>
  <c r="AR166" i="11"/>
  <c r="AR138" i="11"/>
  <c r="AR142" i="11"/>
  <c r="AR161" i="11"/>
  <c r="AR160" i="11"/>
  <c r="AR162" i="11"/>
  <c r="AR163" i="11"/>
  <c r="AR159" i="11"/>
  <c r="AR137" i="11"/>
  <c r="AR146" i="11"/>
  <c r="AR150" i="11"/>
  <c r="AR141" i="11"/>
  <c r="AR145" i="11"/>
  <c r="AR149" i="11"/>
  <c r="AR139" i="11"/>
  <c r="AR143" i="11"/>
  <c r="AR147" i="11"/>
  <c r="AR151" i="11"/>
  <c r="AR136" i="11"/>
  <c r="AR148" i="11"/>
  <c r="AR144" i="11"/>
  <c r="AR126" i="11"/>
  <c r="AR140" i="11"/>
  <c r="AR117" i="11"/>
  <c r="AR132" i="11"/>
  <c r="AR121" i="11"/>
  <c r="AR123" i="11"/>
  <c r="AR105" i="11"/>
  <c r="AR131" i="11"/>
  <c r="AR133" i="11"/>
  <c r="AR128" i="11"/>
  <c r="AR130" i="11"/>
  <c r="AR129" i="11"/>
  <c r="AR82" i="11"/>
  <c r="AR80" i="11"/>
  <c r="AY80" i="11" s="1"/>
  <c r="AR120" i="11"/>
  <c r="AR122" i="11"/>
  <c r="AR127" i="11"/>
  <c r="AR125" i="11"/>
  <c r="AR124" i="11"/>
  <c r="AR118" i="11"/>
  <c r="AR119" i="11"/>
  <c r="AR116" i="11"/>
  <c r="AR113" i="11"/>
  <c r="AR114" i="11"/>
  <c r="AR111" i="11"/>
  <c r="AR115" i="11"/>
  <c r="AR110" i="11"/>
  <c r="AR112" i="11"/>
  <c r="AR109" i="11"/>
  <c r="AR108" i="11"/>
  <c r="AR107" i="11"/>
  <c r="AR104" i="11"/>
  <c r="AR106" i="11"/>
  <c r="AR103" i="11"/>
  <c r="AR102" i="11"/>
  <c r="AR101" i="11"/>
  <c r="AR100" i="11"/>
  <c r="AR99" i="11"/>
  <c r="AR86" i="11"/>
  <c r="AR98" i="11"/>
  <c r="AR83" i="11"/>
  <c r="AR85" i="11"/>
  <c r="AR94" i="11"/>
  <c r="AR93" i="11"/>
  <c r="AR84" i="11"/>
  <c r="AR81" i="11"/>
  <c r="AR79" i="11"/>
  <c r="AR77" i="11"/>
  <c r="AR78" i="11"/>
  <c r="AR73" i="11"/>
  <c r="AR74" i="11"/>
  <c r="AR75" i="11"/>
  <c r="AR72" i="11"/>
  <c r="AR71" i="11"/>
  <c r="AR69" i="11"/>
  <c r="AR68" i="11"/>
  <c r="AR67" i="11"/>
  <c r="AR66" i="11"/>
  <c r="AR65" i="11"/>
  <c r="AR63" i="11"/>
  <c r="AR62" i="11"/>
  <c r="P38" i="11"/>
  <c r="O38" i="11"/>
  <c r="AO38" i="11" s="1"/>
  <c r="AR38" i="11" s="1"/>
  <c r="AO25" i="11"/>
  <c r="AR25" i="11" s="1"/>
  <c r="AO24" i="11"/>
  <c r="AR24" i="11" s="1"/>
  <c r="AO23" i="11"/>
  <c r="AR23" i="11" s="1"/>
  <c r="AO22" i="11"/>
  <c r="AR22" i="11" s="1"/>
  <c r="AO21" i="11"/>
  <c r="AR21" i="11" s="1"/>
  <c r="AO20" i="11"/>
  <c r="AR20" i="11" s="1"/>
  <c r="AO19" i="11"/>
  <c r="AR19" i="11" s="1"/>
  <c r="AO18" i="11"/>
  <c r="AR18" i="11" s="1"/>
  <c r="AO3" i="11"/>
  <c r="AR3" i="11" s="1"/>
  <c r="AO4" i="11"/>
  <c r="AR4" i="11" s="1"/>
  <c r="AO5" i="11"/>
  <c r="AR5" i="11" s="1"/>
  <c r="AO6" i="11"/>
  <c r="AR6" i="11" s="1"/>
  <c r="AO7" i="11"/>
  <c r="AR7" i="11" s="1"/>
  <c r="AO8" i="11"/>
  <c r="AR8" i="11" s="1"/>
  <c r="AO9" i="11"/>
  <c r="AR9" i="11" s="1"/>
  <c r="AO10" i="11"/>
  <c r="AR10" i="11" s="1"/>
  <c r="AO11" i="11"/>
  <c r="AR11" i="11" s="1"/>
  <c r="AO12" i="11"/>
  <c r="AR12" i="11" s="1"/>
  <c r="AO13" i="11"/>
  <c r="AR13" i="11" s="1"/>
  <c r="AO14" i="11"/>
  <c r="AR14" i="11" s="1"/>
  <c r="AO15" i="11"/>
  <c r="AR15" i="11" s="1"/>
  <c r="AO16" i="11"/>
  <c r="AR16" i="11" s="1"/>
  <c r="AO17" i="11"/>
  <c r="AR17" i="11" s="1"/>
  <c r="AO2" i="11"/>
  <c r="AR2" i="11" s="1"/>
  <c r="AY86" i="11" l="1"/>
  <c r="AY82" i="11"/>
  <c r="AY39" i="11"/>
  <c r="AY84" i="11"/>
  <c r="AY85" i="11"/>
  <c r="AY83" i="11"/>
  <c r="AY81" i="11"/>
  <c r="AY79" i="11"/>
  <c r="AU38" i="11"/>
  <c r="AX38" i="11" s="1"/>
  <c r="AY38" i="11" s="1"/>
  <c r="AO30" i="11"/>
  <c r="AR30" i="11" s="1"/>
  <c r="AO31" i="11"/>
  <c r="AR31" i="11" s="1"/>
  <c r="AO29" i="11"/>
  <c r="AD50" i="7"/>
  <c r="AE50" i="7"/>
  <c r="AD51" i="7"/>
  <c r="AE51" i="7"/>
  <c r="AD52" i="7"/>
  <c r="AE52" i="7"/>
  <c r="L3" i="5"/>
  <c r="O3" i="5"/>
  <c r="L2" i="5"/>
  <c r="O2" i="5"/>
  <c r="X57" i="7"/>
  <c r="W57" i="7"/>
  <c r="X56" i="7"/>
  <c r="W56" i="7"/>
  <c r="O57" i="7"/>
  <c r="O56" i="7"/>
  <c r="N57" i="7"/>
  <c r="N56" i="7"/>
  <c r="AD182" i="7"/>
  <c r="AI182" i="7" s="1"/>
  <c r="AP182" i="7" s="1"/>
  <c r="AD181" i="7"/>
  <c r="AI181" i="7" s="1"/>
  <c r="AP181" i="7" s="1"/>
  <c r="AD180" i="7"/>
  <c r="AI180" i="7" s="1"/>
  <c r="AP180" i="7" s="1"/>
  <c r="AD114" i="7"/>
  <c r="AI114" i="7" s="1"/>
  <c r="AP114" i="7" s="1"/>
  <c r="AD115" i="7"/>
  <c r="AI115" i="7" s="1"/>
  <c r="AP115" i="7" s="1"/>
  <c r="AD116" i="7"/>
  <c r="AI116" i="7" s="1"/>
  <c r="AP116" i="7" s="1"/>
  <c r="AD117" i="7"/>
  <c r="AI117" i="7" s="1"/>
  <c r="AP117" i="7" s="1"/>
  <c r="AD118" i="7"/>
  <c r="AI118" i="7" s="1"/>
  <c r="AP118" i="7" s="1"/>
  <c r="AD119" i="7"/>
  <c r="AI119" i="7" s="1"/>
  <c r="AP119" i="7" s="1"/>
  <c r="AD120" i="7"/>
  <c r="AI120" i="7" s="1"/>
  <c r="AP120" i="7" s="1"/>
  <c r="AD121" i="7"/>
  <c r="AI121" i="7" s="1"/>
  <c r="AP121" i="7" s="1"/>
  <c r="AD122" i="7"/>
  <c r="AI122" i="7" s="1"/>
  <c r="AP122" i="7" s="1"/>
  <c r="AD123" i="7"/>
  <c r="AI123" i="7" s="1"/>
  <c r="AP123" i="7" s="1"/>
  <c r="AD124" i="7"/>
  <c r="AI124" i="7" s="1"/>
  <c r="AP124" i="7" s="1"/>
  <c r="AD125" i="7"/>
  <c r="AI125" i="7" s="1"/>
  <c r="AP125" i="7" s="1"/>
  <c r="AD126" i="7"/>
  <c r="AI126" i="7" s="1"/>
  <c r="AP126" i="7" s="1"/>
  <c r="AD127" i="7"/>
  <c r="AI127" i="7" s="1"/>
  <c r="AP127" i="7" s="1"/>
  <c r="AD128" i="7"/>
  <c r="AI128" i="7" s="1"/>
  <c r="AP128" i="7" s="1"/>
  <c r="AD129" i="7"/>
  <c r="AI129" i="7" s="1"/>
  <c r="AP129" i="7" s="1"/>
  <c r="AD130" i="7"/>
  <c r="AI130" i="7" s="1"/>
  <c r="AP130" i="7" s="1"/>
  <c r="AD131" i="7"/>
  <c r="AI131" i="7" s="1"/>
  <c r="AP131" i="7" s="1"/>
  <c r="AD132" i="7"/>
  <c r="AI132" i="7" s="1"/>
  <c r="AP132" i="7" s="1"/>
  <c r="AD133" i="7"/>
  <c r="AI133" i="7" s="1"/>
  <c r="AP133" i="7" s="1"/>
  <c r="AD134" i="7"/>
  <c r="AI134" i="7" s="1"/>
  <c r="AP134" i="7" s="1"/>
  <c r="AD135" i="7"/>
  <c r="AI135" i="7" s="1"/>
  <c r="AP135" i="7" s="1"/>
  <c r="AD136" i="7"/>
  <c r="AI136" i="7" s="1"/>
  <c r="AP136" i="7" s="1"/>
  <c r="AD137" i="7"/>
  <c r="AI137" i="7" s="1"/>
  <c r="AP137" i="7" s="1"/>
  <c r="AD138" i="7"/>
  <c r="AI138" i="7" s="1"/>
  <c r="AP138" i="7" s="1"/>
  <c r="AD139" i="7"/>
  <c r="AI139" i="7" s="1"/>
  <c r="AP139" i="7" s="1"/>
  <c r="AD140" i="7"/>
  <c r="AI140" i="7" s="1"/>
  <c r="AP140" i="7" s="1"/>
  <c r="AD141" i="7"/>
  <c r="AI141" i="7" s="1"/>
  <c r="AP141" i="7" s="1"/>
  <c r="AD142" i="7"/>
  <c r="AI142" i="7" s="1"/>
  <c r="AP142" i="7" s="1"/>
  <c r="AD143" i="7"/>
  <c r="AI143" i="7" s="1"/>
  <c r="AP143" i="7" s="1"/>
  <c r="AD144" i="7"/>
  <c r="AI144" i="7" s="1"/>
  <c r="AP144" i="7" s="1"/>
  <c r="AD145" i="7"/>
  <c r="AI145" i="7" s="1"/>
  <c r="AP145" i="7" s="1"/>
  <c r="AD146" i="7"/>
  <c r="AI146" i="7" s="1"/>
  <c r="AP146" i="7" s="1"/>
  <c r="AD147" i="7"/>
  <c r="AI147" i="7" s="1"/>
  <c r="AP147" i="7" s="1"/>
  <c r="AD148" i="7"/>
  <c r="AI148" i="7" s="1"/>
  <c r="AP148" i="7" s="1"/>
  <c r="AD149" i="7"/>
  <c r="AI149" i="7" s="1"/>
  <c r="AP149" i="7" s="1"/>
  <c r="AD150" i="7"/>
  <c r="AI150" i="7" s="1"/>
  <c r="AP150" i="7" s="1"/>
  <c r="AD151" i="7"/>
  <c r="AI151" i="7" s="1"/>
  <c r="AP151" i="7" s="1"/>
  <c r="AD152" i="7"/>
  <c r="AI152" i="7" s="1"/>
  <c r="AP152" i="7" s="1"/>
  <c r="AD153" i="7"/>
  <c r="AI153" i="7" s="1"/>
  <c r="AP153" i="7" s="1"/>
  <c r="AD154" i="7"/>
  <c r="AI154" i="7" s="1"/>
  <c r="AP154" i="7" s="1"/>
  <c r="AD155" i="7"/>
  <c r="AI155" i="7" s="1"/>
  <c r="AP155" i="7" s="1"/>
  <c r="AD156" i="7"/>
  <c r="AI156" i="7" s="1"/>
  <c r="AP156" i="7" s="1"/>
  <c r="AD157" i="7"/>
  <c r="AI157" i="7" s="1"/>
  <c r="AP157" i="7" s="1"/>
  <c r="AD158" i="7"/>
  <c r="AI158" i="7" s="1"/>
  <c r="AP158" i="7" s="1"/>
  <c r="AD159" i="7"/>
  <c r="AI159" i="7" s="1"/>
  <c r="AP159" i="7" s="1"/>
  <c r="AD160" i="7"/>
  <c r="AI160" i="7" s="1"/>
  <c r="AP160" i="7" s="1"/>
  <c r="AD161" i="7"/>
  <c r="AI161" i="7" s="1"/>
  <c r="AP161" i="7" s="1"/>
  <c r="AD162" i="7"/>
  <c r="AI162" i="7" s="1"/>
  <c r="AP162" i="7" s="1"/>
  <c r="AD163" i="7"/>
  <c r="AI163" i="7" s="1"/>
  <c r="AP163" i="7" s="1"/>
  <c r="AD164" i="7"/>
  <c r="AI164" i="7" s="1"/>
  <c r="AP164" i="7" s="1"/>
  <c r="AD165" i="7"/>
  <c r="AI165" i="7" s="1"/>
  <c r="AP165" i="7" s="1"/>
  <c r="AD166" i="7"/>
  <c r="AI166" i="7" s="1"/>
  <c r="AP166" i="7" s="1"/>
  <c r="AD167" i="7"/>
  <c r="AI167" i="7" s="1"/>
  <c r="AP167" i="7" s="1"/>
  <c r="AD168" i="7"/>
  <c r="AI168" i="7" s="1"/>
  <c r="AP168" i="7" s="1"/>
  <c r="AD169" i="7"/>
  <c r="AI169" i="7" s="1"/>
  <c r="AP169" i="7" s="1"/>
  <c r="AD170" i="7"/>
  <c r="AI170" i="7" s="1"/>
  <c r="AP170" i="7" s="1"/>
  <c r="AD171" i="7"/>
  <c r="AI171" i="7" s="1"/>
  <c r="AP171" i="7" s="1"/>
  <c r="AD172" i="7"/>
  <c r="AI172" i="7" s="1"/>
  <c r="AP172" i="7" s="1"/>
  <c r="AD173" i="7"/>
  <c r="AI173" i="7" s="1"/>
  <c r="AP173" i="7" s="1"/>
  <c r="AD174" i="7"/>
  <c r="AI174" i="7" s="1"/>
  <c r="AP174" i="7" s="1"/>
  <c r="AD175" i="7"/>
  <c r="AI175" i="7" s="1"/>
  <c r="AP175" i="7" s="1"/>
  <c r="AD176" i="7"/>
  <c r="AI176" i="7" s="1"/>
  <c r="AP176" i="7" s="1"/>
  <c r="AD177" i="7"/>
  <c r="AI177" i="7" s="1"/>
  <c r="AP177" i="7" s="1"/>
  <c r="AD178" i="7"/>
  <c r="AI178" i="7" s="1"/>
  <c r="AP178" i="7" s="1"/>
  <c r="AD179" i="7"/>
  <c r="AI179" i="7" s="1"/>
  <c r="AP179" i="7" s="1"/>
  <c r="AD113" i="7"/>
  <c r="AI113" i="7" s="1"/>
  <c r="AP113" i="7" s="1"/>
  <c r="AD112" i="7"/>
  <c r="AI112" i="7" s="1"/>
  <c r="AP112" i="7" s="1"/>
  <c r="AD111" i="7"/>
  <c r="AI111" i="7" s="1"/>
  <c r="AP111" i="7" s="1"/>
  <c r="AD110" i="7"/>
  <c r="AI110" i="7" s="1"/>
  <c r="AP110" i="7" s="1"/>
  <c r="AD109" i="7"/>
  <c r="AI109" i="7" s="1"/>
  <c r="AP109" i="7" s="1"/>
  <c r="AD108" i="7"/>
  <c r="AI108" i="7" s="1"/>
  <c r="AP108" i="7" s="1"/>
  <c r="AD107" i="7"/>
  <c r="AI107" i="7" s="1"/>
  <c r="AP107" i="7" s="1"/>
  <c r="AD106" i="7"/>
  <c r="AI106" i="7" s="1"/>
  <c r="AP106" i="7" s="1"/>
  <c r="AD105" i="7"/>
  <c r="AI105" i="7" s="1"/>
  <c r="AP105" i="7" s="1"/>
  <c r="AD104" i="7"/>
  <c r="AI104" i="7" s="1"/>
  <c r="AP104" i="7" s="1"/>
  <c r="AD103" i="7"/>
  <c r="AI103" i="7" s="1"/>
  <c r="AP103" i="7" s="1"/>
  <c r="AD102" i="7"/>
  <c r="AI102" i="7" s="1"/>
  <c r="AP102" i="7" s="1"/>
  <c r="AD101" i="7"/>
  <c r="AI101" i="7" s="1"/>
  <c r="AP101" i="7" s="1"/>
  <c r="AD100" i="7"/>
  <c r="AI100" i="7" s="1"/>
  <c r="AP100" i="7" s="1"/>
  <c r="AD99" i="7"/>
  <c r="AI99" i="7" s="1"/>
  <c r="AP99" i="7" s="1"/>
  <c r="AB42" i="11"/>
  <c r="AU42" i="11" s="1"/>
  <c r="AX42" i="11" s="1"/>
  <c r="AY42" i="11" s="1"/>
  <c r="AB41" i="11"/>
  <c r="AU41" i="11" s="1"/>
  <c r="AX41" i="11" s="1"/>
  <c r="AY41" i="11" s="1"/>
  <c r="AB40" i="11"/>
  <c r="AU40" i="11" s="1"/>
  <c r="AX40" i="11" s="1"/>
  <c r="AY40" i="11" s="1"/>
  <c r="AF251" i="7"/>
  <c r="AF252" i="7"/>
  <c r="AF253" i="7"/>
  <c r="AF254" i="7"/>
  <c r="AE246" i="7"/>
  <c r="AE247" i="7"/>
  <c r="AE248" i="7"/>
  <c r="AE249" i="7"/>
  <c r="AE250" i="7"/>
  <c r="AE251" i="7"/>
  <c r="AE252" i="7"/>
  <c r="AE253" i="7"/>
  <c r="AE254" i="7"/>
  <c r="AD254" i="7"/>
  <c r="AD253" i="7"/>
  <c r="AD252" i="7"/>
  <c r="AD251" i="7"/>
  <c r="AD250" i="7"/>
  <c r="AD249" i="7"/>
  <c r="AD248" i="7"/>
  <c r="AD247" i="7"/>
  <c r="AD246" i="7"/>
  <c r="AE225" i="7"/>
  <c r="AE226" i="7"/>
  <c r="AE227" i="7"/>
  <c r="AE228" i="7"/>
  <c r="AD225" i="7"/>
  <c r="AD226" i="7"/>
  <c r="AD227" i="7"/>
  <c r="AD228" i="7"/>
  <c r="P212" i="7"/>
  <c r="P211" i="7"/>
  <c r="P209" i="7"/>
  <c r="P210" i="7"/>
  <c r="P208" i="7"/>
  <c r="P207" i="7"/>
  <c r="P206" i="7"/>
  <c r="P204" i="7"/>
  <c r="P205" i="7"/>
  <c r="P203" i="7"/>
  <c r="AD202" i="7"/>
  <c r="AD201" i="7"/>
  <c r="AD200" i="7"/>
  <c r="AD199" i="7"/>
  <c r="Y3" i="6"/>
  <c r="AA3" i="6" s="1"/>
  <c r="Y5" i="6"/>
  <c r="AA5" i="6" s="1"/>
  <c r="Y6" i="6"/>
  <c r="AA6" i="6" s="1"/>
  <c r="Y7" i="6"/>
  <c r="AA7" i="6" s="1"/>
  <c r="Y8" i="6"/>
  <c r="AA8" i="6" s="1"/>
  <c r="Y9" i="6"/>
  <c r="AA9" i="6" s="1"/>
  <c r="Y10" i="6"/>
  <c r="AA10" i="6" s="1"/>
  <c r="Y12" i="6"/>
  <c r="AA12" i="6" s="1"/>
  <c r="Y2" i="6"/>
  <c r="AA2" i="6" s="1"/>
  <c r="AK293" i="7"/>
  <c r="AJ293" i="7"/>
  <c r="AK292" i="7"/>
  <c r="AJ292" i="7"/>
  <c r="AK291" i="7"/>
  <c r="AJ291" i="7"/>
  <c r="R2" i="5" l="1"/>
  <c r="R3" i="5"/>
  <c r="AL57" i="7"/>
  <c r="AO57" i="7" s="1"/>
  <c r="AL56" i="7"/>
  <c r="AO56" i="7" s="1"/>
  <c r="AI52" i="7"/>
  <c r="AI50" i="7"/>
  <c r="AI51" i="7"/>
  <c r="AR29" i="11"/>
  <c r="R65" i="12"/>
  <c r="N65" i="12"/>
  <c r="AO183" i="11"/>
  <c r="AR183" i="11" s="1"/>
  <c r="AO184" i="11"/>
  <c r="AR184" i="11" s="1"/>
  <c r="AO185" i="11"/>
  <c r="AR185" i="11" s="1"/>
  <c r="AO186" i="11"/>
  <c r="AR186" i="11" s="1"/>
  <c r="AO187" i="11"/>
  <c r="AR187" i="11" s="1"/>
  <c r="AO188" i="11"/>
  <c r="AR188" i="11" s="1"/>
  <c r="AO182" i="11"/>
  <c r="AR182" i="11" s="1"/>
  <c r="Z188" i="11"/>
  <c r="AB188" i="11" s="1"/>
  <c r="Z187" i="11"/>
  <c r="AB187" i="11" s="1"/>
  <c r="Z184" i="11"/>
  <c r="AB184" i="11" s="1"/>
  <c r="Z183" i="11"/>
  <c r="AB183" i="11" s="1"/>
  <c r="P188" i="11"/>
  <c r="P187" i="11"/>
  <c r="P184" i="11"/>
  <c r="P183" i="11"/>
  <c r="Z186" i="11"/>
  <c r="AB186" i="11" s="1"/>
  <c r="Z185" i="11"/>
  <c r="AB185" i="11" s="1"/>
  <c r="Z182" i="11"/>
  <c r="AB182" i="11" s="1"/>
  <c r="Z181" i="11"/>
  <c r="AB181" i="11" s="1"/>
  <c r="AO181" i="11"/>
  <c r="AR181" i="11" s="1"/>
  <c r="P186" i="11"/>
  <c r="P185" i="11"/>
  <c r="P182" i="11"/>
  <c r="P181" i="11"/>
  <c r="T64" i="12"/>
  <c r="T63" i="12"/>
  <c r="T62" i="12"/>
  <c r="T61" i="12"/>
  <c r="T60" i="12"/>
  <c r="T59" i="12"/>
  <c r="T58" i="12"/>
  <c r="Z64" i="12"/>
  <c r="Z63" i="12"/>
  <c r="Z62" i="12"/>
  <c r="Z61" i="12"/>
  <c r="Z60" i="12"/>
  <c r="Z59" i="12"/>
  <c r="Z58" i="12"/>
  <c r="P64" i="12"/>
  <c r="P63" i="12"/>
  <c r="P62" i="12"/>
  <c r="P61" i="12"/>
  <c r="P60" i="12"/>
  <c r="P59" i="12"/>
  <c r="P58" i="12"/>
  <c r="T57" i="12"/>
  <c r="T56" i="12"/>
  <c r="T55" i="12"/>
  <c r="T54" i="12"/>
  <c r="T53" i="12"/>
  <c r="T52" i="12"/>
  <c r="T51" i="12"/>
  <c r="Z57" i="12"/>
  <c r="Z56" i="12"/>
  <c r="Z55" i="12"/>
  <c r="Z54" i="12"/>
  <c r="Z53" i="12"/>
  <c r="Z52" i="12"/>
  <c r="Z51" i="12"/>
  <c r="P57" i="12"/>
  <c r="P56" i="12"/>
  <c r="P55" i="12"/>
  <c r="P54" i="12"/>
  <c r="P53" i="12"/>
  <c r="P52" i="12"/>
  <c r="P51" i="12"/>
  <c r="T50" i="12"/>
  <c r="T49" i="12"/>
  <c r="T48" i="12"/>
  <c r="T47" i="12"/>
  <c r="T46" i="12"/>
  <c r="T45" i="12"/>
  <c r="T44" i="12"/>
  <c r="Z50" i="12"/>
  <c r="P50" i="12"/>
  <c r="Z49" i="12"/>
  <c r="P49" i="12"/>
  <c r="Z48" i="12"/>
  <c r="P48" i="12"/>
  <c r="Z47" i="12"/>
  <c r="P47" i="12"/>
  <c r="Z46" i="12"/>
  <c r="P46" i="12"/>
  <c r="Z45" i="12"/>
  <c r="P45" i="12"/>
  <c r="Z44" i="12"/>
  <c r="P44" i="12"/>
  <c r="T43" i="12"/>
  <c r="T42" i="12"/>
  <c r="T41" i="12"/>
  <c r="T40" i="12"/>
  <c r="T39" i="12"/>
  <c r="T38" i="12"/>
  <c r="T37" i="12"/>
  <c r="Z43" i="12"/>
  <c r="Z42" i="12"/>
  <c r="Z41" i="12"/>
  <c r="Z40" i="12"/>
  <c r="Z39" i="12"/>
  <c r="Z38" i="12"/>
  <c r="Z37" i="12"/>
  <c r="P43" i="12"/>
  <c r="P42" i="12"/>
  <c r="P41" i="12"/>
  <c r="P40" i="12"/>
  <c r="P39" i="12"/>
  <c r="P38" i="12"/>
  <c r="P37" i="12"/>
  <c r="T36" i="12"/>
  <c r="T35" i="12"/>
  <c r="T34" i="12"/>
  <c r="T33" i="12"/>
  <c r="T32" i="12"/>
  <c r="T31" i="12"/>
  <c r="T30" i="12"/>
  <c r="Z36" i="12"/>
  <c r="Z35" i="12"/>
  <c r="Z34" i="12"/>
  <c r="Z33" i="12"/>
  <c r="Z32" i="12"/>
  <c r="Z31" i="12"/>
  <c r="Z30" i="12"/>
  <c r="P36" i="12"/>
  <c r="P35" i="12"/>
  <c r="P34" i="12"/>
  <c r="P33" i="12"/>
  <c r="P32" i="12"/>
  <c r="P31" i="12"/>
  <c r="P30" i="12"/>
  <c r="T29" i="12"/>
  <c r="T28" i="12"/>
  <c r="T27" i="12"/>
  <c r="T26" i="12"/>
  <c r="T25" i="12"/>
  <c r="T24" i="12"/>
  <c r="T23" i="12"/>
  <c r="Z29" i="12"/>
  <c r="Z28" i="12"/>
  <c r="Z27" i="12"/>
  <c r="Z26" i="12"/>
  <c r="Z25" i="12"/>
  <c r="Z24" i="12"/>
  <c r="Z23" i="12"/>
  <c r="P24" i="12"/>
  <c r="P25" i="12"/>
  <c r="P26" i="12"/>
  <c r="P27" i="12"/>
  <c r="P28" i="12"/>
  <c r="P29" i="12"/>
  <c r="P23" i="12"/>
  <c r="AO180" i="11"/>
  <c r="AR180" i="11" s="1"/>
  <c r="Z22" i="12"/>
  <c r="AC22" i="12" s="1"/>
  <c r="Z21" i="12"/>
  <c r="AC21" i="12" s="1"/>
  <c r="Z20" i="12"/>
  <c r="AC20" i="12" s="1"/>
  <c r="Z19" i="12"/>
  <c r="AC19" i="12" s="1"/>
  <c r="Z17" i="12"/>
  <c r="AC17" i="12" s="1"/>
  <c r="Z16" i="12"/>
  <c r="AC16" i="12" s="1"/>
  <c r="Z14" i="12"/>
  <c r="AC14" i="12" s="1"/>
  <c r="Z13" i="12"/>
  <c r="AC13" i="12" s="1"/>
  <c r="Q12" i="12"/>
  <c r="Z12" i="12"/>
  <c r="S11" i="12"/>
  <c r="R11" i="12"/>
  <c r="N11" i="12"/>
  <c r="AE283" i="7"/>
  <c r="AE282" i="7"/>
  <c r="AD283" i="7"/>
  <c r="AD282" i="7"/>
  <c r="AE277" i="7"/>
  <c r="AE278" i="7"/>
  <c r="AE279" i="7"/>
  <c r="AE280" i="7"/>
  <c r="AE281" i="7"/>
  <c r="AE276" i="7"/>
  <c r="AD277" i="7"/>
  <c r="AD278" i="7"/>
  <c r="AD279" i="7"/>
  <c r="AD280" i="7"/>
  <c r="AD281" i="7"/>
  <c r="AD276" i="7"/>
  <c r="AE274" i="7"/>
  <c r="AD274" i="7"/>
  <c r="AU181" i="11" l="1"/>
  <c r="AX181" i="11" s="1"/>
  <c r="AY181" i="11" s="1"/>
  <c r="AU182" i="11"/>
  <c r="AX182" i="11" s="1"/>
  <c r="AY182" i="11" s="1"/>
  <c r="AU185" i="11"/>
  <c r="AX185" i="11" s="1"/>
  <c r="AY185" i="11" s="1"/>
  <c r="AU184" i="11"/>
  <c r="AX184" i="11" s="1"/>
  <c r="AY184" i="11" s="1"/>
  <c r="AU186" i="11"/>
  <c r="AX186" i="11" s="1"/>
  <c r="AY186" i="11" s="1"/>
  <c r="AU183" i="11"/>
  <c r="AX183" i="11" s="1"/>
  <c r="AY183" i="11" s="1"/>
  <c r="AD11" i="12"/>
  <c r="AE11" i="12" s="1"/>
  <c r="AU187" i="11"/>
  <c r="AX187" i="11" s="1"/>
  <c r="AY187" i="11" s="1"/>
  <c r="AU188" i="11"/>
  <c r="AX188" i="11" s="1"/>
  <c r="AY188" i="11" s="1"/>
  <c r="Z65" i="12"/>
  <c r="AC65" i="12" s="1"/>
  <c r="AA47" i="12"/>
  <c r="AC47" i="12" s="1"/>
  <c r="AA39" i="12"/>
  <c r="AC39" i="12" s="1"/>
  <c r="AI274" i="7"/>
  <c r="AI282" i="7"/>
  <c r="AP282" i="7" s="1"/>
  <c r="AI283" i="7"/>
  <c r="AP283" i="7" s="1"/>
  <c r="AA49" i="12"/>
  <c r="AC49" i="12" s="1"/>
  <c r="AA40" i="12"/>
  <c r="AC40" i="12" s="1"/>
  <c r="AA62" i="12"/>
  <c r="AC62" i="12" s="1"/>
  <c r="AA30" i="12"/>
  <c r="AC30" i="12" s="1"/>
  <c r="AA52" i="12"/>
  <c r="AC52" i="12" s="1"/>
  <c r="AA23" i="12"/>
  <c r="AC23" i="12" s="1"/>
  <c r="AA33" i="12"/>
  <c r="AC33" i="12" s="1"/>
  <c r="AA43" i="12"/>
  <c r="AC43" i="12" s="1"/>
  <c r="AA45" i="12"/>
  <c r="AC45" i="12" s="1"/>
  <c r="AA55" i="12"/>
  <c r="AC55" i="12" s="1"/>
  <c r="AA48" i="12"/>
  <c r="AC48" i="12" s="1"/>
  <c r="AA28" i="12"/>
  <c r="AC28" i="12" s="1"/>
  <c r="AA29" i="12"/>
  <c r="AC29" i="12" s="1"/>
  <c r="AA31" i="12"/>
  <c r="AC31" i="12" s="1"/>
  <c r="AA41" i="12"/>
  <c r="AC41" i="12" s="1"/>
  <c r="AA53" i="12"/>
  <c r="AC53" i="12" s="1"/>
  <c r="AA63" i="12"/>
  <c r="AC63" i="12" s="1"/>
  <c r="AB12" i="12"/>
  <c r="AC12" i="12" s="1"/>
  <c r="AA32" i="12"/>
  <c r="AC32" i="12" s="1"/>
  <c r="AA42" i="12"/>
  <c r="AC42" i="12" s="1"/>
  <c r="AA44" i="12"/>
  <c r="AC44" i="12" s="1"/>
  <c r="AA54" i="12"/>
  <c r="AC54" i="12" s="1"/>
  <c r="AA64" i="12"/>
  <c r="AC64" i="12" s="1"/>
  <c r="AA24" i="12"/>
  <c r="AC24" i="12" s="1"/>
  <c r="AA34" i="12"/>
  <c r="AC34" i="12" s="1"/>
  <c r="AA46" i="12"/>
  <c r="AC46" i="12" s="1"/>
  <c r="AA56" i="12"/>
  <c r="AC56" i="12" s="1"/>
  <c r="AA58" i="12"/>
  <c r="AC58" i="12" s="1"/>
  <c r="AA25" i="12"/>
  <c r="AC25" i="12" s="1"/>
  <c r="AA35" i="12"/>
  <c r="AC35" i="12" s="1"/>
  <c r="AA37" i="12"/>
  <c r="AC37" i="12" s="1"/>
  <c r="AA57" i="12"/>
  <c r="AC57" i="12" s="1"/>
  <c r="AA59" i="12"/>
  <c r="AC59" i="12" s="1"/>
  <c r="Z11" i="12"/>
  <c r="AC11" i="12" s="1"/>
  <c r="AA26" i="12"/>
  <c r="AC26" i="12" s="1"/>
  <c r="AA36" i="12"/>
  <c r="AC36" i="12" s="1"/>
  <c r="AA38" i="12"/>
  <c r="AC38" i="12" s="1"/>
  <c r="AA60" i="12"/>
  <c r="AC60" i="12" s="1"/>
  <c r="AA27" i="12"/>
  <c r="AC27" i="12" s="1"/>
  <c r="AA51" i="12"/>
  <c r="AC51" i="12" s="1"/>
  <c r="AA61" i="12"/>
  <c r="AC61" i="12" s="1"/>
  <c r="AA50" i="12"/>
  <c r="AC50" i="12" s="1"/>
  <c r="AI278" i="7"/>
  <c r="AP278" i="7" s="1"/>
  <c r="AI277" i="7"/>
  <c r="AP277" i="7" s="1"/>
  <c r="AI280" i="7"/>
  <c r="AP280" i="7" s="1"/>
  <c r="AI279" i="7"/>
  <c r="AP279" i="7" s="1"/>
  <c r="AI276" i="7"/>
  <c r="AP276" i="7" s="1"/>
  <c r="AI281" i="7"/>
  <c r="AP281" i="7" s="1"/>
  <c r="AO172" i="11"/>
  <c r="AR172" i="11" s="1"/>
  <c r="AO173" i="11"/>
  <c r="AR173" i="11" s="1"/>
  <c r="AO174" i="11"/>
  <c r="AR174" i="11" s="1"/>
  <c r="AO175" i="11"/>
  <c r="AR175" i="11" s="1"/>
  <c r="AO176" i="11"/>
  <c r="AR176" i="11" s="1"/>
  <c r="AO177" i="11"/>
  <c r="AR177" i="11" s="1"/>
  <c r="AO178" i="11"/>
  <c r="AR178" i="11" s="1"/>
  <c r="AO179" i="11"/>
  <c r="AR179" i="11" s="1"/>
  <c r="Z171" i="11"/>
  <c r="AB171" i="11" s="1"/>
  <c r="Z170" i="11"/>
  <c r="AB170" i="11" s="1"/>
  <c r="Y171" i="11"/>
  <c r="Y170" i="11"/>
  <c r="Y177" i="6"/>
  <c r="AA177" i="6" s="1"/>
  <c r="Y178" i="6"/>
  <c r="AA178" i="6" s="1"/>
  <c r="Y179" i="6"/>
  <c r="AA179" i="6" s="1"/>
  <c r="Y180" i="6"/>
  <c r="AA180" i="6" s="1"/>
  <c r="Y181" i="6"/>
  <c r="AA181" i="6" s="1"/>
  <c r="Y182" i="6"/>
  <c r="AA182" i="6" s="1"/>
  <c r="Y183" i="6"/>
  <c r="AA183" i="6" s="1"/>
  <c r="Y176" i="6"/>
  <c r="AA176" i="6" s="1"/>
  <c r="Y171" i="6"/>
  <c r="AA171" i="6" s="1"/>
  <c r="Y172" i="6"/>
  <c r="AA172" i="6" s="1"/>
  <c r="Y173" i="6"/>
  <c r="AA173" i="6" s="1"/>
  <c r="Y174" i="6"/>
  <c r="AA174" i="6" s="1"/>
  <c r="Y175" i="6"/>
  <c r="AA175" i="6" s="1"/>
  <c r="Y169" i="6"/>
  <c r="AA169" i="6" s="1"/>
  <c r="Y170" i="6"/>
  <c r="AA170" i="6" s="1"/>
  <c r="Y168" i="6"/>
  <c r="AA168" i="6" s="1"/>
  <c r="Y167" i="6"/>
  <c r="AA167" i="6" s="1"/>
  <c r="Y166" i="6"/>
  <c r="AA166" i="6" s="1"/>
  <c r="Y165" i="6"/>
  <c r="AA165" i="6" s="1"/>
  <c r="AG165" i="6" s="1"/>
  <c r="Y164" i="6"/>
  <c r="AA164" i="6" s="1"/>
  <c r="AG164" i="6" s="1"/>
  <c r="Y163" i="6"/>
  <c r="AA163" i="6" s="1"/>
  <c r="AG163" i="6" s="1"/>
  <c r="Y162" i="6"/>
  <c r="AA162" i="6" s="1"/>
  <c r="AG162" i="6" s="1"/>
  <c r="Y161" i="6"/>
  <c r="AA161" i="6" s="1"/>
  <c r="AG161" i="6" s="1"/>
  <c r="Y160" i="6"/>
  <c r="AA160" i="6" s="1"/>
  <c r="AG160" i="6" s="1"/>
  <c r="Y159" i="6"/>
  <c r="AA159" i="6" s="1"/>
  <c r="AG159" i="6" s="1"/>
  <c r="Y158" i="6"/>
  <c r="AA158" i="6" s="1"/>
  <c r="AG158" i="6" s="1"/>
  <c r="Y157" i="6"/>
  <c r="AA157" i="6" s="1"/>
  <c r="AG157" i="6" s="1"/>
  <c r="Y156" i="6"/>
  <c r="AA156" i="6" s="1"/>
  <c r="AG156" i="6" s="1"/>
  <c r="Y155" i="6"/>
  <c r="AA155" i="6" s="1"/>
  <c r="AG155" i="6" s="1"/>
  <c r="Y154" i="6"/>
  <c r="AA154" i="6" s="1"/>
  <c r="AG154" i="6" s="1"/>
  <c r="Y153" i="6"/>
  <c r="AA153" i="6" s="1"/>
  <c r="AG153" i="6" s="1"/>
  <c r="Y152" i="6"/>
  <c r="AA152" i="6" s="1"/>
  <c r="AG152" i="6" s="1"/>
  <c r="Y151" i="6"/>
  <c r="AA151" i="6" s="1"/>
  <c r="AG151" i="6" s="1"/>
  <c r="Y150" i="6"/>
  <c r="AA150" i="6" s="1"/>
  <c r="AG150" i="6" s="1"/>
  <c r="Y149" i="6"/>
  <c r="AA149" i="6" s="1"/>
  <c r="Y148" i="6"/>
  <c r="AA148" i="6" s="1"/>
  <c r="Y147" i="6"/>
  <c r="AA147" i="6" s="1"/>
  <c r="Y146" i="6"/>
  <c r="AA146" i="6" s="1"/>
  <c r="Y145" i="6"/>
  <c r="AA145" i="6" s="1"/>
  <c r="Y144" i="6"/>
  <c r="AA144" i="6" s="1"/>
  <c r="Y143" i="6"/>
  <c r="AA143" i="6" s="1"/>
  <c r="AI270" i="7"/>
  <c r="AI271" i="7"/>
  <c r="AI269" i="7"/>
  <c r="AH140" i="6"/>
  <c r="AH141" i="6"/>
  <c r="AH142" i="6"/>
  <c r="AH139" i="6"/>
  <c r="Y142" i="6"/>
  <c r="AA142" i="6" s="1"/>
  <c r="Y141" i="6"/>
  <c r="AA141" i="6" s="1"/>
  <c r="Y140" i="6"/>
  <c r="AA140" i="6" s="1"/>
  <c r="Y139" i="6"/>
  <c r="AA139" i="6" s="1"/>
  <c r="AF11" i="12" l="1"/>
  <c r="AO170" i="11"/>
  <c r="AR170" i="11" s="1"/>
  <c r="AA170" i="11"/>
  <c r="AU170" i="11" s="1"/>
  <c r="AX170" i="11" s="1"/>
  <c r="AO171" i="11"/>
  <c r="AR171" i="11" s="1"/>
  <c r="AA171" i="11"/>
  <c r="AU171" i="11" s="1"/>
  <c r="AX171" i="11" s="1"/>
  <c r="Y138" i="6"/>
  <c r="AA138" i="6" s="1"/>
  <c r="Y137" i="6"/>
  <c r="AA137" i="6" s="1"/>
  <c r="Y136" i="6"/>
  <c r="AA136" i="6" s="1"/>
  <c r="Y135" i="6"/>
  <c r="AA135" i="6" s="1"/>
  <c r="Y134" i="6"/>
  <c r="AA134" i="6" s="1"/>
  <c r="Y133" i="6"/>
  <c r="AA133" i="6" s="1"/>
  <c r="AG133" i="6" s="1"/>
  <c r="Y132" i="6"/>
  <c r="AA132" i="6" s="1"/>
  <c r="Y131" i="6"/>
  <c r="AA131" i="6" s="1"/>
  <c r="Y130" i="6"/>
  <c r="AA130" i="6" s="1"/>
  <c r="Y129" i="6"/>
  <c r="AA129" i="6" s="1"/>
  <c r="Y128" i="6"/>
  <c r="AA128" i="6" s="1"/>
  <c r="Y127" i="6"/>
  <c r="AA127" i="6" s="1"/>
  <c r="Y126" i="6"/>
  <c r="AA126" i="6" s="1"/>
  <c r="Y125" i="6"/>
  <c r="AA125" i="6" s="1"/>
  <c r="Y124" i="6"/>
  <c r="AA124" i="6" s="1"/>
  <c r="Y123" i="6"/>
  <c r="AA123" i="6" s="1"/>
  <c r="Y122" i="6"/>
  <c r="AA122" i="6" s="1"/>
  <c r="Y121" i="6"/>
  <c r="AA121" i="6" s="1"/>
  <c r="Y120" i="6"/>
  <c r="AA120" i="6" s="1"/>
  <c r="Y119" i="6"/>
  <c r="AA119" i="6" s="1"/>
  <c r="Y118" i="6"/>
  <c r="AA118" i="6" s="1"/>
  <c r="Y117" i="6"/>
  <c r="AA117" i="6" s="1"/>
  <c r="Y116" i="6"/>
  <c r="AA116" i="6" s="1"/>
  <c r="Y115" i="6"/>
  <c r="AA115" i="6" s="1"/>
  <c r="Y114" i="6"/>
  <c r="AA114" i="6" s="1"/>
  <c r="Y113" i="6"/>
  <c r="AA113" i="6" s="1"/>
  <c r="Y112" i="6"/>
  <c r="AA112" i="6" s="1"/>
  <c r="Y111" i="6"/>
  <c r="AA111" i="6" s="1"/>
  <c r="Y110" i="6"/>
  <c r="AA110" i="6" s="1"/>
  <c r="Y109" i="6"/>
  <c r="AA109" i="6" s="1"/>
  <c r="Y108" i="6"/>
  <c r="AA108" i="6" s="1"/>
  <c r="Y107" i="6"/>
  <c r="AA107" i="6" s="1"/>
  <c r="Y106" i="6"/>
  <c r="AA106" i="6" s="1"/>
  <c r="Y105" i="6"/>
  <c r="AA105" i="6" s="1"/>
  <c r="Y104" i="6"/>
  <c r="AA104" i="6" s="1"/>
  <c r="Y103" i="6"/>
  <c r="AA103" i="6" s="1"/>
  <c r="Y102" i="6"/>
  <c r="AA102" i="6" s="1"/>
  <c r="Y101" i="6"/>
  <c r="AA101" i="6" s="1"/>
  <c r="AY171" i="11" l="1"/>
  <c r="AY170" i="11"/>
  <c r="Y100" i="6"/>
  <c r="AA100" i="6" s="1"/>
  <c r="Y99" i="6"/>
  <c r="AA99" i="6" s="1"/>
  <c r="Y98" i="6"/>
  <c r="AA98" i="6" s="1"/>
  <c r="Y97" i="6"/>
  <c r="AA97" i="6" s="1"/>
  <c r="Y96" i="6"/>
  <c r="AA96" i="6" s="1"/>
  <c r="Y95" i="6"/>
  <c r="AA95" i="6" s="1"/>
  <c r="Y94" i="6"/>
  <c r="AA94" i="6" s="1"/>
  <c r="Y93" i="6"/>
  <c r="AA93" i="6" s="1"/>
  <c r="Y92" i="6"/>
  <c r="AA92" i="6" s="1"/>
  <c r="Y91" i="6"/>
  <c r="AA91" i="6" s="1"/>
  <c r="Y90" i="6"/>
  <c r="AA90" i="6" s="1"/>
  <c r="Y89" i="6"/>
  <c r="AA89" i="6" s="1"/>
  <c r="Y88" i="6"/>
  <c r="AA88" i="6" s="1"/>
  <c r="Y87" i="6"/>
  <c r="AA87" i="6" s="1"/>
  <c r="Y86" i="6"/>
  <c r="AA86" i="6" s="1"/>
  <c r="Y85" i="6"/>
  <c r="AA85" i="6" s="1"/>
  <c r="Y84" i="6"/>
  <c r="AA84" i="6" s="1"/>
  <c r="Y83" i="6"/>
  <c r="AA83" i="6" s="1"/>
  <c r="Y82" i="6"/>
  <c r="AA82" i="6" s="1"/>
  <c r="Y81" i="6"/>
  <c r="AA81" i="6" s="1"/>
  <c r="Y80" i="6"/>
  <c r="AA80" i="6" s="1"/>
  <c r="Y79" i="6"/>
  <c r="AA79" i="6" s="1"/>
  <c r="Y78" i="6"/>
  <c r="AA78" i="6" s="1"/>
  <c r="Y77" i="6"/>
  <c r="AA77" i="6" s="1"/>
  <c r="Y76" i="6"/>
  <c r="AA76" i="6" s="1"/>
  <c r="Y75" i="6"/>
  <c r="AA75" i="6" s="1"/>
  <c r="Y74" i="6"/>
  <c r="AA74" i="6" s="1"/>
  <c r="Y73" i="6"/>
  <c r="AA73" i="6" s="1"/>
  <c r="Y72" i="6"/>
  <c r="AA72" i="6" s="1"/>
  <c r="Y71" i="6"/>
  <c r="AA71" i="6" s="1"/>
  <c r="Y70" i="6"/>
  <c r="AA70" i="6" s="1"/>
  <c r="Y69" i="6"/>
  <c r="AA69" i="6" s="1"/>
  <c r="Y68" i="6"/>
  <c r="AA68" i="6" s="1"/>
  <c r="Y67" i="6"/>
  <c r="AA67" i="6" s="1"/>
  <c r="Y66" i="6"/>
  <c r="AA66" i="6" s="1"/>
  <c r="Y65" i="6"/>
  <c r="AA65" i="6" s="1"/>
  <c r="Y64" i="6"/>
  <c r="AA64" i="6" s="1"/>
  <c r="Y61" i="6"/>
  <c r="AA61" i="6" s="1"/>
  <c r="Y62" i="6"/>
  <c r="AA62" i="6" s="1"/>
  <c r="Y63" i="6"/>
  <c r="AA63" i="6" s="1"/>
  <c r="Y60" i="6"/>
  <c r="AA60" i="6" s="1"/>
  <c r="Y59" i="6"/>
  <c r="AA59" i="6" s="1"/>
  <c r="Z57" i="6"/>
  <c r="Z55" i="6"/>
  <c r="Z53" i="6"/>
  <c r="Z49" i="6"/>
  <c r="Z50" i="6"/>
  <c r="Z51" i="6"/>
  <c r="Z52" i="6"/>
  <c r="Z48" i="6"/>
  <c r="Y49" i="6"/>
  <c r="Y50" i="6"/>
  <c r="Y51" i="6"/>
  <c r="Y52" i="6"/>
  <c r="Y48" i="6"/>
  <c r="AE39" i="7"/>
  <c r="AE40" i="7"/>
  <c r="AE41" i="7"/>
  <c r="AE42" i="7"/>
  <c r="AE43" i="7"/>
  <c r="AE44" i="7"/>
  <c r="AE45" i="7"/>
  <c r="AE46" i="7"/>
  <c r="AE47" i="7"/>
  <c r="AE48" i="7"/>
  <c r="AE38" i="7"/>
  <c r="AD39" i="7"/>
  <c r="AD40" i="7"/>
  <c r="AD41" i="7"/>
  <c r="AD42" i="7"/>
  <c r="AD43" i="7"/>
  <c r="AD44" i="7"/>
  <c r="AD45" i="7"/>
  <c r="AD46" i="7"/>
  <c r="AD47" i="7"/>
  <c r="AD48" i="7"/>
  <c r="AD38" i="7"/>
  <c r="AJ3" i="10"/>
  <c r="AP3" i="10" s="1"/>
  <c r="AJ4" i="10"/>
  <c r="AP4" i="10" s="1"/>
  <c r="AJ5" i="10"/>
  <c r="AP5" i="10" s="1"/>
  <c r="AJ6" i="10"/>
  <c r="AP6" i="10" s="1"/>
  <c r="AJ7" i="10"/>
  <c r="AP7" i="10" s="1"/>
  <c r="AJ8" i="10"/>
  <c r="AP8" i="10" s="1"/>
  <c r="AJ9" i="10"/>
  <c r="AP9" i="10" s="1"/>
  <c r="AJ10" i="10"/>
  <c r="AP10" i="10" s="1"/>
  <c r="AJ2" i="10"/>
  <c r="AP2" i="10" s="1"/>
  <c r="AO153" i="11"/>
  <c r="AR153" i="11" s="1"/>
  <c r="AO152" i="11"/>
  <c r="AR152" i="11" s="1"/>
  <c r="AO134" i="11"/>
  <c r="AR134" i="11" s="1"/>
  <c r="AP96" i="11"/>
  <c r="AZ97" i="11"/>
  <c r="AP97" i="11"/>
  <c r="AO97" i="11"/>
  <c r="AO96" i="11"/>
  <c r="AZ96" i="11"/>
  <c r="AP95" i="11"/>
  <c r="AO95" i="11"/>
  <c r="AM95" i="11"/>
  <c r="AO89" i="11"/>
  <c r="AR89" i="11" s="1"/>
  <c r="AO90" i="11"/>
  <c r="AR90" i="11" s="1"/>
  <c r="AO91" i="11"/>
  <c r="AR91" i="11" s="1"/>
  <c r="AO88" i="11"/>
  <c r="AR88" i="11" s="1"/>
  <c r="AO87" i="11"/>
  <c r="AR87" i="11" s="1"/>
  <c r="AZ64" i="11"/>
  <c r="AZ61" i="11"/>
  <c r="AA3" i="12"/>
  <c r="AA4" i="12"/>
  <c r="AA5" i="12"/>
  <c r="AA6" i="12"/>
  <c r="AA7" i="12"/>
  <c r="AA8" i="12"/>
  <c r="AA9" i="12"/>
  <c r="AA10" i="12"/>
  <c r="AA2" i="12"/>
  <c r="N3" i="12"/>
  <c r="N4" i="12"/>
  <c r="N5" i="12"/>
  <c r="N6" i="12"/>
  <c r="N7" i="12"/>
  <c r="N8" i="12"/>
  <c r="N9" i="12"/>
  <c r="N10" i="12"/>
  <c r="R10" i="12"/>
  <c r="R9" i="12"/>
  <c r="R8" i="12"/>
  <c r="R7" i="12"/>
  <c r="R6" i="12"/>
  <c r="R5" i="12"/>
  <c r="R4" i="12"/>
  <c r="R3" i="12"/>
  <c r="R2" i="12"/>
  <c r="N2" i="12"/>
  <c r="O36" i="5"/>
  <c r="O35" i="5"/>
  <c r="O34" i="5"/>
  <c r="O29" i="5"/>
  <c r="O19" i="5"/>
  <c r="O18" i="5"/>
  <c r="O17" i="5"/>
  <c r="O16" i="5"/>
  <c r="W17" i="5"/>
  <c r="W18" i="5"/>
  <c r="W19" i="5"/>
  <c r="W16" i="5"/>
  <c r="L7" i="5"/>
  <c r="W7" i="5"/>
  <c r="O7" i="5"/>
  <c r="AI265" i="7"/>
  <c r="Q55" i="11"/>
  <c r="AP55" i="11" s="1"/>
  <c r="Q56" i="11"/>
  <c r="AP56" i="11" s="1"/>
  <c r="AC53" i="11"/>
  <c r="AE53" i="11" s="1"/>
  <c r="AC54" i="11"/>
  <c r="AE54" i="11" s="1"/>
  <c r="AC52" i="11"/>
  <c r="AE52" i="11" s="1"/>
  <c r="Q53" i="11"/>
  <c r="Q54" i="11"/>
  <c r="Q52" i="11"/>
  <c r="AP60" i="11"/>
  <c r="AP59" i="11"/>
  <c r="AO60" i="11"/>
  <c r="AO59" i="11"/>
  <c r="AP45" i="11"/>
  <c r="AP46" i="11"/>
  <c r="AP47" i="11"/>
  <c r="AP48" i="11"/>
  <c r="AP49" i="11"/>
  <c r="AP50" i="11"/>
  <c r="AP51" i="11"/>
  <c r="AP57" i="11"/>
  <c r="AP58" i="11"/>
  <c r="AO44" i="11"/>
  <c r="AO45" i="11"/>
  <c r="AO46" i="11"/>
  <c r="AO48" i="11"/>
  <c r="AO49" i="11"/>
  <c r="AO50" i="11"/>
  <c r="AO51" i="11"/>
  <c r="AO52" i="11"/>
  <c r="AO53" i="11"/>
  <c r="AO54" i="11"/>
  <c r="AO55" i="11"/>
  <c r="AO56" i="11"/>
  <c r="AO57" i="11"/>
  <c r="AO58" i="11"/>
  <c r="Y26" i="6"/>
  <c r="AA26" i="6" s="1"/>
  <c r="Y28" i="6"/>
  <c r="AA28" i="6" s="1"/>
  <c r="Y30" i="6"/>
  <c r="AA30" i="6" s="1"/>
  <c r="Y32" i="6"/>
  <c r="AA32" i="6" s="1"/>
  <c r="Y34" i="6"/>
  <c r="AA34" i="6" s="1"/>
  <c r="Y36" i="6"/>
  <c r="AA36" i="6" s="1"/>
  <c r="Y38" i="6"/>
  <c r="AA38" i="6" s="1"/>
  <c r="Y40" i="6"/>
  <c r="AA40" i="6" s="1"/>
  <c r="Y42" i="6"/>
  <c r="AA42" i="6" s="1"/>
  <c r="Y44" i="6"/>
  <c r="AA44" i="6" s="1"/>
  <c r="Y14" i="6"/>
  <c r="AA14" i="6" s="1"/>
  <c r="Y15" i="6"/>
  <c r="AA15" i="6" s="1"/>
  <c r="Y16" i="6"/>
  <c r="AA16" i="6" s="1"/>
  <c r="Y17" i="6"/>
  <c r="AA17" i="6" s="1"/>
  <c r="Y18" i="6"/>
  <c r="AA18" i="6" s="1"/>
  <c r="Y19" i="6"/>
  <c r="AA19" i="6" s="1"/>
  <c r="Y20" i="6"/>
  <c r="AA20" i="6" s="1"/>
  <c r="Y21" i="6"/>
  <c r="AA21" i="6" s="1"/>
  <c r="Y22" i="6"/>
  <c r="AA22" i="6" s="1"/>
  <c r="Y23" i="6"/>
  <c r="AA23" i="6" s="1"/>
  <c r="Y24" i="6"/>
  <c r="AA24" i="6" s="1"/>
  <c r="Y13" i="6"/>
  <c r="AA13" i="6" s="1"/>
  <c r="S39" i="6"/>
  <c r="S43" i="6"/>
  <c r="S35" i="6"/>
  <c r="S41" i="6"/>
  <c r="O43" i="6"/>
  <c r="O41" i="6"/>
  <c r="O39" i="6"/>
  <c r="O37" i="6"/>
  <c r="Y37" i="6" s="1"/>
  <c r="AA37" i="6" s="1"/>
  <c r="O35" i="6"/>
  <c r="S29" i="6"/>
  <c r="S33" i="6"/>
  <c r="S25" i="6"/>
  <c r="O33" i="6"/>
  <c r="O31" i="6"/>
  <c r="O29" i="6"/>
  <c r="O27" i="6"/>
  <c r="Y27" i="6" s="1"/>
  <c r="AA27" i="6" s="1"/>
  <c r="S31" i="6"/>
  <c r="O25" i="6"/>
  <c r="AD263" i="7"/>
  <c r="AI263" i="7" s="1"/>
  <c r="AP263" i="7" s="1"/>
  <c r="AD262" i="7"/>
  <c r="AI262" i="7" s="1"/>
  <c r="AP262" i="7" s="1"/>
  <c r="AD261" i="7"/>
  <c r="AI261" i="7" s="1"/>
  <c r="AP261" i="7" s="1"/>
  <c r="AD256" i="7"/>
  <c r="AI256" i="7" s="1"/>
  <c r="AP256" i="7" s="1"/>
  <c r="AD257" i="7"/>
  <c r="AI257" i="7" s="1"/>
  <c r="AP257" i="7" s="1"/>
  <c r="AD258" i="7"/>
  <c r="AI258" i="7" s="1"/>
  <c r="AP258" i="7" s="1"/>
  <c r="AD259" i="7"/>
  <c r="AI259" i="7" s="1"/>
  <c r="AP259" i="7" s="1"/>
  <c r="AD260" i="7"/>
  <c r="AI260" i="7" s="1"/>
  <c r="AP260" i="7" s="1"/>
  <c r="AD255" i="7"/>
  <c r="AI255" i="7" s="1"/>
  <c r="AP255" i="7" s="1"/>
  <c r="AF238" i="7"/>
  <c r="AF239" i="7"/>
  <c r="AE233" i="7"/>
  <c r="AE234" i="7"/>
  <c r="AE235" i="7"/>
  <c r="AE236" i="7"/>
  <c r="AE237" i="7"/>
  <c r="AE238" i="7"/>
  <c r="AE239" i="7"/>
  <c r="AD230" i="7"/>
  <c r="AD231" i="7"/>
  <c r="AD232" i="7"/>
  <c r="AD233" i="7"/>
  <c r="AD234" i="7"/>
  <c r="AD235" i="7"/>
  <c r="AD236" i="7"/>
  <c r="AD237" i="7"/>
  <c r="AD238" i="7"/>
  <c r="AD239" i="7"/>
  <c r="AD229" i="7"/>
  <c r="AD214" i="7"/>
  <c r="AI214" i="7" s="1"/>
  <c r="AD215" i="7"/>
  <c r="AI215" i="7" s="1"/>
  <c r="AD216" i="7"/>
  <c r="AI216" i="7" s="1"/>
  <c r="AD217" i="7"/>
  <c r="AI217" i="7" s="1"/>
  <c r="AD218" i="7"/>
  <c r="AI218" i="7" s="1"/>
  <c r="AD219" i="7"/>
  <c r="AI219" i="7" s="1"/>
  <c r="AD220" i="7"/>
  <c r="AI220" i="7" s="1"/>
  <c r="AD221" i="7"/>
  <c r="AI221" i="7" s="1"/>
  <c r="AD222" i="7"/>
  <c r="AI222" i="7" s="1"/>
  <c r="AD223" i="7"/>
  <c r="AI223" i="7" s="1"/>
  <c r="AD224" i="7"/>
  <c r="AI224" i="7" s="1"/>
  <c r="AD213" i="7"/>
  <c r="AI213" i="7" s="1"/>
  <c r="AD198" i="7"/>
  <c r="AI198" i="7" s="1"/>
  <c r="AD197" i="7"/>
  <c r="AI197" i="7" s="1"/>
  <c r="AD196" i="7"/>
  <c r="AI196" i="7" s="1"/>
  <c r="AD195" i="7"/>
  <c r="AI195" i="7" s="1"/>
  <c r="AD194" i="7"/>
  <c r="AI194" i="7" s="1"/>
  <c r="AD193" i="7"/>
  <c r="AI193" i="7" s="1"/>
  <c r="AD192" i="7"/>
  <c r="AI192" i="7" s="1"/>
  <c r="AD191" i="7"/>
  <c r="AI191" i="7" s="1"/>
  <c r="AD190" i="7"/>
  <c r="AI190" i="7" s="1"/>
  <c r="AD189" i="7"/>
  <c r="AI189" i="7" s="1"/>
  <c r="AD188" i="7"/>
  <c r="AD187" i="7"/>
  <c r="AD186" i="7"/>
  <c r="AD185" i="7"/>
  <c r="AD184" i="7"/>
  <c r="AD183" i="7"/>
  <c r="AD98" i="7"/>
  <c r="AI98" i="7" s="1"/>
  <c r="AP98" i="7" s="1"/>
  <c r="AD97" i="7"/>
  <c r="AI97" i="7" s="1"/>
  <c r="AP97" i="7" s="1"/>
  <c r="AD96" i="7"/>
  <c r="AI96" i="7" s="1"/>
  <c r="AP96" i="7" s="1"/>
  <c r="AD95" i="7"/>
  <c r="AI95" i="7" s="1"/>
  <c r="AP95" i="7" s="1"/>
  <c r="AD94" i="7"/>
  <c r="AI94" i="7" s="1"/>
  <c r="AP94" i="7" s="1"/>
  <c r="AD93" i="7"/>
  <c r="AI93" i="7" s="1"/>
  <c r="AP93" i="7" s="1"/>
  <c r="AD79" i="7"/>
  <c r="AI79" i="7" s="1"/>
  <c r="AP79" i="7" s="1"/>
  <c r="AD80" i="7"/>
  <c r="AI80" i="7" s="1"/>
  <c r="AP80" i="7" s="1"/>
  <c r="AD81" i="7"/>
  <c r="AI81" i="7" s="1"/>
  <c r="AP81" i="7" s="1"/>
  <c r="AD82" i="7"/>
  <c r="AI82" i="7" s="1"/>
  <c r="AP82" i="7" s="1"/>
  <c r="AD83" i="7"/>
  <c r="AI83" i="7" s="1"/>
  <c r="AP83" i="7" s="1"/>
  <c r="AD84" i="7"/>
  <c r="AI84" i="7" s="1"/>
  <c r="AP84" i="7" s="1"/>
  <c r="AD85" i="7"/>
  <c r="AI85" i="7" s="1"/>
  <c r="AP85" i="7" s="1"/>
  <c r="AD86" i="7"/>
  <c r="AI86" i="7" s="1"/>
  <c r="AP86" i="7" s="1"/>
  <c r="AD87" i="7"/>
  <c r="AI87" i="7" s="1"/>
  <c r="AP87" i="7" s="1"/>
  <c r="AD88" i="7"/>
  <c r="AI88" i="7" s="1"/>
  <c r="AP88" i="7" s="1"/>
  <c r="AD89" i="7"/>
  <c r="AI89" i="7" s="1"/>
  <c r="AP89" i="7" s="1"/>
  <c r="AD90" i="7"/>
  <c r="AI90" i="7" s="1"/>
  <c r="AP90" i="7" s="1"/>
  <c r="AD91" i="7"/>
  <c r="AI91" i="7" s="1"/>
  <c r="AP91" i="7" s="1"/>
  <c r="AD92" i="7"/>
  <c r="AI92" i="7" s="1"/>
  <c r="AP92" i="7" s="1"/>
  <c r="AD78" i="7"/>
  <c r="AI78" i="7" s="1"/>
  <c r="AP78" i="7" s="1"/>
  <c r="AD77" i="7"/>
  <c r="AI77" i="7" s="1"/>
  <c r="AP77" i="7" s="1"/>
  <c r="AD76" i="7"/>
  <c r="AI76" i="7" s="1"/>
  <c r="AP76" i="7" s="1"/>
  <c r="AD75" i="7"/>
  <c r="AI75" i="7" s="1"/>
  <c r="AP75" i="7" s="1"/>
  <c r="AD74" i="7"/>
  <c r="AI74" i="7" s="1"/>
  <c r="AP74" i="7" s="1"/>
  <c r="AD73" i="7"/>
  <c r="AI73" i="7" s="1"/>
  <c r="AP73" i="7" s="1"/>
  <c r="AE59" i="7"/>
  <c r="AE60" i="7"/>
  <c r="AE61" i="7"/>
  <c r="AE62" i="7"/>
  <c r="AE63" i="7"/>
  <c r="AE64" i="7"/>
  <c r="AE65" i="7"/>
  <c r="AE66" i="7"/>
  <c r="AE67" i="7"/>
  <c r="AE68" i="7"/>
  <c r="AE69" i="7"/>
  <c r="AE70" i="7"/>
  <c r="AE71" i="7"/>
  <c r="AE72" i="7"/>
  <c r="AE58" i="7"/>
  <c r="AD59" i="7"/>
  <c r="AD60" i="7"/>
  <c r="AD61" i="7"/>
  <c r="AD62" i="7"/>
  <c r="AD63" i="7"/>
  <c r="AD64" i="7"/>
  <c r="AD65" i="7"/>
  <c r="AD66" i="7"/>
  <c r="AD67" i="7"/>
  <c r="AD68" i="7"/>
  <c r="AD69" i="7"/>
  <c r="AD70" i="7"/>
  <c r="AD71" i="7"/>
  <c r="AD72" i="7"/>
  <c r="AD58" i="7"/>
  <c r="AD57" i="7"/>
  <c r="AI57" i="7" s="1"/>
  <c r="AP57" i="7" s="1"/>
  <c r="AD56" i="7"/>
  <c r="AI56" i="7" s="1"/>
  <c r="AP56" i="7" s="1"/>
  <c r="R16" i="5" l="1"/>
  <c r="R17" i="5"/>
  <c r="R18" i="5"/>
  <c r="R19" i="5"/>
  <c r="R36" i="5"/>
  <c r="R35" i="5"/>
  <c r="R7" i="5"/>
  <c r="R34" i="5"/>
  <c r="U34" i="5"/>
  <c r="R29" i="5"/>
  <c r="Z5" i="12"/>
  <c r="AC5" i="12" s="1"/>
  <c r="AR96" i="11"/>
  <c r="AI39" i="7"/>
  <c r="AI43" i="7"/>
  <c r="AI42" i="7"/>
  <c r="AI41" i="7"/>
  <c r="AI48" i="7"/>
  <c r="AI40" i="7"/>
  <c r="AI47" i="7"/>
  <c r="AI46" i="7"/>
  <c r="AI38" i="7"/>
  <c r="AI45" i="7"/>
  <c r="AI44" i="7"/>
  <c r="AA49" i="6"/>
  <c r="Y57" i="6"/>
  <c r="AA57" i="6" s="1"/>
  <c r="AG57" i="6" s="1"/>
  <c r="AA52" i="6"/>
  <c r="Y55" i="6"/>
  <c r="AA55" i="6" s="1"/>
  <c r="AG55" i="6" s="1"/>
  <c r="Y53" i="6"/>
  <c r="AA53" i="6" s="1"/>
  <c r="AG53" i="6" s="1"/>
  <c r="AA48" i="6"/>
  <c r="AA51" i="6"/>
  <c r="AA50" i="6"/>
  <c r="Y33" i="6"/>
  <c r="AA33" i="6" s="1"/>
  <c r="AI65" i="7"/>
  <c r="AI58" i="7"/>
  <c r="Y31" i="6"/>
  <c r="AA31" i="6" s="1"/>
  <c r="Y25" i="6"/>
  <c r="AA25" i="6" s="1"/>
  <c r="Y35" i="6"/>
  <c r="AA35" i="6" s="1"/>
  <c r="Y29" i="6"/>
  <c r="AA29" i="6" s="1"/>
  <c r="Y43" i="6"/>
  <c r="AA43" i="6" s="1"/>
  <c r="AP92" i="11"/>
  <c r="AR95" i="11"/>
  <c r="AR97" i="11"/>
  <c r="AO92" i="11"/>
  <c r="AP54" i="11"/>
  <c r="AR54" i="11" s="1"/>
  <c r="AO61" i="11"/>
  <c r="AO64" i="11"/>
  <c r="AR44" i="11"/>
  <c r="AR48" i="11"/>
  <c r="AO76" i="11"/>
  <c r="AR46" i="11"/>
  <c r="AO70" i="11"/>
  <c r="AR45" i="11"/>
  <c r="AP52" i="11"/>
  <c r="AR52" i="11" s="1"/>
  <c r="AR55" i="11"/>
  <c r="AR47" i="11"/>
  <c r="AR51" i="11"/>
  <c r="AR58" i="11"/>
  <c r="AR57" i="11"/>
  <c r="AP53" i="11"/>
  <c r="AR53" i="11" s="1"/>
  <c r="Z10" i="12"/>
  <c r="AC10" i="12" s="1"/>
  <c r="Z4" i="12"/>
  <c r="AC4" i="12" s="1"/>
  <c r="Z6" i="12"/>
  <c r="AC6" i="12" s="1"/>
  <c r="Z3" i="12"/>
  <c r="AC3" i="12" s="1"/>
  <c r="Z7" i="12"/>
  <c r="AC7" i="12" s="1"/>
  <c r="Z8" i="12"/>
  <c r="AC8" i="12" s="1"/>
  <c r="Z9" i="12"/>
  <c r="AC9" i="12" s="1"/>
  <c r="Z2" i="12"/>
  <c r="AC2" i="12" s="1"/>
  <c r="Y41" i="6"/>
  <c r="AA41" i="6" s="1"/>
  <c r="Y39" i="6"/>
  <c r="AA39" i="6" s="1"/>
  <c r="AR60" i="11"/>
  <c r="AR59" i="11"/>
  <c r="AR56" i="11"/>
  <c r="AR49" i="11"/>
  <c r="AR50" i="11"/>
  <c r="AI71" i="7"/>
  <c r="AI63" i="7"/>
  <c r="AI61" i="7"/>
  <c r="AI69" i="7"/>
  <c r="AI66" i="7"/>
  <c r="AI72" i="7"/>
  <c r="AI64" i="7"/>
  <c r="AI67" i="7"/>
  <c r="AI59" i="7"/>
  <c r="AI70" i="7"/>
  <c r="AI62" i="7"/>
  <c r="AI68" i="7"/>
  <c r="AI60" i="7"/>
  <c r="AI37" i="7"/>
  <c r="AI36" i="7"/>
  <c r="AI35" i="7"/>
  <c r="AI34" i="7"/>
  <c r="AI33" i="7"/>
  <c r="AI32" i="7"/>
  <c r="AI31" i="7"/>
  <c r="AI30" i="7"/>
  <c r="AI29" i="7"/>
  <c r="AI28" i="7"/>
  <c r="AE25" i="7"/>
  <c r="AD25" i="7"/>
  <c r="V25" i="7"/>
  <c r="AE24" i="7"/>
  <c r="AD24" i="7"/>
  <c r="V24" i="7"/>
  <c r="AE23" i="7"/>
  <c r="AD23" i="7"/>
  <c r="V23" i="7"/>
  <c r="AE22" i="7"/>
  <c r="AD22" i="7"/>
  <c r="V22" i="7"/>
  <c r="AE21" i="7"/>
  <c r="AD21" i="7"/>
  <c r="V21" i="7"/>
  <c r="AE20" i="7"/>
  <c r="AD20" i="7"/>
  <c r="V20" i="7"/>
  <c r="AE19" i="7"/>
  <c r="AD19" i="7"/>
  <c r="V19" i="7"/>
  <c r="AE18" i="7"/>
  <c r="AD18" i="7"/>
  <c r="V18" i="7"/>
  <c r="AE54" i="7"/>
  <c r="AE55" i="7"/>
  <c r="AE53" i="7"/>
  <c r="AD54" i="7"/>
  <c r="AD55" i="7"/>
  <c r="AD53" i="7"/>
  <c r="V34" i="5" l="1"/>
  <c r="AR64" i="11"/>
  <c r="AR92" i="11"/>
  <c r="AR70" i="11"/>
  <c r="AR61" i="11"/>
  <c r="AR76" i="11"/>
  <c r="AI13" i="7"/>
  <c r="AI53" i="7"/>
  <c r="AI55" i="7"/>
  <c r="AI23" i="7"/>
  <c r="AI21" i="7"/>
  <c r="AI16" i="7"/>
  <c r="AI22" i="7"/>
  <c r="AI25" i="7"/>
  <c r="AI18" i="7"/>
  <c r="AI19" i="7"/>
  <c r="AI54" i="7"/>
  <c r="AI15" i="7"/>
  <c r="AI24" i="7"/>
  <c r="AI20" i="7"/>
  <c r="AI14" i="7"/>
  <c r="AI12" i="7"/>
  <c r="AI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tc={CA116236-AD5B-4699-AE1B-456BF19EF9C3}</author>
  </authors>
  <commentList>
    <comment ref="AC43" authorId="0" shapeId="0" xr:uid="{CA116236-AD5B-4699-AE1B-456BF19EF9C3}">
      <text>
        <t>[Threaded comment]
Your version of Excel allows you to read this threaded comment; however, any edits to it will get removed if the file is opened in a newer version of Excel. Learn more: https://go.microsoft.com/fwlink/?linkid=870924
Comment:
    Prunings dry wight kg/ha</t>
      </text>
    </comment>
  </commentList>
</comments>
</file>

<file path=xl/sharedStrings.xml><?xml version="1.0" encoding="utf-8"?>
<sst xmlns="http://schemas.openxmlformats.org/spreadsheetml/2006/main" count="34929" uniqueCount="2814">
  <si>
    <t>UK</t>
  </si>
  <si>
    <t>Organic</t>
  </si>
  <si>
    <t>No</t>
  </si>
  <si>
    <t>Yes</t>
  </si>
  <si>
    <t>Monoculture</t>
  </si>
  <si>
    <t>Global</t>
  </si>
  <si>
    <t>Intercropping</t>
  </si>
  <si>
    <t>Crop rotation</t>
  </si>
  <si>
    <t>Cover crop</t>
  </si>
  <si>
    <t>Study ID</t>
  </si>
  <si>
    <t>Crop name</t>
  </si>
  <si>
    <t>Intervention type</t>
  </si>
  <si>
    <t>Irrigation</t>
  </si>
  <si>
    <t>Cover crops</t>
  </si>
  <si>
    <t>Mineral</t>
  </si>
  <si>
    <t>Treatment</t>
  </si>
  <si>
    <t>Control</t>
  </si>
  <si>
    <t>Sole crop</t>
  </si>
  <si>
    <t>Barley-pea</t>
  </si>
  <si>
    <t>LER 1</t>
  </si>
  <si>
    <t>LER 2</t>
  </si>
  <si>
    <t>LERt</t>
  </si>
  <si>
    <t>Mixed intercropping</t>
  </si>
  <si>
    <t>WARC</t>
  </si>
  <si>
    <t>CARC</t>
  </si>
  <si>
    <t>Place</t>
  </si>
  <si>
    <t>Country</t>
  </si>
  <si>
    <t>Location</t>
  </si>
  <si>
    <t>Montana</t>
  </si>
  <si>
    <t>USA</t>
  </si>
  <si>
    <t>Educational institute farm of Thessaloniki</t>
  </si>
  <si>
    <t>Thessaloniki</t>
  </si>
  <si>
    <t>Greece</t>
  </si>
  <si>
    <t>Dhima et al 2013</t>
  </si>
  <si>
    <t>Row intercropping</t>
  </si>
  <si>
    <t>Faba bean (75%) - Oat (25%)</t>
  </si>
  <si>
    <t>Faba bean (50%) - Oat (50%)</t>
  </si>
  <si>
    <t>Faba bean (25%) - Oat (75%)</t>
  </si>
  <si>
    <t>University Farm of Thessaloniki</t>
  </si>
  <si>
    <t>Dordas and Lithourgidis 2011</t>
  </si>
  <si>
    <t>Row/mixed intercropping</t>
  </si>
  <si>
    <t>Faba bean (75%) - Triticale (25%)</t>
  </si>
  <si>
    <t>Faba bean (50%) - Triticale (50%)</t>
  </si>
  <si>
    <t>Faba bean (25%) - Triticale (75%)</t>
  </si>
  <si>
    <t>Sole crop 2 yield mean</t>
  </si>
  <si>
    <t>Garrity et al 2010</t>
  </si>
  <si>
    <t>Zambia</t>
  </si>
  <si>
    <t>Corn</t>
  </si>
  <si>
    <t>Tree name</t>
  </si>
  <si>
    <t>Barnes and Fagg 2003</t>
  </si>
  <si>
    <t>India</t>
  </si>
  <si>
    <t>Hyderabad</t>
  </si>
  <si>
    <t>Andhra Pradesh</t>
  </si>
  <si>
    <t>Sorghum</t>
  </si>
  <si>
    <t>Albizia lebbeck</t>
  </si>
  <si>
    <t>Faidherbia albida</t>
  </si>
  <si>
    <t>Millet</t>
  </si>
  <si>
    <t>Acacia albida</t>
  </si>
  <si>
    <t>Senegal</t>
  </si>
  <si>
    <t>Ouahigouya</t>
  </si>
  <si>
    <t>Burkina Fasso</t>
  </si>
  <si>
    <t>Sub-Saharan Africa</t>
  </si>
  <si>
    <t>Groundnuts</t>
  </si>
  <si>
    <t>Maize</t>
  </si>
  <si>
    <t>Suresh and Rao 1998</t>
  </si>
  <si>
    <t>Ethiopia</t>
  </si>
  <si>
    <t>Poschen 1986</t>
  </si>
  <si>
    <t>Haraghe highlands</t>
  </si>
  <si>
    <t>Almaya college of agriculture</t>
  </si>
  <si>
    <t>Maize and Sorghum</t>
  </si>
  <si>
    <t>Africa</t>
  </si>
  <si>
    <t>Barley</t>
  </si>
  <si>
    <t>Malawi</t>
  </si>
  <si>
    <t>Sesbania sesban</t>
  </si>
  <si>
    <t>Kwesiga et al 2003</t>
  </si>
  <si>
    <t>Improved fallow</t>
  </si>
  <si>
    <t>No fallow</t>
  </si>
  <si>
    <t>Gliricidia sepium</t>
  </si>
  <si>
    <t>Rotational fallow</t>
  </si>
  <si>
    <t>Wheat-maize</t>
  </si>
  <si>
    <t>Li et al 2001</t>
  </si>
  <si>
    <t>China</t>
  </si>
  <si>
    <t>Gansu province</t>
  </si>
  <si>
    <t>Wheat-soybean</t>
  </si>
  <si>
    <t>Li et al 2007</t>
  </si>
  <si>
    <t>Maize-Faba bean</t>
  </si>
  <si>
    <t>Western Gansu province</t>
  </si>
  <si>
    <t>Pappa et al 2012</t>
  </si>
  <si>
    <t>Scotland</t>
  </si>
  <si>
    <t>Bush Estate</t>
  </si>
  <si>
    <t>Barley-white clover</t>
  </si>
  <si>
    <t>Sadeghpour et al 2014</t>
  </si>
  <si>
    <t>Iran</t>
  </si>
  <si>
    <t>Tehran</t>
  </si>
  <si>
    <t>Experimental farm University of Tehran</t>
  </si>
  <si>
    <t>Barley-medicago scutellata</t>
  </si>
  <si>
    <t>Sorghum-cowpea</t>
  </si>
  <si>
    <t>Secondary crop</t>
  </si>
  <si>
    <t>Himmelstein et al 2017</t>
  </si>
  <si>
    <t>Adeniyi 2001</t>
  </si>
  <si>
    <t>Nigeria</t>
  </si>
  <si>
    <t>Ondo</t>
  </si>
  <si>
    <t>Agricultural Research Farm of Adeyemi College of Education</t>
  </si>
  <si>
    <t>Tomato and Okra</t>
  </si>
  <si>
    <t>Tomato (50%) - Okra (50%)</t>
  </si>
  <si>
    <t>Tomato (33%) - Okra (67%)</t>
  </si>
  <si>
    <t>Tomato (67%) - Okra (33%)</t>
  </si>
  <si>
    <t>Chen et al 2004</t>
  </si>
  <si>
    <t>United Kingdom</t>
  </si>
  <si>
    <t>East Malling</t>
  </si>
  <si>
    <t>Horticulture Research International East Malling</t>
  </si>
  <si>
    <t>Flowering herbs atractive to insects</t>
  </si>
  <si>
    <t>Pear (class 1)</t>
  </si>
  <si>
    <t>Pear (class 2)</t>
  </si>
  <si>
    <t>Fitzgerald and Solomon 2004</t>
  </si>
  <si>
    <t>Gianoli et al 2006</t>
  </si>
  <si>
    <t>Peru</t>
  </si>
  <si>
    <t>Urubamba</t>
  </si>
  <si>
    <t>Charcahuaylla</t>
  </si>
  <si>
    <t>Maize-Bean</t>
  </si>
  <si>
    <t>Maize-Bean-Weeds</t>
  </si>
  <si>
    <t>&gt;180</t>
  </si>
  <si>
    <t>Guvenc and Yildirim 2006</t>
  </si>
  <si>
    <t>Turkey</t>
  </si>
  <si>
    <t>Ispir</t>
  </si>
  <si>
    <t>Hamza Polat Vocational School (Atatürk Univer
sity)</t>
  </si>
  <si>
    <t>Cabbage-cos lettuce</t>
  </si>
  <si>
    <t>Cabbage-leaf lettuce</t>
  </si>
  <si>
    <t>Cabbage-onion</t>
  </si>
  <si>
    <t>Cabbage-radish</t>
  </si>
  <si>
    <t>Cabbage-bean</t>
  </si>
  <si>
    <t>Kenya</t>
  </si>
  <si>
    <t>International Centre of Insect Physiology and Ecology (ICIPE) Thomas Odhiambo Campus</t>
  </si>
  <si>
    <t>Mbita Point</t>
  </si>
  <si>
    <t>Maize-cowpea</t>
  </si>
  <si>
    <t>Khan et al 2006a</t>
  </si>
  <si>
    <t>Khan et al 2006b</t>
  </si>
  <si>
    <t>Suba district</t>
  </si>
  <si>
    <t>Lambwe division</t>
  </si>
  <si>
    <t>Khan et al 2008</t>
  </si>
  <si>
    <t>Maize-Desmodium-Napier grass</t>
  </si>
  <si>
    <t>No information about yield crops 2 and 3, but crop 2 is a forage legume used to repel a pest and supress weeds, and crop 3 is only there to attract pests (push-pull technology)</t>
  </si>
  <si>
    <t>McIntyre et al 2001</t>
  </si>
  <si>
    <t>Uganda</t>
  </si>
  <si>
    <t>Kawanda Agricultural Research Station</t>
  </si>
  <si>
    <t>Banana</t>
  </si>
  <si>
    <t>Legume crops (Canavalia ensiformis) as pests repelent (not harvested)</t>
  </si>
  <si>
    <t>Legume crops (Mucuna pruriens) as pests repelent (not harvested)</t>
  </si>
  <si>
    <t>Legume crops (Tephrosia vogelii) as pests repelent (not harvested)</t>
  </si>
  <si>
    <t>Cameroon</t>
  </si>
  <si>
    <t>Ongot</t>
  </si>
  <si>
    <t>Cassava</t>
  </si>
  <si>
    <t>Ogol et al 1999</t>
  </si>
  <si>
    <t>Mtwapa (Coast Province)</t>
  </si>
  <si>
    <t>Kenya 
Agricultural Research Institute (KARI) Regional
Research Centre</t>
  </si>
  <si>
    <t>Leucaena leucocephala</t>
  </si>
  <si>
    <t>2.25m weeded, mulched</t>
  </si>
  <si>
    <t>1.5m weeded mulched</t>
  </si>
  <si>
    <t>2.25m weeeded unmulched</t>
  </si>
  <si>
    <t>2.25m unweeded, mulched</t>
  </si>
  <si>
    <t>3m space between trees</t>
  </si>
  <si>
    <t>Leguminous hedgerow</t>
  </si>
  <si>
    <t>Texas</t>
  </si>
  <si>
    <t>Cotton</t>
  </si>
  <si>
    <t xml:space="preserve">Data obtained with https://plotdigitizer.com/app </t>
  </si>
  <si>
    <t>Pitan and Olatunde 2003</t>
  </si>
  <si>
    <t>Cowpea-Tomato</t>
  </si>
  <si>
    <t>Abeokuta</t>
  </si>
  <si>
    <t>Teaching and Research Farm of
the University of Agriculture</t>
  </si>
  <si>
    <t>No information about yield sole crop 2, but LER not only for cowpea (otherwise I could not come up with the same LER</t>
  </si>
  <si>
    <t>Rao and Mathuva 2000</t>
  </si>
  <si>
    <t>Machakos</t>
  </si>
  <si>
    <t>ICRAF’s Machakos Research Station</t>
  </si>
  <si>
    <t>Cowpea</t>
  </si>
  <si>
    <t>Corn-Cowpea rotation</t>
  </si>
  <si>
    <t>Maize-Pigeonpea</t>
  </si>
  <si>
    <t>4.5m between trees (5.55 hedgerows per hectare)</t>
  </si>
  <si>
    <t>Sastawa et al 2014</t>
  </si>
  <si>
    <t>Maiduguri</t>
  </si>
  <si>
    <t>Research Farm Faculty of Agriculture University of Maiduguri</t>
  </si>
  <si>
    <t>Soybean</t>
  </si>
  <si>
    <t>Leaf defoliation of beetles and pod damage of Nezara Viridula depending on sowing date</t>
  </si>
  <si>
    <t>Soybean-Millet</t>
  </si>
  <si>
    <t>Schader et al 2005</t>
  </si>
  <si>
    <t>Cotton-Basil</t>
  </si>
  <si>
    <t>Egypt</t>
  </si>
  <si>
    <t>Governorate of Fayoum</t>
  </si>
  <si>
    <t>Sakaran</t>
  </si>
  <si>
    <t>60 cm row distance and 21% basil in intercropping</t>
  </si>
  <si>
    <t>60 cm row distance and 33% basil in the intercropping</t>
  </si>
  <si>
    <t>90 cm row distance and 21% basil in intercropping</t>
  </si>
  <si>
    <t>90 cm row distance and 33% basil in the intercropping</t>
  </si>
  <si>
    <t>Schulthess et al 2007</t>
  </si>
  <si>
    <t>Benin</t>
  </si>
  <si>
    <t>Abomey-Calavi</t>
  </si>
  <si>
    <t xml:space="preserve">International Institute of Tropical Agriculture (IITA)-Benin Station
</t>
  </si>
  <si>
    <t>Cassava-Maize</t>
  </si>
  <si>
    <t>Mixed cropping</t>
  </si>
  <si>
    <t>Sekamatte et al 2003</t>
  </si>
  <si>
    <t>Namulonge Agricultural
and Animal Production Research Institute (NAARI)</t>
  </si>
  <si>
    <t>Maize-Groundnut</t>
  </si>
  <si>
    <t>Maize-Soybean</t>
  </si>
  <si>
    <t>Maize-Phaseolus beans</t>
  </si>
  <si>
    <t>Untreated_Season 1</t>
  </si>
  <si>
    <t>Treated with pesticides_Season 1</t>
  </si>
  <si>
    <t>Untreated_Season 2</t>
  </si>
  <si>
    <t>Treated with pesticides_Season 2</t>
  </si>
  <si>
    <t>Land Institute in Saline County</t>
  </si>
  <si>
    <t>Kansas</t>
  </si>
  <si>
    <t>No till</t>
  </si>
  <si>
    <t>Alfalfa</t>
  </si>
  <si>
    <t>Alfalfa-wheat</t>
  </si>
  <si>
    <t>Skelton and Barrett 2005</t>
  </si>
  <si>
    <t>Kenya Agricultural Research Institute (KARI)</t>
  </si>
  <si>
    <t>Songa et al 2007</t>
  </si>
  <si>
    <t>Katumani</t>
  </si>
  <si>
    <t>Kiboko</t>
  </si>
  <si>
    <t>Sole crops</t>
  </si>
  <si>
    <t>Maize-Sorghum</t>
  </si>
  <si>
    <t>Maize-Millet</t>
  </si>
  <si>
    <t>Maize-Millet-Bean</t>
  </si>
  <si>
    <t>Maize-Millet-Bean-Sorghum</t>
  </si>
  <si>
    <t>LER 3</t>
  </si>
  <si>
    <t>Wale et al 2007</t>
  </si>
  <si>
    <t>Amhara National Regional State</t>
  </si>
  <si>
    <t>Addis Zemen</t>
  </si>
  <si>
    <t>Kola Diba</t>
  </si>
  <si>
    <t>Maize-Mustard</t>
  </si>
  <si>
    <t>Maize-Cowpea</t>
  </si>
  <si>
    <t>Chefa</t>
  </si>
  <si>
    <t>Maize-Sesame</t>
  </si>
  <si>
    <t>Maize-Haricot beans</t>
  </si>
  <si>
    <t>Zimbabwe</t>
  </si>
  <si>
    <t>Feed use factor (0.7 for cereals and 1 for legumes)</t>
  </si>
  <si>
    <t>Lablab</t>
  </si>
  <si>
    <t>Mucuna</t>
  </si>
  <si>
    <t>Odhiambo 2011</t>
  </si>
  <si>
    <t>South Africa</t>
  </si>
  <si>
    <t>Limpopo province</t>
  </si>
  <si>
    <t>Thohoyandou</t>
  </si>
  <si>
    <t>N fertiliser</t>
  </si>
  <si>
    <t>No N fertiliser</t>
  </si>
  <si>
    <t>Mucuna-Maize</t>
  </si>
  <si>
    <t>Sunhemp-Maize</t>
  </si>
  <si>
    <t>Sunhemp</t>
  </si>
  <si>
    <t>Lablab-Maize</t>
  </si>
  <si>
    <t>Crop 2 is a cover crop, so yield data of crop 2 refers to aboveground biomass, which was incorporated to the soil</t>
  </si>
  <si>
    <t>University of Venda, School of Agriculture experimental farm</t>
  </si>
  <si>
    <t>Odhiambo et al 2011</t>
  </si>
  <si>
    <t>Cowpea-Maize</t>
  </si>
  <si>
    <t>Butterfly pea-Maize</t>
  </si>
  <si>
    <t>Butterfly pea</t>
  </si>
  <si>
    <t>Rethman et al 2007</t>
  </si>
  <si>
    <t>Hatfield experimental farm</t>
  </si>
  <si>
    <t>Pretoria</t>
  </si>
  <si>
    <t>Sweet potato</t>
  </si>
  <si>
    <t>1999/2000</t>
  </si>
  <si>
    <t>2000/2001</t>
  </si>
  <si>
    <t>2001/2002</t>
  </si>
  <si>
    <t>Yes, after planting</t>
  </si>
  <si>
    <t>Sorghum stover</t>
  </si>
  <si>
    <t>2002/2003</t>
  </si>
  <si>
    <t>2003/2004</t>
  </si>
  <si>
    <t>Sorghum grain</t>
  </si>
  <si>
    <t xml:space="preserve">Part of the data obtained with https://plotdigitizer.com/app </t>
  </si>
  <si>
    <t>Sorghum  fodder</t>
  </si>
  <si>
    <t>Martin-Guay et al 2018</t>
  </si>
  <si>
    <t>Thapa et al 2018</t>
  </si>
  <si>
    <t>United States</t>
  </si>
  <si>
    <t>Rye-Hairy vetch</t>
  </si>
  <si>
    <t>Valkama et al 2015</t>
  </si>
  <si>
    <t>Nordic coutries: Denmark, Sweden, Finland and Norway</t>
  </si>
  <si>
    <t>50-160 (average 98)</t>
  </si>
  <si>
    <t>Control was fertilised and treatment did not receive fertilisation. Crop 2 is a cover crop, so yield data of crop 2 refers to aboveground biomass, which was incorporated to the soil</t>
  </si>
  <si>
    <t>Verret et al 2017</t>
  </si>
  <si>
    <t>Non-legume cover crop</t>
  </si>
  <si>
    <t>Vineyard</t>
  </si>
  <si>
    <t>California</t>
  </si>
  <si>
    <t>Adams et al 2011</t>
  </si>
  <si>
    <t>Data yield (kg/vine with7x8feet spacing) converted to t/ha</t>
  </si>
  <si>
    <t>Paso Robles</t>
  </si>
  <si>
    <t>Barrio et al 2011</t>
  </si>
  <si>
    <t>Spain</t>
  </si>
  <si>
    <t>Cordoba</t>
  </si>
  <si>
    <t>Montilla-Moriles</t>
  </si>
  <si>
    <t>Barroso et al 2016</t>
  </si>
  <si>
    <t>Portugal</t>
  </si>
  <si>
    <t>Evora</t>
  </si>
  <si>
    <t>Alentejo</t>
  </si>
  <si>
    <t>Costello et al 2010</t>
  </si>
  <si>
    <t>Fresno (California)</t>
  </si>
  <si>
    <t>Parlier</t>
  </si>
  <si>
    <t>Ingels et al 2005</t>
  </si>
  <si>
    <t>Sacramento</t>
  </si>
  <si>
    <t>Lee and Steenwerth 2013</t>
  </si>
  <si>
    <t>Oakville</t>
  </si>
  <si>
    <t>Marques et al 2010</t>
  </si>
  <si>
    <t>Campo Real</t>
  </si>
  <si>
    <t>Madrid</t>
  </si>
  <si>
    <t>Mercenaro et al 2014</t>
  </si>
  <si>
    <t>Italy</t>
  </si>
  <si>
    <t>Sardinia</t>
  </si>
  <si>
    <t>Cover crop (natural covering)</t>
  </si>
  <si>
    <t>Cover crop(commercial grass-legume mixture)</t>
  </si>
  <si>
    <t>Cover crop(experimental grass-legume mixture)</t>
  </si>
  <si>
    <t>Cover crop (grass Dactilys glomerata)</t>
  </si>
  <si>
    <t>Nurra Valley</t>
  </si>
  <si>
    <t>Muscas et al 2017</t>
  </si>
  <si>
    <t>None</t>
  </si>
  <si>
    <t>Cover crop(grass mixture)</t>
  </si>
  <si>
    <t>Cover crop(legume mixture)</t>
  </si>
  <si>
    <t>Okur et al 2015</t>
  </si>
  <si>
    <t>Alas¸ehir Viticulture Research Centre</t>
  </si>
  <si>
    <t>Manisa</t>
  </si>
  <si>
    <t>Organic management</t>
  </si>
  <si>
    <t>Cover crops (mixture of barley, vetch and broad bean)</t>
  </si>
  <si>
    <t>Bare soil</t>
  </si>
  <si>
    <t>Ovalle et al 2010</t>
  </si>
  <si>
    <t>Experimental Center of Cauquenes-INIA</t>
  </si>
  <si>
    <t>Maule region</t>
  </si>
  <si>
    <t>Chile</t>
  </si>
  <si>
    <t>Cover crops (legumes, mixture of subterranean clover and burr medic)</t>
  </si>
  <si>
    <t>Cover crops (legumes, mixture of subterranean clover and balansa clover)</t>
  </si>
  <si>
    <t>La Rioja</t>
  </si>
  <si>
    <t>Nájera</t>
  </si>
  <si>
    <t>Perez-Alvarez et al 2013</t>
  </si>
  <si>
    <t>Cover crop (barley)</t>
  </si>
  <si>
    <t>Perez-Alvarez et al 2015</t>
  </si>
  <si>
    <t>Najerilla River terrace</t>
  </si>
  <si>
    <t>Cover crop (Persian clover)</t>
  </si>
  <si>
    <t>Mayorca</t>
  </si>
  <si>
    <t>Consell</t>
  </si>
  <si>
    <t>Pou et al 2011</t>
  </si>
  <si>
    <t>Cover crop (mixture of perennial grass and legumes)</t>
  </si>
  <si>
    <t>Cover crop (natural vegetation)</t>
  </si>
  <si>
    <t>Reeve et al 2016</t>
  </si>
  <si>
    <t>Oregon</t>
  </si>
  <si>
    <t>Dayton</t>
  </si>
  <si>
    <t>Cover crop (grass)</t>
  </si>
  <si>
    <t>Rodriguez Lovelle et al 2000</t>
  </si>
  <si>
    <t>Ruiz-Colmenero et al 2011</t>
  </si>
  <si>
    <t>Belmonte</t>
  </si>
  <si>
    <t>Villaconejos</t>
  </si>
  <si>
    <t>Cover crop (spontaneous vegetation)</t>
  </si>
  <si>
    <t>Cover crop (rye)</t>
  </si>
  <si>
    <t>Cover crop (Branchypodium grass)</t>
  </si>
  <si>
    <t>Sweet and Schreiner 2010</t>
  </si>
  <si>
    <t>Willamette valley</t>
  </si>
  <si>
    <t>Leiro</t>
  </si>
  <si>
    <t>Ourense</t>
  </si>
  <si>
    <t>Trigo-Cordoba et al 2015</t>
  </si>
  <si>
    <t>Cover crop (native vegetation)</t>
  </si>
  <si>
    <t>Cover crop (English ryegrass)</t>
  </si>
  <si>
    <t>Cover crop (Subterranean clover)</t>
  </si>
  <si>
    <t>Akyeampong et al 1995</t>
  </si>
  <si>
    <t>Burundi</t>
  </si>
  <si>
    <t>Mashitsi</t>
  </si>
  <si>
    <t>Highlands</t>
  </si>
  <si>
    <t>Beans
Banana</t>
  </si>
  <si>
    <t>Cedrela Serrata</t>
  </si>
  <si>
    <t>Acrocarpus fraxinifolius</t>
  </si>
  <si>
    <t>Calliandra calothyrsus</t>
  </si>
  <si>
    <t>Cedrela odorata</t>
  </si>
  <si>
    <t>Erythrina poeppigiana</t>
  </si>
  <si>
    <t>Grevillea robusta</t>
  </si>
  <si>
    <t>Albizia chinensis</t>
  </si>
  <si>
    <t>Markhamia lutea</t>
  </si>
  <si>
    <t>Leucaena diversifolia</t>
  </si>
  <si>
    <t>No trees (only banana and beans)</t>
  </si>
  <si>
    <t>Agroforest</t>
  </si>
  <si>
    <t>No information about wood production without mixing with crops</t>
  </si>
  <si>
    <t>Mixing with tree species</t>
  </si>
  <si>
    <t>Böhringer and Leihner (1996)</t>
  </si>
  <si>
    <t>Atlantique and Zou provinces</t>
  </si>
  <si>
    <t>Houeto</t>
  </si>
  <si>
    <t>Attotinga</t>
  </si>
  <si>
    <t>Aguagon</t>
  </si>
  <si>
    <t>Maize-cassava intercropping (no fertilizer)</t>
  </si>
  <si>
    <t>Maize-cassava intercropping (90kg N/ha/yr)</t>
  </si>
  <si>
    <t>Maize and cassava</t>
  </si>
  <si>
    <t>Alley cropping with trees</t>
  </si>
  <si>
    <t>Block planting</t>
  </si>
  <si>
    <t>Gliricida sepium and Flemingia maxrophylla</t>
  </si>
  <si>
    <t>Chamshama et al 1998</t>
  </si>
  <si>
    <t>Tanzania</t>
  </si>
  <si>
    <t>Gairo</t>
  </si>
  <si>
    <t>Morogoro</t>
  </si>
  <si>
    <t>Leucaena leucocephala_alley cropping</t>
  </si>
  <si>
    <t>Tree biomass_leaf&amp;pruning (kg/ha)</t>
  </si>
  <si>
    <t>Sole maize and Leucaena leucocephala</t>
  </si>
  <si>
    <t>Sole maize and Faidherbia albida</t>
  </si>
  <si>
    <t>Faidherbia albida_alley cropping</t>
  </si>
  <si>
    <t>Chen et al 1989</t>
  </si>
  <si>
    <t>Ibadan</t>
  </si>
  <si>
    <t>Patisai</t>
  </si>
  <si>
    <t>Egbe et al 1998</t>
  </si>
  <si>
    <t>Mballmayo</t>
  </si>
  <si>
    <t>Millettia thonningii</t>
  </si>
  <si>
    <t>Pterocarpus santalinoides</t>
  </si>
  <si>
    <t>Millettia thonningii alley cropping</t>
  </si>
  <si>
    <t>Pterocarpus santalinoides alley cropping</t>
  </si>
  <si>
    <t>Hauser et al 2000</t>
  </si>
  <si>
    <t>Senna spectabilis hedgerow</t>
  </si>
  <si>
    <t>Senna spectabilis</t>
  </si>
  <si>
    <t>Hulugalle and Ndi 1993</t>
  </si>
  <si>
    <t>Cassia spectabilis</t>
  </si>
  <si>
    <t>Sole crops (no hedgerow)</t>
  </si>
  <si>
    <t>Jama &amp; Getahun 1991</t>
  </si>
  <si>
    <t>Mtwapa</t>
  </si>
  <si>
    <t>Kilifi district</t>
  </si>
  <si>
    <t>Acacia albida_alley cropping</t>
  </si>
  <si>
    <t>Sole crop and sole tree</t>
  </si>
  <si>
    <t>Maize and green gram</t>
  </si>
  <si>
    <t>Tree row spacing 4m</t>
  </si>
  <si>
    <t>Jama et al 1995</t>
  </si>
  <si>
    <t>ICRAF Research Station</t>
  </si>
  <si>
    <t>Senna siamea_alley cropping</t>
  </si>
  <si>
    <t>Senna siamea</t>
  </si>
  <si>
    <t>25:75 tree:maize</t>
  </si>
  <si>
    <t>20:80 tree:maize</t>
  </si>
  <si>
    <t>15:85 tree: maize</t>
  </si>
  <si>
    <t>Mugendi et al 1999</t>
  </si>
  <si>
    <t>Embu</t>
  </si>
  <si>
    <t>Kenya Agricultural Research Institute’s (KARI) Regional Research Centre</t>
  </si>
  <si>
    <t>Raddad et al 2006</t>
  </si>
  <si>
    <t>Sudan</t>
  </si>
  <si>
    <t>Blue Nile State</t>
  </si>
  <si>
    <t>Ed Damazin</t>
  </si>
  <si>
    <t>Acacia senegal_alley cropping</t>
  </si>
  <si>
    <t>Sole crops (no trees)</t>
  </si>
  <si>
    <t>Spacing 5x5m</t>
  </si>
  <si>
    <t>Spacing 10x10m</t>
  </si>
  <si>
    <t>Sesame</t>
  </si>
  <si>
    <t>Acacia senegal (gum-arabic tree)</t>
  </si>
  <si>
    <t>Ivory Coast</t>
  </si>
  <si>
    <t>Schroth &amp;Zech 1995</t>
  </si>
  <si>
    <t>Gliricidia sepium_alley cropping</t>
  </si>
  <si>
    <t>Tonye &amp; Titi-Nwel 1995</t>
  </si>
  <si>
    <t>Matomb</t>
  </si>
  <si>
    <t>Groundnuts and maize</t>
  </si>
  <si>
    <t>Rivest &amp; Vezina 2014</t>
  </si>
  <si>
    <t>Canada</t>
  </si>
  <si>
    <t>Les Cedres</t>
  </si>
  <si>
    <t>St-Polycarpe</t>
  </si>
  <si>
    <t>St-Telesphore</t>
  </si>
  <si>
    <t>St-Prime</t>
  </si>
  <si>
    <t>Southern Quebec</t>
  </si>
  <si>
    <t>No-windbreaks</t>
  </si>
  <si>
    <t>Picea glauca</t>
  </si>
  <si>
    <t>Windbreaks (40 years old tree)</t>
  </si>
  <si>
    <t>Fraxinus pennsylvanica</t>
  </si>
  <si>
    <t>Windbreaks (12 years old tree)</t>
  </si>
  <si>
    <t>Pinus sylvestris</t>
  </si>
  <si>
    <t>Larix laricina and White spruce</t>
  </si>
  <si>
    <t>Windbreaks (25 years old trees)</t>
  </si>
  <si>
    <t>Data obtained with plot digitzer</t>
  </si>
  <si>
    <t>Burgess et al 2005</t>
  </si>
  <si>
    <t>England</t>
  </si>
  <si>
    <t>Cirencester</t>
  </si>
  <si>
    <t>Leeds</t>
  </si>
  <si>
    <t>Silsoe</t>
  </si>
  <si>
    <t>Poplar</t>
  </si>
  <si>
    <t>Xia et al 2013</t>
  </si>
  <si>
    <t>Baiyun Experimental Station</t>
  </si>
  <si>
    <t>Maize-Chickpea</t>
  </si>
  <si>
    <t>Maize-soybean</t>
  </si>
  <si>
    <t>Maize-rape or turnip</t>
  </si>
  <si>
    <t>Marcillo and Miguez 2017</t>
  </si>
  <si>
    <t>United States and Canada</t>
  </si>
  <si>
    <t>Winter cover crop (grass)</t>
  </si>
  <si>
    <t>Winter cover crop (mixture)</t>
  </si>
  <si>
    <t>Winter cover crop (legume)</t>
  </si>
  <si>
    <t>grass</t>
  </si>
  <si>
    <t>mixture</t>
  </si>
  <si>
    <t>legume</t>
  </si>
  <si>
    <t>Boffa et al 2000</t>
  </si>
  <si>
    <t>Kaya and Nair 2001</t>
  </si>
  <si>
    <t>Mali</t>
  </si>
  <si>
    <t>Koutiala region</t>
  </si>
  <si>
    <t>N’Goukan</t>
  </si>
  <si>
    <t>Natural grass fallow</t>
  </si>
  <si>
    <t>Pterocarpus erinaceus</t>
  </si>
  <si>
    <t>Stylosanthes hamata</t>
  </si>
  <si>
    <t>Gliricidia sepium + Stylosanthes hamata</t>
  </si>
  <si>
    <t>Pterocarpus erinaceus + Stylosanthus hamata</t>
  </si>
  <si>
    <t>Masse et al 2004</t>
  </si>
  <si>
    <t>Sonkorong</t>
  </si>
  <si>
    <t>Sare Yorobana</t>
  </si>
  <si>
    <t>Pearl millet</t>
  </si>
  <si>
    <t>Natural vegetation fallow</t>
  </si>
  <si>
    <t>Acacia holosericia</t>
  </si>
  <si>
    <t>Andropogon gayanus</t>
  </si>
  <si>
    <t>Woody perennial</t>
  </si>
  <si>
    <t>Herbaceous perennial</t>
  </si>
  <si>
    <t>Ndiaye et al 2010</t>
  </si>
  <si>
    <t>Nioro du Rip</t>
  </si>
  <si>
    <t>Gliricida sepium</t>
  </si>
  <si>
    <t>Zougmore et al 2000</t>
  </si>
  <si>
    <t>Saria</t>
  </si>
  <si>
    <t>Niger</t>
  </si>
  <si>
    <t>Sadore</t>
  </si>
  <si>
    <t>Groundnut</t>
  </si>
  <si>
    <t>Cowpea-sorghum</t>
  </si>
  <si>
    <t>Eichler-Löbermann et al 2008</t>
  </si>
  <si>
    <t>Germany</t>
  </si>
  <si>
    <t>near Rostock</t>
  </si>
  <si>
    <t>No cover crop</t>
  </si>
  <si>
    <t>Raphanus sativus</t>
  </si>
  <si>
    <t>Cover crop buckwheat</t>
  </si>
  <si>
    <t>Cover crop oil radish</t>
  </si>
  <si>
    <t>Cover crop serradella</t>
  </si>
  <si>
    <t>Cover crop ryegrass</t>
  </si>
  <si>
    <t>Cover crop phacelia</t>
  </si>
  <si>
    <t>Ornithopus sativus</t>
  </si>
  <si>
    <t>Lolium sp.</t>
  </si>
  <si>
    <t>Phacelia tanacetifolia</t>
  </si>
  <si>
    <t>Wheat</t>
  </si>
  <si>
    <t>Oilseed rape</t>
  </si>
  <si>
    <t>Rick et al 2011</t>
  </si>
  <si>
    <t>Big Sandy</t>
  </si>
  <si>
    <t>No fertilzation</t>
  </si>
  <si>
    <t>333kg/ha phosphate rock</t>
  </si>
  <si>
    <t>834kg/ha phosphate rock</t>
  </si>
  <si>
    <t>Cover crop yellow mustard</t>
  </si>
  <si>
    <t>Cover crop pea</t>
  </si>
  <si>
    <t>Sinapsis alba</t>
  </si>
  <si>
    <t>Pisum sativum</t>
  </si>
  <si>
    <t>Fagopyrum esculentum</t>
  </si>
  <si>
    <t>Takeda et al 2009</t>
  </si>
  <si>
    <t>Japan</t>
  </si>
  <si>
    <t>Brassica napus</t>
  </si>
  <si>
    <t>Cover crop Brassica napus</t>
  </si>
  <si>
    <t>Secale cereale</t>
  </si>
  <si>
    <t>Cover crop rye</t>
  </si>
  <si>
    <t>Vanlauwe et al 2000</t>
  </si>
  <si>
    <t>Kasuwan Magani</t>
  </si>
  <si>
    <t>Cover crop Mucuna pruriens</t>
  </si>
  <si>
    <t>Mucuna pruriens</t>
  </si>
  <si>
    <t>Slope no P fert</t>
  </si>
  <si>
    <t>Valley no P fert</t>
  </si>
  <si>
    <t>Plateau no P fert</t>
  </si>
  <si>
    <t>Cover crop Lablab</t>
  </si>
  <si>
    <t>Northern Guinea</t>
  </si>
  <si>
    <t>Cover crop hairy vetch</t>
  </si>
  <si>
    <t>Vicia sp</t>
  </si>
  <si>
    <t>Mbuthia et al 2015</t>
  </si>
  <si>
    <t>Tennesee</t>
  </si>
  <si>
    <t>Jackson</t>
  </si>
  <si>
    <t>Cover crop wheat</t>
  </si>
  <si>
    <t>Vicia sativa</t>
  </si>
  <si>
    <t>Avena sp.</t>
  </si>
  <si>
    <t>Ro et al 2016</t>
  </si>
  <si>
    <t>Cambodia</t>
  </si>
  <si>
    <t>Takeo province</t>
  </si>
  <si>
    <t>Rice</t>
  </si>
  <si>
    <t>Vigna radiata</t>
  </si>
  <si>
    <t>P application to main crop_2013</t>
  </si>
  <si>
    <t>P application to cover crop_2014</t>
  </si>
  <si>
    <t>Infertile fluvisoil</t>
  </si>
  <si>
    <t>Moderately fertile fluvisoil</t>
  </si>
  <si>
    <t>P application to cover crop_2013</t>
  </si>
  <si>
    <t>P application to main crop_2014</t>
  </si>
  <si>
    <t>Oikeh et al 2008</t>
  </si>
  <si>
    <t>Cover crop mungbean</t>
  </si>
  <si>
    <t>Danane</t>
  </si>
  <si>
    <t>Aeschynomene histrix</t>
  </si>
  <si>
    <t>Cajanus cajan</t>
  </si>
  <si>
    <t>Canavalia ensiformis</t>
  </si>
  <si>
    <t>Cassia tora</t>
  </si>
  <si>
    <t>Eupatorium odorata</t>
  </si>
  <si>
    <t>Crotalaria sp.</t>
  </si>
  <si>
    <t>Crotalaria sp. (Cameroun)</t>
  </si>
  <si>
    <t>Dolichos lablab</t>
  </si>
  <si>
    <t>Mucuna pruriens cochinchinensis</t>
  </si>
  <si>
    <t>Oryza glaberrima (CG 14)</t>
  </si>
  <si>
    <t>Psophocarpus tetragonolobus</t>
  </si>
  <si>
    <t>Pueraria phaseoloides</t>
  </si>
  <si>
    <t>Sesbania acculata  pachycarpa</t>
  </si>
  <si>
    <t>Stylosanthes guianensis</t>
  </si>
  <si>
    <t>Tithonia diversifolia</t>
  </si>
  <si>
    <t>Tephrosia purpurea</t>
  </si>
  <si>
    <t>Cover crop Aeschynomene histrix</t>
  </si>
  <si>
    <t>Cover crop Cajanus cajan</t>
  </si>
  <si>
    <t>Cover crop Cajanus ensifromis</t>
  </si>
  <si>
    <t>Cover crop Cassia tora</t>
  </si>
  <si>
    <t>Cover crop Eupatorium odorata</t>
  </si>
  <si>
    <t>Cover crop Crotalaria sp.</t>
  </si>
  <si>
    <t>Cover crop Crotalaria sp. Cameroun</t>
  </si>
  <si>
    <t>Cover crop Dolichos lablab</t>
  </si>
  <si>
    <t>Cover crop Mucuna pruriens cochinchinensis</t>
  </si>
  <si>
    <t>Cover crop Oryza glaberrima (CG 14)</t>
  </si>
  <si>
    <t>Cover crop Psophocarpus tetragonolobus</t>
  </si>
  <si>
    <t>Cover crop Pueraria phaseoloides</t>
  </si>
  <si>
    <t>Cover crop Sesbania acculata  pachycarpa</t>
  </si>
  <si>
    <t>Cover crop Stylosanthes guianensis</t>
  </si>
  <si>
    <t>Cover crop Tithonia diversifolia</t>
  </si>
  <si>
    <t>Cover crop Tephrosia purpurea</t>
  </si>
  <si>
    <t>Cover crop Vigna radiata</t>
  </si>
  <si>
    <t>Maltais-Landry et al 2015</t>
  </si>
  <si>
    <t>Cover crops mix of pea, vetch and oat</t>
  </si>
  <si>
    <t>Mix of pea, vetch and oat</t>
  </si>
  <si>
    <t>White et al 2010</t>
  </si>
  <si>
    <t>Cover crop radish</t>
  </si>
  <si>
    <t>Cover crops mix of radish and rye</t>
  </si>
  <si>
    <t>Mix of radish and rye</t>
  </si>
  <si>
    <t>University of Maryland Central Maryland Research and Education Center</t>
  </si>
  <si>
    <t>Maize (sillage)</t>
  </si>
  <si>
    <t>USDA Beltsville Agricultural Research Center North Farm (BARC NF)</t>
  </si>
  <si>
    <t>USDA Beltsville Agricultural Research Center South Farm (BARC-SF)</t>
  </si>
  <si>
    <t>Boswell et al 1998</t>
  </si>
  <si>
    <t>Jensen et al 2005</t>
  </si>
  <si>
    <t>Denmark</t>
  </si>
  <si>
    <t>Cover crop Italian ryegrass</t>
  </si>
  <si>
    <t>Cover crop Lupine</t>
  </si>
  <si>
    <t>Cover crop Chicory</t>
  </si>
  <si>
    <t>Cover crop Rumex</t>
  </si>
  <si>
    <t>Cover crop Kidney vetch</t>
  </si>
  <si>
    <t>KVL Experimental Research Farm</t>
  </si>
  <si>
    <t>Chicory</t>
  </si>
  <si>
    <t>Rumex</t>
  </si>
  <si>
    <t>Lupinus sp.</t>
  </si>
  <si>
    <t>Kidney Vetch</t>
  </si>
  <si>
    <t>Philipines</t>
  </si>
  <si>
    <t>Sesbania acculata rostrata</t>
  </si>
  <si>
    <t>Lucena</t>
  </si>
  <si>
    <t>Quezon</t>
  </si>
  <si>
    <t>Medhi &amp; De Datta 1996</t>
  </si>
  <si>
    <t>20kgPfert/ha to rice</t>
  </si>
  <si>
    <t>40kgPfert/ha to rice</t>
  </si>
  <si>
    <t>20kgPfert/ha to cover crop</t>
  </si>
  <si>
    <t>40kgPfert/ha to cover crop</t>
  </si>
  <si>
    <t>Cover crop Sesbania acculata rostrata</t>
  </si>
  <si>
    <t>Weerakoon et al 1992</t>
  </si>
  <si>
    <t>Sri Lanka</t>
  </si>
  <si>
    <t>Cover crop Sesbania acculata  speciosa</t>
  </si>
  <si>
    <t>Sesbania acculata speciosa</t>
  </si>
  <si>
    <t>Pavinato et al 2017</t>
  </si>
  <si>
    <t>Brazil</t>
  </si>
  <si>
    <t>Cover crop vetch</t>
  </si>
  <si>
    <t>Cover crop lupin</t>
  </si>
  <si>
    <t>Cover crop black oat</t>
  </si>
  <si>
    <t>Cover crop clover</t>
  </si>
  <si>
    <t>Vetch</t>
  </si>
  <si>
    <t>Lupin</t>
  </si>
  <si>
    <t>Radish</t>
  </si>
  <si>
    <t>Ryegrass</t>
  </si>
  <si>
    <t>Clover</t>
  </si>
  <si>
    <t>Black oat</t>
  </si>
  <si>
    <t>2010/2011</t>
  </si>
  <si>
    <t>Karasawa and Takahashi 2015</t>
  </si>
  <si>
    <t>Buckwheat</t>
  </si>
  <si>
    <t>Crotalaria</t>
  </si>
  <si>
    <t>Cover crop sorghum</t>
  </si>
  <si>
    <t>Cover crop groundnut</t>
  </si>
  <si>
    <t>Cover crop crotalaria</t>
  </si>
  <si>
    <t>Lupinus</t>
  </si>
  <si>
    <t>Cover crop lupinus</t>
  </si>
  <si>
    <t>Cover crop secale cereale</t>
  </si>
  <si>
    <t>Cover crop vicia sp</t>
  </si>
  <si>
    <t>Cover crop avena sp</t>
  </si>
  <si>
    <t>Somado et al 2003</t>
  </si>
  <si>
    <t>Aeschynomene afraspera</t>
  </si>
  <si>
    <t>Cover crop Aeschynomene afraspera</t>
  </si>
  <si>
    <t>No P fertilizer</t>
  </si>
  <si>
    <t>Phosphate rock</t>
  </si>
  <si>
    <t>Triple Super Phosphate</t>
  </si>
  <si>
    <t>Buyer et al 2010</t>
  </si>
  <si>
    <t>Maryland</t>
  </si>
  <si>
    <t>Beltsville</t>
  </si>
  <si>
    <t>Tomato</t>
  </si>
  <si>
    <t>Cover crop vicia villosa</t>
  </si>
  <si>
    <t>Vicia villosa</t>
  </si>
  <si>
    <t>Wang et al 2008</t>
  </si>
  <si>
    <t>Onion</t>
  </si>
  <si>
    <t>Cover crop sorghum sudangrass</t>
  </si>
  <si>
    <t>Cover crop brown mustard</t>
  </si>
  <si>
    <t>Cover crop oilseed radish</t>
  </si>
  <si>
    <t>Cover crop oriental mustard</t>
  </si>
  <si>
    <t>Brassica juncea 'common brown'</t>
  </si>
  <si>
    <t>Brassica juncea 'forge'</t>
  </si>
  <si>
    <t>Sorghum bicolor × S. sudanense ‘Honey Sweet’</t>
  </si>
  <si>
    <t>Rutunga et al 2008</t>
  </si>
  <si>
    <t>Tephrosia vogelii</t>
  </si>
  <si>
    <t>Tithonia  diversifolia(Hemsl.)</t>
  </si>
  <si>
    <t>near Maseno Agroforestry Research Centre</t>
  </si>
  <si>
    <t>1997/1998</t>
  </si>
  <si>
    <t>1998/1999</t>
  </si>
  <si>
    <t>Gao et al 2013</t>
  </si>
  <si>
    <t>Shanxi province</t>
  </si>
  <si>
    <t>Baidong</t>
  </si>
  <si>
    <t>Apple alley cropping</t>
  </si>
  <si>
    <t>Peanut</t>
  </si>
  <si>
    <t>Malus pumila</t>
  </si>
  <si>
    <t>Reynolds et al 2007</t>
  </si>
  <si>
    <t>Ontario</t>
  </si>
  <si>
    <t>Guelph</t>
  </si>
  <si>
    <t>Alley cropping Poplar</t>
  </si>
  <si>
    <t>Alley cropping Maple</t>
  </si>
  <si>
    <t>Maple</t>
  </si>
  <si>
    <t>Stamps et al 2009</t>
  </si>
  <si>
    <t>Missouri</t>
  </si>
  <si>
    <t>Hammons Products Sho-Neff Black Walnut
Plantation</t>
  </si>
  <si>
    <t>Crop monoculture</t>
  </si>
  <si>
    <t>Tree alleyways</t>
  </si>
  <si>
    <t>Black walnut</t>
  </si>
  <si>
    <t>Morugan-Coronado et al 2020</t>
  </si>
  <si>
    <t>Spain, Italy, France, Portugal, Greece,
Turkey, Slovenia, Tunisia, Chile and the United States of America</t>
  </si>
  <si>
    <t>Mediterranean conditions</t>
  </si>
  <si>
    <t>Grapevines (Vitis vinifera L.), olive trees (Olea
europaea L.), almond trees (Prunus dulcis
(Mill.) D.A. Webb), citrus trees (Citrus x
sinensis Osbeck, Citrus x limon (L.) Osbeck), avocado (Persea americana Mill.), carob (Ceratonia siliqua L.), peach (Prunus persica (L.) Stokes), chestnut (Castanea sativa Mill.) and walnut (Juglans regia L.).</t>
  </si>
  <si>
    <t>Annual cover crops</t>
  </si>
  <si>
    <t>Mohsenabadi et al 2008</t>
  </si>
  <si>
    <t>Barley-vetch</t>
  </si>
  <si>
    <t>Agegnehu et al 2006</t>
  </si>
  <si>
    <t>Gunes et al 2007</t>
  </si>
  <si>
    <t>Neumann et al 2007</t>
  </si>
  <si>
    <t>Song et al 2007</t>
  </si>
  <si>
    <t>Ghaley et al 2005</t>
  </si>
  <si>
    <t>Hauggaard-Nielsen et al 2008</t>
  </si>
  <si>
    <t>Jensen 1996</t>
  </si>
  <si>
    <t>Helenius &amp; Jokinen 1994</t>
  </si>
  <si>
    <t>Barley-faba bean</t>
  </si>
  <si>
    <t>Wheat-Chickpea</t>
  </si>
  <si>
    <t>Oat-pea</t>
  </si>
  <si>
    <t>Wheat-Pea</t>
  </si>
  <si>
    <t>Barley-(Pea/Faba  bean/Lupin)</t>
  </si>
  <si>
    <t>Barley-Pea</t>
  </si>
  <si>
    <t>Oat-Bean</t>
  </si>
  <si>
    <t>LL_CI_LERt</t>
  </si>
  <si>
    <t>UL_CI_LERt</t>
  </si>
  <si>
    <t>Karaj</t>
  </si>
  <si>
    <t xml:space="preserve">Holetta Agricultural Research Centre </t>
  </si>
  <si>
    <t>Turkiye</t>
  </si>
  <si>
    <t>Ankara</t>
  </si>
  <si>
    <t>Göttingen</t>
  </si>
  <si>
    <t>Baiyun</t>
  </si>
  <si>
    <t>Wheat-Faba bean</t>
  </si>
  <si>
    <t>Wheat-Maize</t>
  </si>
  <si>
    <t>SC_1_SE</t>
  </si>
  <si>
    <t>SC_2_SE</t>
  </si>
  <si>
    <t>SC_3_SE</t>
  </si>
  <si>
    <t>Experimental Farm of The Royal Veterinary and Agricultural University</t>
  </si>
  <si>
    <t>No N fert</t>
  </si>
  <si>
    <t>Medium N fert</t>
  </si>
  <si>
    <t>&lt;50</t>
  </si>
  <si>
    <t>Finland</t>
  </si>
  <si>
    <t>Helsinki</t>
  </si>
  <si>
    <t>&lt;80</t>
  </si>
  <si>
    <t>Thapa et al 2018_b</t>
  </si>
  <si>
    <t>Non leguminous</t>
  </si>
  <si>
    <t>Leguminous</t>
  </si>
  <si>
    <t>Mahal et al 2018</t>
  </si>
  <si>
    <t>Campanha et al 2004</t>
  </si>
  <si>
    <t>Minas Gerais State</t>
  </si>
  <si>
    <t>Viçosa</t>
  </si>
  <si>
    <t>Coffee under native trees and fruit trees</t>
  </si>
  <si>
    <t>Coffee monoculture</t>
  </si>
  <si>
    <t>Coffee</t>
  </si>
  <si>
    <t>Casuarina equisetifolia
Eugenia uniflora
Licania tomentosa
Hovenia dulcis
Mangifera indica
Eriobotrya japonica
Anandenanthera sp.
Schizolobium parahyba
Persea americana
Tabebuia sp.
Piptadenia gonoacantha
Spathodea campanulata
Senna macranthera
Myrciaria jaboticaba
Psidium guajava
Cecropia sp.
Prunus persica
Citrus sp.
Luehea divaricata
Carica papaya
Myrcianthes sp.
Eugenia jambos
Rapanea ferruginea
Eugenia sp.
Machaerium sp.</t>
  </si>
  <si>
    <t>Gockowski et al 2013</t>
  </si>
  <si>
    <t>Ghana</t>
  </si>
  <si>
    <t>Cocoa</t>
  </si>
  <si>
    <t>Sun-grown cocoa</t>
  </si>
  <si>
    <t xml:space="preserve">Western region </t>
  </si>
  <si>
    <t>Medium-shade Rainforest Alliance certified</t>
  </si>
  <si>
    <t>12 indigenous timber species</t>
  </si>
  <si>
    <t>Medium-shade extensive</t>
  </si>
  <si>
    <t>Gordon et al 2007</t>
  </si>
  <si>
    <t>Mexico</t>
  </si>
  <si>
    <t>central Veracruz</t>
  </si>
  <si>
    <t>Bajo Monte agroforest</t>
  </si>
  <si>
    <t>Sun-grown</t>
  </si>
  <si>
    <t>El Mirador</t>
  </si>
  <si>
    <t>Diversity of forest remnant trees</t>
  </si>
  <si>
    <t>Commercial polyculture</t>
  </si>
  <si>
    <t>Enterolobium</t>
  </si>
  <si>
    <t>Inga</t>
  </si>
  <si>
    <t>Shaded monoculture</t>
  </si>
  <si>
    <t>Rwanda</t>
  </si>
  <si>
    <t>Ramirez et al 2001</t>
  </si>
  <si>
    <t>Panama</t>
  </si>
  <si>
    <t>Changuinola</t>
  </si>
  <si>
    <t>Monocultures</t>
  </si>
  <si>
    <t>Cacao and plantain</t>
  </si>
  <si>
    <t>Laurel</t>
  </si>
  <si>
    <t>Planting density cacao:plantain 1:1_1992</t>
  </si>
  <si>
    <t>Planting density cacao:plantain 1:1_1993</t>
  </si>
  <si>
    <t>Planting density cacao:plantain 1:1_1994</t>
  </si>
  <si>
    <t>Planting density cacao:plantain 1:1_1995</t>
  </si>
  <si>
    <t>Planting density cacao:plantain 1:1_1996</t>
  </si>
  <si>
    <t>Planting density cacao:plantain 1:1_1997</t>
  </si>
  <si>
    <t>Planting density cacao:plantain 1:1_1998</t>
  </si>
  <si>
    <t>Planting density cacao:plantain 2:1_1992</t>
  </si>
  <si>
    <t>Planting density cacao:plantain 2:1_1993</t>
  </si>
  <si>
    <t>Planting density cacao:plantain 2:1_1994</t>
  </si>
  <si>
    <t>Planting density cacao:plantain 2:1_1995</t>
  </si>
  <si>
    <t>Planting density cacao:plantain 2:1_1996</t>
  </si>
  <si>
    <t>Planting density cacao:plantain 2:1_1997</t>
  </si>
  <si>
    <t>Planting density cacao:plantain 2:1_1998</t>
  </si>
  <si>
    <t>Planting density cacao:plantain 3:1_1992</t>
  </si>
  <si>
    <t>Planting density cacao:plantain 3:1_1993</t>
  </si>
  <si>
    <t>Planting density cacao:plantain 3:1_1994</t>
  </si>
  <si>
    <t>Planting density cacao:plantain 3:1_1995</t>
  </si>
  <si>
    <t>Planting density cacao:plantain 3:1_1996</t>
  </si>
  <si>
    <t>Planting density cacao:plantain 3:1_1997</t>
  </si>
  <si>
    <t>Planting density cacao:plantain 3:1_1998</t>
  </si>
  <si>
    <t>Planting density cacao:plantain 1:2_1992</t>
  </si>
  <si>
    <t>Planting density cacao:plantain 1:2_1993</t>
  </si>
  <si>
    <t>Planting density cacao:plantain 1:2_1994</t>
  </si>
  <si>
    <t>Planting density cacao:plantain 1:2_1995</t>
  </si>
  <si>
    <t>Planting density cacao:plantain 1:2_1996</t>
  </si>
  <si>
    <t>Planting density cacao:plantain 1:2_1997</t>
  </si>
  <si>
    <t>Planting density cacao:plantain 1:2_1998</t>
  </si>
  <si>
    <t>Planting density cacao:plantain 1:3_1992</t>
  </si>
  <si>
    <t>Planting density cacao:plantain 1:3_1993</t>
  </si>
  <si>
    <t>Planting density cacao:plantain 1:3_1994</t>
  </si>
  <si>
    <t>Planting density cacao:plantain 1:3_1995</t>
  </si>
  <si>
    <t>Planting density cacao:plantain 1:3_1996</t>
  </si>
  <si>
    <t>Planting density cacao:plantain 1:3_1997</t>
  </si>
  <si>
    <t>Planting density cacao:plantain 1:3_1998</t>
  </si>
  <si>
    <t>Planting density 2222plants/ha cacao:plantain 1:1(additive treatment)_1992</t>
  </si>
  <si>
    <t>Planting density 2222plants/ha cacao:plantain 1:1(additive treatment)_1993</t>
  </si>
  <si>
    <t>Planting density 2222plants/ha cacao:plantain 1:1(additive treatment)_1994</t>
  </si>
  <si>
    <t>Planting density 2222plants/ha cacao:plantain 1:1(additive treatment)_1995</t>
  </si>
  <si>
    <t>Planting density 2222plants/ha cacao:plantain 1:1(additive treatment)_1996</t>
  </si>
  <si>
    <t>Planting density 2222plants/ha cacao:plantain 1:1(additive treatment)_1997</t>
  </si>
  <si>
    <t>Planting density 2222plants/ha cacao:plantain 1:1(additive treatment)_1998</t>
  </si>
  <si>
    <t>Sanchez de Leon et al 2006</t>
  </si>
  <si>
    <t>Costa Rica</t>
  </si>
  <si>
    <t>Turrialba</t>
  </si>
  <si>
    <t>Centro Agronómico Tropical de Investigación y Enseñanza</t>
  </si>
  <si>
    <t>High conventional intensity</t>
  </si>
  <si>
    <t>Medium conventional intensity</t>
  </si>
  <si>
    <t>Year</t>
  </si>
  <si>
    <t>Short rains</t>
  </si>
  <si>
    <t>Long rains</t>
  </si>
  <si>
    <t>2006/2007</t>
  </si>
  <si>
    <t>2007/2008</t>
  </si>
  <si>
    <t>Terminalia Amazonia</t>
  </si>
  <si>
    <t>Leguminous tree</t>
  </si>
  <si>
    <t>Non-leguminous timber species</t>
  </si>
  <si>
    <t>Souza et al 2010</t>
  </si>
  <si>
    <t>Minas Gerais</t>
  </si>
  <si>
    <t>Zona da Mata</t>
  </si>
  <si>
    <t>Trees: leguminous and fruit trees like papaya, banana, citrus, mango, avocado, guava, fack fruit, ficus</t>
  </si>
  <si>
    <t>No data about wood production or fruit production of other agroforestry products, only income due to other products is given</t>
  </si>
  <si>
    <t>Miguez and Bollero 2005</t>
  </si>
  <si>
    <t>USA and Canada</t>
  </si>
  <si>
    <t>Grass</t>
  </si>
  <si>
    <t>Legume</t>
  </si>
  <si>
    <t>Grass and legume</t>
  </si>
  <si>
    <t>Yu et al 2015</t>
  </si>
  <si>
    <t>Daryanto et al 2020</t>
  </si>
  <si>
    <t>Grain legumes and cereals</t>
  </si>
  <si>
    <t>Kuyah et al 2019</t>
  </si>
  <si>
    <t>Sub-Saharian Africa</t>
  </si>
  <si>
    <t>Alley cropping</t>
  </si>
  <si>
    <t>Hedgerows</t>
  </si>
  <si>
    <t>Scattered trees in crop fields</t>
  </si>
  <si>
    <t>Xu et al 2020</t>
  </si>
  <si>
    <t>Continuous monoculture</t>
  </si>
  <si>
    <t>Alvarez et al 2017</t>
  </si>
  <si>
    <t>Argentine Pampa</t>
  </si>
  <si>
    <t>Argentina</t>
  </si>
  <si>
    <t>Bare fallow</t>
  </si>
  <si>
    <t>Rye
Oat
Triticosecale
Ryegrass
Barley
Rescue grass
Wheat
Corn
Rape
Forage radish</t>
  </si>
  <si>
    <t>Hairy vetch
Common vetch
Clover</t>
  </si>
  <si>
    <t>Biculture</t>
  </si>
  <si>
    <t>Hairy vetch
Common vetch
Clover
Oat and Vicia sp
Rye
Oat
Triticosecale
Ryegrass
Barley
Rescue grass
Wheat
Corn
Rape
Forage radish</t>
  </si>
  <si>
    <t>Biculture (cereal and legume)</t>
  </si>
  <si>
    <t>Namatsheve et al 2020</t>
  </si>
  <si>
    <t>Cowpea-maize</t>
  </si>
  <si>
    <t>Cowpea-pearl millet</t>
  </si>
  <si>
    <t>Strip intercropping</t>
  </si>
  <si>
    <t>Strip (553 data records), row (76) and mixed (25) intercropping</t>
  </si>
  <si>
    <t>Cowpea sowing time 0</t>
  </si>
  <si>
    <t>Cowpea sowing time 1</t>
  </si>
  <si>
    <t>Cowpea sowing time 2</t>
  </si>
  <si>
    <t>1989-1990</t>
  </si>
  <si>
    <t>1990-1991</t>
  </si>
  <si>
    <t>1991-1992</t>
  </si>
  <si>
    <t>1993-1994</t>
  </si>
  <si>
    <t>1994-1995</t>
  </si>
  <si>
    <t>1992-1993</t>
  </si>
  <si>
    <t>herbaceous perennials</t>
  </si>
  <si>
    <t>P fert</t>
  </si>
  <si>
    <t>3:1 Millet to Soybean</t>
  </si>
  <si>
    <t>2:1 Millet to Soybean</t>
  </si>
  <si>
    <t>1:1 Millet to Soybean</t>
  </si>
  <si>
    <t>Cassava variety Odongbo September</t>
  </si>
  <si>
    <t>Cassava variety Odongbo June</t>
  </si>
  <si>
    <t>Cassava variety TMS30572 June</t>
  </si>
  <si>
    <t>Cassava variety TMS30572 September</t>
  </si>
  <si>
    <t>Conservation tillage</t>
  </si>
  <si>
    <t>SC_4_SE</t>
  </si>
  <si>
    <t>Sole crop 4 mean yield</t>
  </si>
  <si>
    <t>No information about yield crop 2, but crop 2 is a push plant (for repelling pests)</t>
  </si>
  <si>
    <t>Desmodium uncinatum</t>
  </si>
  <si>
    <t>Desmodium intortum</t>
  </si>
  <si>
    <t>Desmodium sandwicense</t>
  </si>
  <si>
    <t>Desmodium pringlei</t>
  </si>
  <si>
    <t>Intercropping to reduce pests</t>
  </si>
  <si>
    <t>Purpose of intercropping was to reduce damage by pests</t>
  </si>
  <si>
    <t>Suba</t>
  </si>
  <si>
    <t>Bungoma</t>
  </si>
  <si>
    <t>Vihiga</t>
  </si>
  <si>
    <t>Busia</t>
  </si>
  <si>
    <t>Rachuinyo</t>
  </si>
  <si>
    <t>Migori</t>
  </si>
  <si>
    <t>Homabay</t>
  </si>
  <si>
    <t>Kisii</t>
  </si>
  <si>
    <t>Siaya</t>
  </si>
  <si>
    <t>Trans Nzoia</t>
  </si>
  <si>
    <t>Kuria</t>
  </si>
  <si>
    <t>Teso</t>
  </si>
  <si>
    <t>Butere-Mumias</t>
  </si>
  <si>
    <t>Bondo</t>
  </si>
  <si>
    <t>Ngeve et al 2003</t>
  </si>
  <si>
    <t>Cassava-Groundnut</t>
  </si>
  <si>
    <t>Cassava-Maize-Groundnut</t>
  </si>
  <si>
    <t>No information about yield sole crop 2, but intercrop tried to reduce pests</t>
  </si>
  <si>
    <t>No information about yield sole crop 2 and 3, but intercrop tried to reduce pests</t>
  </si>
  <si>
    <t>No information about trees growth or in this case walnut production, but they were testing whether alley cropping would help controling pests</t>
  </si>
  <si>
    <t>1997-1998</t>
  </si>
  <si>
    <t>1998-1999</t>
  </si>
  <si>
    <t>1999-2000</t>
  </si>
  <si>
    <t>No fertilizer</t>
  </si>
  <si>
    <t>Akinnifesi et al 2009</t>
  </si>
  <si>
    <t>No fertilization</t>
  </si>
  <si>
    <t>20kg/ha N</t>
  </si>
  <si>
    <t>40kg/ha N</t>
  </si>
  <si>
    <t>60kg/ha N</t>
  </si>
  <si>
    <t>Acacia ferruguinea</t>
  </si>
  <si>
    <t>No data about tree growth, but purpose of trees was to fertilize the main crop</t>
  </si>
  <si>
    <t>Chiradzulu, Machinga and Zomba</t>
  </si>
  <si>
    <t>Tephrosia candida</t>
  </si>
  <si>
    <t>No fertilizer, pigeonpea presence</t>
  </si>
  <si>
    <t>Data about wood and biomass production by trees is 4 years after planting</t>
  </si>
  <si>
    <t>1989_season1</t>
  </si>
  <si>
    <t>1989_season2</t>
  </si>
  <si>
    <t>1990_season2</t>
  </si>
  <si>
    <t>1990_season1</t>
  </si>
  <si>
    <t>1991_season1</t>
  </si>
  <si>
    <t>1991_season2</t>
  </si>
  <si>
    <t>Calliandra calothyrsus_alley cropping</t>
  </si>
  <si>
    <t>No data about tree wood production nor tree production wothout crop, but purpose of trees is to improve soil fertility</t>
  </si>
  <si>
    <t>No data about tree sole crop, but purpose of trees was increasing soil fertility</t>
  </si>
  <si>
    <t>Winter barley</t>
  </si>
  <si>
    <t>Winter beans</t>
  </si>
  <si>
    <t>Winter wheat</t>
  </si>
  <si>
    <t>Tree growth recorded in cubic meters</t>
  </si>
  <si>
    <t>Spring mustard</t>
  </si>
  <si>
    <t>Unit tree growth</t>
  </si>
  <si>
    <t>kg wood/ha</t>
  </si>
  <si>
    <t>Years after planting</t>
  </si>
  <si>
    <t>m3</t>
  </si>
  <si>
    <t>m3/ha after 4 years</t>
  </si>
  <si>
    <t>t/ha (dry weight biomass)</t>
  </si>
  <si>
    <t>per season</t>
  </si>
  <si>
    <t>m3/ha/year</t>
  </si>
  <si>
    <t>No tree only control plot. Mentioned advantages of presence of trees are: increased and diversified farm income, enhanced wildlife habitat, reduced soil erosion, and lower nutrient loading to waterways</t>
  </si>
  <si>
    <t>No data about tree growth, tree is a timber species. Purpose of study to evaluate influence of trees on SOM</t>
  </si>
  <si>
    <t>No data about tree growth, purpose of study was to study the supplu of ecosystem services by the systems with trees</t>
  </si>
  <si>
    <t>No data about production of wood, only 1 site (replicate)</t>
  </si>
  <si>
    <t>kg DM/ha/year</t>
  </si>
  <si>
    <t>Bayala 2003</t>
  </si>
  <si>
    <t>Saponé</t>
  </si>
  <si>
    <t>Karité</t>
  </si>
  <si>
    <t>Néré</t>
  </si>
  <si>
    <t>Parkland</t>
  </si>
  <si>
    <t>12.2m wide alleys</t>
  </si>
  <si>
    <t>24.4m wide alleys</t>
  </si>
  <si>
    <t>No pruning</t>
  </si>
  <si>
    <t>50% crown pruned</t>
  </si>
  <si>
    <t>100% crown pruned</t>
  </si>
  <si>
    <t>1999-2001</t>
  </si>
  <si>
    <t>1999-2002</t>
  </si>
  <si>
    <t>SC1_DM</t>
  </si>
  <si>
    <t>Depommier et al 1992</t>
  </si>
  <si>
    <t>Park 1</t>
  </si>
  <si>
    <t>Park 3</t>
  </si>
  <si>
    <t>Park 4</t>
  </si>
  <si>
    <t>Dossa et al 2012</t>
  </si>
  <si>
    <t>Keur Matar Arame</t>
  </si>
  <si>
    <t>Peanut basin</t>
  </si>
  <si>
    <t>Guiera senegalensis</t>
  </si>
  <si>
    <t>Half rate recommended fertilization</t>
  </si>
  <si>
    <t>Recommended fertilization rate</t>
  </si>
  <si>
    <t>1.5 times recommended fertilization rate</t>
  </si>
  <si>
    <t>Dossa et al 2013</t>
  </si>
  <si>
    <t>Nioro</t>
  </si>
  <si>
    <t>Piliostigma reticulatum</t>
  </si>
  <si>
    <t>Pouliot et al 2011</t>
  </si>
  <si>
    <t>Nobéré</t>
  </si>
  <si>
    <t>Parkia biglobosa</t>
  </si>
  <si>
    <t>Taro</t>
  </si>
  <si>
    <t>Eggplant</t>
  </si>
  <si>
    <t>Chilli pepper</t>
  </si>
  <si>
    <t>Sanou et al 2011</t>
  </si>
  <si>
    <t>Baobab (Adansonia digitata)</t>
  </si>
  <si>
    <t>Néré (Parkia biglobosa)</t>
  </si>
  <si>
    <t>2006, 2007 &amp; 2008</t>
  </si>
  <si>
    <t>Tamarind (Tamarindus indica)</t>
  </si>
  <si>
    <t>Sidibe 2010</t>
  </si>
  <si>
    <t>Siramana</t>
  </si>
  <si>
    <t>Tiakadougou</t>
  </si>
  <si>
    <t>African eggplant</t>
  </si>
  <si>
    <t>Adu-Gyamfi et al 1997</t>
  </si>
  <si>
    <t>Patancheru</t>
  </si>
  <si>
    <t xml:space="preserve">ICRISAT Asia Center
</t>
  </si>
  <si>
    <t>Unfertilized</t>
  </si>
  <si>
    <t>50kgN/ha at planting</t>
  </si>
  <si>
    <t>50kgN/ha 40 days after sowing</t>
  </si>
  <si>
    <t>Sorghum-Pigeonpea</t>
  </si>
  <si>
    <t>Row mixed intercropping</t>
  </si>
  <si>
    <t>Cardoso et al 2007</t>
  </si>
  <si>
    <t>Sete Lagoas County</t>
  </si>
  <si>
    <t>Maize-Common bean</t>
  </si>
  <si>
    <t>Carioca bean variety_No inocultation_Unfertilized</t>
  </si>
  <si>
    <t>Carioca bean variety_No inocultation_20kgN/ha</t>
  </si>
  <si>
    <t>Carioca bean variety_No inocultation_40kgN/ha</t>
  </si>
  <si>
    <t>Carioca bean variety_Inocultated_Unfertilized</t>
  </si>
  <si>
    <t>Carioca bean variety_Inoculated_20kgN/ha</t>
  </si>
  <si>
    <t>Carioca bean variety_Inoculated_40kgN/ha</t>
  </si>
  <si>
    <t>Rio Tibagi bean variety_No inocultation_Unfertilized</t>
  </si>
  <si>
    <t>Rio Tibagi bean variety_No inocultation_20kgN/ha</t>
  </si>
  <si>
    <t>Rio Tibagi bean variety_No inocultation_40kgN/ha</t>
  </si>
  <si>
    <t>Rio Tibagi bean variety_Inocultated_Unfertilized</t>
  </si>
  <si>
    <t>Rio Tibagi bean variety_Inoculated_20kgN/ha</t>
  </si>
  <si>
    <t>Rio Tibagi bean variety_Inoculated_40kgN/ha</t>
  </si>
  <si>
    <t>Philippines</t>
  </si>
  <si>
    <t>Los Banos</t>
  </si>
  <si>
    <t>Maize-Mungbean</t>
  </si>
  <si>
    <t>30kgN/ha to maize</t>
  </si>
  <si>
    <t>60kgN/ha to maize</t>
  </si>
  <si>
    <t>90kgN/ha to maize</t>
  </si>
  <si>
    <t>Chowdhury and Rosario 1992</t>
  </si>
  <si>
    <t>Oroka and Omeregie 2007</t>
  </si>
  <si>
    <t>Agbarho</t>
  </si>
  <si>
    <t>Experimental farm of Delta State Agricultural Development Project (ADP)</t>
  </si>
  <si>
    <t>Rice-Cowpea</t>
  </si>
  <si>
    <t>Unfertilized_50000plants/ha</t>
  </si>
  <si>
    <t>15kgN/ha_50000plants/ha</t>
  </si>
  <si>
    <t>30kgN/ha_50000plants/ha</t>
  </si>
  <si>
    <t>45kgN/ha_50000plants/ha</t>
  </si>
  <si>
    <t>2002 and 2003</t>
  </si>
  <si>
    <t>Unfertilized_100000plants/ha</t>
  </si>
  <si>
    <t>15kgN/ha_100000plants/ha</t>
  </si>
  <si>
    <t>30kgN/ha_100000plants/ha</t>
  </si>
  <si>
    <t>45kgN/ha_100000plants/ha</t>
  </si>
  <si>
    <t>Unfertilized_200000plants/ha</t>
  </si>
  <si>
    <t>15kgN/ha_200000plants/ha</t>
  </si>
  <si>
    <t>30kgN/ha_200000plants/ha</t>
  </si>
  <si>
    <t>45kgN/ha_200000plants/ha</t>
  </si>
  <si>
    <t>Pelzer et al 2012</t>
  </si>
  <si>
    <t>Pea-wheat</t>
  </si>
  <si>
    <t>France</t>
  </si>
  <si>
    <t>2006 and 2007</t>
  </si>
  <si>
    <t>Villiers en Désoeuvre, Melle, Thorigné, La Jailliere, Mons, Mirecourt, Auch, Lusignan, Grignon</t>
  </si>
  <si>
    <t>Fertilized</t>
  </si>
  <si>
    <t>2007 and 2007</t>
  </si>
  <si>
    <t>Fallow</t>
  </si>
  <si>
    <t>Hagedorn et al 1997</t>
  </si>
  <si>
    <t>Relay intercropping with tree</t>
  </si>
  <si>
    <t>Sorghum and Bean</t>
  </si>
  <si>
    <t>Rubona</t>
  </si>
  <si>
    <t>Rwandan Institute of Agriculture (ISAR)</t>
  </si>
  <si>
    <t>1989-1994</t>
  </si>
  <si>
    <t>Relay intercropping</t>
  </si>
  <si>
    <t>No data about tree growth or biomass, but tree used to fertilise</t>
  </si>
  <si>
    <t>Kaizzi et al 2007</t>
  </si>
  <si>
    <t>Kadesok</t>
  </si>
  <si>
    <t>Opwatetta</t>
  </si>
  <si>
    <t>Kapolin</t>
  </si>
  <si>
    <t>Usuk Sandy Farm-Grasslands</t>
  </si>
  <si>
    <t>Southern Lake Kyoga Basin</t>
  </si>
  <si>
    <t>Eastern Lake Kyoga Basin</t>
  </si>
  <si>
    <t>Increase soil fertility with secondary crop</t>
  </si>
  <si>
    <t>Cinzana Research Station</t>
  </si>
  <si>
    <t>Segou area</t>
  </si>
  <si>
    <t>Sesbania rostrata</t>
  </si>
  <si>
    <t>Kouyaté et al 2000</t>
  </si>
  <si>
    <t>Ridging, loamy sand</t>
  </si>
  <si>
    <t>Tied ridging, loamy sand</t>
  </si>
  <si>
    <t>Ridging, loam</t>
  </si>
  <si>
    <t>Tied ridging, loam</t>
  </si>
  <si>
    <t>Akbulut et al 2003</t>
  </si>
  <si>
    <t>Yahyalar</t>
  </si>
  <si>
    <t>Duzce</t>
  </si>
  <si>
    <t>Green bean</t>
  </si>
  <si>
    <t>Zucchini</t>
  </si>
  <si>
    <t>Poplar (Populus euramericana)</t>
  </si>
  <si>
    <t>Data about tree growth expressed as one year's growth of dbh</t>
  </si>
  <si>
    <t>Balandier and Dupraz 1999</t>
  </si>
  <si>
    <t>Basal stem diameter was measured instead of dbh</t>
  </si>
  <si>
    <t>Orcival</t>
  </si>
  <si>
    <t>Acer pseudoplatanus</t>
  </si>
  <si>
    <t>Pomy</t>
  </si>
  <si>
    <t>Prunus avium</t>
  </si>
  <si>
    <t>Silvopastoral system with cattle</t>
  </si>
  <si>
    <t>Silvopastoral system with sheep</t>
  </si>
  <si>
    <t>Forest plot</t>
  </si>
  <si>
    <t>Chifflot et al 2006</t>
  </si>
  <si>
    <t>Tarn</t>
  </si>
  <si>
    <t>Grazac</t>
  </si>
  <si>
    <t>Trees only (fallow)</t>
  </si>
  <si>
    <t>Wild cherry</t>
  </si>
  <si>
    <t>Triticale, barley, wheat, wheat, sunflower and barley</t>
  </si>
  <si>
    <t>Hussain et al 2009</t>
  </si>
  <si>
    <t>University of Evora’s Mitra Campus (pasture experimental plots)</t>
  </si>
  <si>
    <t>Understory vegetation</t>
  </si>
  <si>
    <t>Vegetation at least 30m away from trees</t>
  </si>
  <si>
    <t>evergreen oaks, mainly Quercus suber (cork oak), and Q. rotundifolia
(holm oak)</t>
  </si>
  <si>
    <t>Grass biomass_control (kg/ha)</t>
  </si>
  <si>
    <t>Tree density</t>
  </si>
  <si>
    <t>SE_Gbcontrol</t>
  </si>
  <si>
    <t>SE_Gbtreat</t>
  </si>
  <si>
    <t>No data about tree production of cork or timber</t>
  </si>
  <si>
    <t>Martins et al 2011</t>
  </si>
  <si>
    <t>Macedo de Cavaleiros</t>
  </si>
  <si>
    <t>Northeast Portugal</t>
  </si>
  <si>
    <t>Castanea sativa</t>
  </si>
  <si>
    <t>Conventional tillage (bare soil)</t>
  </si>
  <si>
    <t>Trees were 40 years old, average dbh 39.8cm and height 9.9m</t>
  </si>
  <si>
    <t>2001-2008</t>
  </si>
  <si>
    <t>Mushroom control (kg fresh weight/ha)</t>
  </si>
  <si>
    <t>Mushroom treat (kg fresh weight/ha)</t>
  </si>
  <si>
    <t>SE_mushr_contr</t>
  </si>
  <si>
    <t>SE_mushr_treat</t>
  </si>
  <si>
    <t>Extremadura</t>
  </si>
  <si>
    <t>Moreno 2008</t>
  </si>
  <si>
    <t>F450</t>
  </si>
  <si>
    <t>F550</t>
  </si>
  <si>
    <t>F660</t>
  </si>
  <si>
    <t>Oak</t>
  </si>
  <si>
    <t>Rainfed unfertilized</t>
  </si>
  <si>
    <t>Rainfed fertilized</t>
  </si>
  <si>
    <t>Irrigated unfertilized</t>
  </si>
  <si>
    <t>Irrigated fertilized</t>
  </si>
  <si>
    <t>Understory pasture vegetation</t>
  </si>
  <si>
    <t>Pasture vegetation at least 30m away from trees</t>
  </si>
  <si>
    <t>Rodrigues et al 2011</t>
  </si>
  <si>
    <t>Braganca</t>
  </si>
  <si>
    <t>Olive trees</t>
  </si>
  <si>
    <t>Mechanical cultivation olive orchard</t>
  </si>
  <si>
    <t>Olive tree</t>
  </si>
  <si>
    <t>Grazing sheep</t>
  </si>
  <si>
    <t>2002-2008</t>
  </si>
  <si>
    <t>Ruiz-Mirazo and Robles 2012</t>
  </si>
  <si>
    <t xml:space="preserve">Spain </t>
  </si>
  <si>
    <t>Andalucia</t>
  </si>
  <si>
    <t>Cortijo Conejo y Albarrán</t>
  </si>
  <si>
    <t>Holm oak and Aleppo pine</t>
  </si>
  <si>
    <t>Non-grazed plot</t>
  </si>
  <si>
    <t>Grazed plot (sheep and goats)</t>
  </si>
  <si>
    <t>C_Timber volume increase (m3/ha/year)</t>
  </si>
  <si>
    <t>T_Timber volume increase (m3/ha/year)</t>
  </si>
  <si>
    <t>Silva-Pando et al 2002</t>
  </si>
  <si>
    <t>Galicia</t>
  </si>
  <si>
    <t>Monfero</t>
  </si>
  <si>
    <t>Pinus pinaster</t>
  </si>
  <si>
    <t>Mixture of orchardgrass and white clover sown under Pinus sylvestris tree canopy</t>
  </si>
  <si>
    <t>Mixture of orchardgrass and white clover sown under Pinus pinaster tree canopy</t>
  </si>
  <si>
    <t>Not sown plot (only trees)</t>
  </si>
  <si>
    <t>No control only trees</t>
  </si>
  <si>
    <t>Picard et al 2010</t>
  </si>
  <si>
    <t>Grignon</t>
  </si>
  <si>
    <t>2000-2001</t>
  </si>
  <si>
    <t>Red fescue-Wheat (Isengrain)</t>
  </si>
  <si>
    <t>Red fescue-Wheat (Scipion)</t>
  </si>
  <si>
    <t>Arlauskiene et al 2011</t>
  </si>
  <si>
    <t>Lithuania</t>
  </si>
  <si>
    <t>Dotnuva</t>
  </si>
  <si>
    <t>Perloja Experimental Station</t>
  </si>
  <si>
    <t>Pea-spring wheat</t>
  </si>
  <si>
    <t>Pea-spring barley</t>
  </si>
  <si>
    <t>Pea-Oat</t>
  </si>
  <si>
    <t>Pea-spring triticale</t>
  </si>
  <si>
    <t>Lithuanian Institute of Agriculture</t>
  </si>
  <si>
    <t>Joniškelis</t>
  </si>
  <si>
    <t>Franco et al 2015</t>
  </si>
  <si>
    <t>Within row intercropping</t>
  </si>
  <si>
    <t>Peanut-Watermelon</t>
  </si>
  <si>
    <t>Peanut-Watermelon-Okra</t>
  </si>
  <si>
    <t>Peanut-Watermelon-Okra-Cowpea</t>
  </si>
  <si>
    <t>Peanut-watermelon</t>
  </si>
  <si>
    <t>Texas A&amp;M University's Horticulture Farm</t>
  </si>
  <si>
    <t>Peanut-Watermelon-Okra-Cowpea-Pepper</t>
  </si>
  <si>
    <t>LER 4</t>
  </si>
  <si>
    <t>LER 5</t>
  </si>
  <si>
    <t>Data obtained with plot digitizer</t>
  </si>
  <si>
    <t>Fan et al 2016</t>
  </si>
  <si>
    <t>Yunnan</t>
  </si>
  <si>
    <t>Agricultural Experimental Station, Faculty of Agronomy and Biotechnology, Yunnan Agricultural University</t>
  </si>
  <si>
    <t>Strip intercropping (4 rows each crop)</t>
  </si>
  <si>
    <t>Maize-Potato</t>
  </si>
  <si>
    <t>May harvest</t>
  </si>
  <si>
    <t>June harvest</t>
  </si>
  <si>
    <t>July harvest</t>
  </si>
  <si>
    <t>Ribas et al 2015</t>
  </si>
  <si>
    <t>Intercropping yield not given by species, but it is all forage yield usually harvested together. LER was calculated as (yield of all species in intercropping/yield in the most productive species in sole crops)</t>
  </si>
  <si>
    <t>Castellnou d'Ossó</t>
  </si>
  <si>
    <t>Festuca arundinacea-Medicago sativa-Cichorium intybus)</t>
  </si>
  <si>
    <t>Festuca arundinacea(33%)-Medicago sativa(33%)-Cichorium intybus(33%)</t>
  </si>
  <si>
    <t>Rossi et al 2011</t>
  </si>
  <si>
    <t>Tropical Agriculture Research and Higher Education Center
(CATIE)</t>
  </si>
  <si>
    <t>Full sun (no shade)</t>
  </si>
  <si>
    <t>Terminalia amazonia</t>
  </si>
  <si>
    <t>Chloroleucon eurycyclum</t>
  </si>
  <si>
    <t>T. amazonia + C. eurycyclum</t>
  </si>
  <si>
    <t>T. amazonia and E. poeppigiana</t>
  </si>
  <si>
    <t>C. eurycyclum + E. poeppigiana</t>
  </si>
  <si>
    <t>High intensity chemical inputs</t>
  </si>
  <si>
    <t>Medium intensity chemical inputs</t>
  </si>
  <si>
    <t>Favretto et al 1992</t>
  </si>
  <si>
    <t>Tuscany</t>
  </si>
  <si>
    <t>Maremma National Park</t>
  </si>
  <si>
    <t>Trees were 25 years old</t>
  </si>
  <si>
    <t>Bare soil, tilled</t>
  </si>
  <si>
    <t>Cover crop subterranean clover (Trifolium subterraneum)</t>
  </si>
  <si>
    <t>Smith et al 2008</t>
  </si>
  <si>
    <t>Greenfield</t>
  </si>
  <si>
    <t>Trees were 5 years old when the experiment started</t>
  </si>
  <si>
    <t>Cover crop, rye Secale cereale (earlier maturing)</t>
  </si>
  <si>
    <t>Cover crop, triticale  X Triticosecale  (later maturing)</t>
  </si>
  <si>
    <t>2001-2004</t>
  </si>
  <si>
    <t>Stamps et al 2002</t>
  </si>
  <si>
    <t>Sho-Neff Walnut Plantation</t>
  </si>
  <si>
    <t>Trees only (vegetation free)</t>
  </si>
  <si>
    <t>Black walnut (Juglans nigra)</t>
  </si>
  <si>
    <t>Smooth Bromegrass (Bromis inermis)</t>
  </si>
  <si>
    <t>Acacia tortilis</t>
  </si>
  <si>
    <t>Kazakou et al 2016</t>
  </si>
  <si>
    <t>Montpellier</t>
  </si>
  <si>
    <t>Domaine du Chapitre</t>
  </si>
  <si>
    <t>2010-2012</t>
  </si>
  <si>
    <t>Trees were 8 years old at the beginning of the experiment. Tree density 3330trees/ha</t>
  </si>
  <si>
    <t>Bare soil (Tillage)</t>
  </si>
  <si>
    <t>Cover crop (mix of annual Medicago species: Medicago truncatula, Medicago rigidula, Medicago polymorpha)</t>
  </si>
  <si>
    <t>Permanent natural plant coverage (spontaneous vegetation)</t>
  </si>
  <si>
    <t>Deguchi et al 2007</t>
  </si>
  <si>
    <t>Improved fallow with living mulch</t>
  </si>
  <si>
    <t>2004-2005</t>
  </si>
  <si>
    <t>Morioka</t>
  </si>
  <si>
    <t>National Agricultural
Research Center for Tohoku Region</t>
  </si>
  <si>
    <t>White clover (Trifolium repens)</t>
  </si>
  <si>
    <t>Sole crop, tilled</t>
  </si>
  <si>
    <t>White clover cuts left in the soil</t>
  </si>
  <si>
    <t>Zhou et al 2013</t>
  </si>
  <si>
    <t>Hebei Province</t>
  </si>
  <si>
    <t>Langfang Experimental Station of the Institute of Plant Protection, CAAS</t>
  </si>
  <si>
    <t>Strip intercropping (8rows wheat, 3 rows garlic)</t>
  </si>
  <si>
    <t>Wheat (Triticum aestivum)-Garlic (Allium sativum)</t>
  </si>
  <si>
    <t>Wheat variety Beijing 837</t>
  </si>
  <si>
    <t>Wheat variety Zhengzhou 831</t>
  </si>
  <si>
    <t>Ramalho et al 2012</t>
  </si>
  <si>
    <t>Paraiba</t>
  </si>
  <si>
    <t>Montadas</t>
  </si>
  <si>
    <t>Fennel-cotton</t>
  </si>
  <si>
    <t>Fennel 2:Cotton 1_No insecticide</t>
  </si>
  <si>
    <t>Fennel 3:Cotton 1_No insecticide</t>
  </si>
  <si>
    <t>Fennel 1:Cotton 2_No insecticide</t>
  </si>
  <si>
    <t>Fennel 2:Cotton 3_No insecticide</t>
  </si>
  <si>
    <t>2007-2008</t>
  </si>
  <si>
    <t xml:space="preserve">Fennel 0.75m2/plant; 13333fennel plants/ha. </t>
  </si>
  <si>
    <t>Fennel 2:Cotton 1_Insecticide</t>
  </si>
  <si>
    <t>Fennel 3:Cotton 1_Insecticide</t>
  </si>
  <si>
    <t>Fennel 1:Cotton 2_Insecticide</t>
  </si>
  <si>
    <t>Fennel 2:Cotton 3_Insecticide</t>
  </si>
  <si>
    <t>Hooks et al 2004</t>
  </si>
  <si>
    <t>University of Hawai’i Poamoho Research Station</t>
  </si>
  <si>
    <t>Hawaii</t>
  </si>
  <si>
    <t>Broccoli-Strawberry clover</t>
  </si>
  <si>
    <t>Broccoli-Yellow sweet clover</t>
  </si>
  <si>
    <t>Broccoli-White clover</t>
  </si>
  <si>
    <t>Row intercropping cover crop</t>
  </si>
  <si>
    <t>Hooks et al 1998</t>
  </si>
  <si>
    <t>University of Hawaii's Agricultural Research Stations at Poamoho</t>
  </si>
  <si>
    <t>University of Hawaii's Agricultural Research Stations at Waimanalo</t>
  </si>
  <si>
    <t>Zuccini-Buckwheat</t>
  </si>
  <si>
    <t>Zuccini-Yellow mustard</t>
  </si>
  <si>
    <t>Zuccini-Buckwheat-Yellow mustard (+weeds)</t>
  </si>
  <si>
    <t>Zuccini-Yellow mustard (+weeds)</t>
  </si>
  <si>
    <t>Ohio</t>
  </si>
  <si>
    <t>Miami University Ecology Research
Center, Oxford</t>
  </si>
  <si>
    <t>Soybean-Mix ogf grasses (60%Festuca sp., 30% Poa pratensis; 10% Trifolium hybridum)</t>
  </si>
  <si>
    <t>Rodenhouse et al 1992</t>
  </si>
  <si>
    <t>Mitchell and Entry 1998</t>
  </si>
  <si>
    <t>Alabama</t>
  </si>
  <si>
    <t>Auburn</t>
  </si>
  <si>
    <t>1986-1995</t>
  </si>
  <si>
    <t>Hairy vetch, common vetch, crimson clover</t>
  </si>
  <si>
    <t>Sjogren et al 2010</t>
  </si>
  <si>
    <t>Central Bunyore</t>
  </si>
  <si>
    <t>Vihiga District</t>
  </si>
  <si>
    <t>After 6 months fallow</t>
  </si>
  <si>
    <t>After 18 months fallow</t>
  </si>
  <si>
    <t>1994-1998</t>
  </si>
  <si>
    <t>Bossio et al 2005</t>
  </si>
  <si>
    <t>Ugunja</t>
  </si>
  <si>
    <t>Ochinga</t>
  </si>
  <si>
    <t>Luero</t>
  </si>
  <si>
    <t>Sirrine et al 2008</t>
  </si>
  <si>
    <t>Michigan</t>
  </si>
  <si>
    <t>Old Mission Peninsula</t>
  </si>
  <si>
    <t>Tart cherry</t>
  </si>
  <si>
    <t>Rye and vetch understory (Secale cereale, Vicia villosa)</t>
  </si>
  <si>
    <t>Understory_clovers and mustard (Trifolium pratense, Trifolium repens and Brassica juncea)</t>
  </si>
  <si>
    <t>Understory_five species (Trifolium pratense, Trifolium repens, Brassica juncea, Secale cereale, Vicia villosa)</t>
  </si>
  <si>
    <t>2000-2002</t>
  </si>
  <si>
    <t>Herbicide in tree rows, grass mixture between rows</t>
  </si>
  <si>
    <t>2003-2006</t>
  </si>
  <si>
    <t>No fertiliser</t>
  </si>
  <si>
    <t>2003-Long rain season</t>
  </si>
  <si>
    <t>2003-Short rains</t>
  </si>
  <si>
    <t>I took the sum of the two cropping seasons per year (the one with Long rain and the one with short rain were added). Yield crop 2 are dry weight of prunings in kg/ha</t>
  </si>
  <si>
    <t>Purpose of intercropping with legumes was dual: to produce food and feed and to increase maize productivity</t>
  </si>
  <si>
    <t>Cover crop Branchypodium</t>
  </si>
  <si>
    <t>Cover crop Secale</t>
  </si>
  <si>
    <t>2005-2006</t>
  </si>
  <si>
    <t>2006-2007</t>
  </si>
  <si>
    <t>Bagayoko et al 1996</t>
  </si>
  <si>
    <t>Segou</t>
  </si>
  <si>
    <t>Cincana Agricultural Research Station</t>
  </si>
  <si>
    <t>Millet-Cowpea</t>
  </si>
  <si>
    <t>Ren et al 2014</t>
  </si>
  <si>
    <t>Fulkerson and Tossell 1972</t>
  </si>
  <si>
    <t>Kale-Sorghum</t>
  </si>
  <si>
    <t>Kale-Corn</t>
  </si>
  <si>
    <t>Intercropping yield not given by species, but all are forage species harvested together for silage. LER was calculated as (yield of all species in intercropping/yield in the most productive species in sole crops)</t>
  </si>
  <si>
    <t>Andrighetto et al 1992</t>
  </si>
  <si>
    <t>Dossetto-Vallevecchia Experimental Farm</t>
  </si>
  <si>
    <t>Caorle</t>
  </si>
  <si>
    <t>Corn-Soybean</t>
  </si>
  <si>
    <t>Corn Hybrid Lorena-Soybean var Futura</t>
  </si>
  <si>
    <t>Corn Hybrid Lorena-Soybean var King</t>
  </si>
  <si>
    <t>Corn Hybrid Luana-Soybean var Futura</t>
  </si>
  <si>
    <t>Corn Hybrid Luana-Soybean var King</t>
  </si>
  <si>
    <t>Intercropping yield not given by species, but all are forage species harvested together. LER was calculated as (yield of all species in intercropping/yield in the reported sole crop species)</t>
  </si>
  <si>
    <t>Soybean density 20p/m2</t>
  </si>
  <si>
    <t>Soybean density 40p/m2</t>
  </si>
  <si>
    <t>Putnam et al 1985</t>
  </si>
  <si>
    <t>Massachusetts Agricultural Experiment Station Farm</t>
  </si>
  <si>
    <t>South Deerfield</t>
  </si>
  <si>
    <t>Corn low density-planting pattern 2:2</t>
  </si>
  <si>
    <t>Corn medium density-planting pattern 2:2</t>
  </si>
  <si>
    <t>Corn high density-planting pattern 2:2</t>
  </si>
  <si>
    <t>Corn low density-planting pattern 2:1</t>
  </si>
  <si>
    <t>Corn medium density-planting pattern 2:1</t>
  </si>
  <si>
    <t>Corn high density-planting pattern 2:1</t>
  </si>
  <si>
    <t>Corn low density-planting pattern 1:1</t>
  </si>
  <si>
    <t>Corn medium density-planting pattern 1:1</t>
  </si>
  <si>
    <t>Corn high density-planting pattern 1:1</t>
  </si>
  <si>
    <t>Yield of soyben in intercrop not reported, but LER given in the paper</t>
  </si>
  <si>
    <t>Warren 1980</t>
  </si>
  <si>
    <t>Ottawa Research Station</t>
  </si>
  <si>
    <t>Corn-Sunflower</t>
  </si>
  <si>
    <t>Ottawa</t>
  </si>
  <si>
    <t>Early corn-Russian Sunflower 30000plants/ha</t>
  </si>
  <si>
    <t>Early corn-Russian Sunflower 44000plants/ha</t>
  </si>
  <si>
    <t>Early corn-PGR102 Sunflower 30000plants/ha</t>
  </si>
  <si>
    <t>Early corn-PGR102 Sunflower 44000plants/ha</t>
  </si>
  <si>
    <t>Early corn-Vallley Sunflower 30000plants/ha</t>
  </si>
  <si>
    <t>Early corn-Valley Sunflower 44000plants/ha</t>
  </si>
  <si>
    <t>Late corn-Russian Sunflower 30000plants/ha</t>
  </si>
  <si>
    <t>Late corn-Russian Sunflower 44000plants/ha</t>
  </si>
  <si>
    <t>Late corn-PGR102 Sunflower 30000plants/ha</t>
  </si>
  <si>
    <t>Late corn-PGR102 Sunflower 44000plants/ha</t>
  </si>
  <si>
    <t>Late corn-Vallley Sunflower 30000plants/ha</t>
  </si>
  <si>
    <t>Late corn-Valley Sunflower 44000plants/ha</t>
  </si>
  <si>
    <t>Hikam et al 1992</t>
  </si>
  <si>
    <t>Kentucky</t>
  </si>
  <si>
    <t>University of Kentucky South Farm</t>
  </si>
  <si>
    <t>Corn-Winged bean</t>
  </si>
  <si>
    <t>Berkenkamp and Meeres 1987</t>
  </si>
  <si>
    <t>Alberta</t>
  </si>
  <si>
    <t>Lacombe</t>
  </si>
  <si>
    <t>Bluffton</t>
  </si>
  <si>
    <t>Triticale-Sunflowers</t>
  </si>
  <si>
    <t>Oats-Sunflowers</t>
  </si>
  <si>
    <t>Wheat-Sunflowers</t>
  </si>
  <si>
    <t>Barley-sunflowers</t>
  </si>
  <si>
    <t>Triticale-Peas</t>
  </si>
  <si>
    <t>Oats-Peas</t>
  </si>
  <si>
    <t>Wheat-Peas</t>
  </si>
  <si>
    <t>Barley-Peas</t>
  </si>
  <si>
    <t>Triticale-Faba bean</t>
  </si>
  <si>
    <t>Oats-Faba bean</t>
  </si>
  <si>
    <t>Barley-Faba bean</t>
  </si>
  <si>
    <t>Jedel and Helm 1992</t>
  </si>
  <si>
    <t>Pea (Magnus)-Barley</t>
  </si>
  <si>
    <t>Pea cultivar: Magnus</t>
  </si>
  <si>
    <t>Pea (Magnus)-Oats</t>
  </si>
  <si>
    <t>Pea (Magnus)-Triticale</t>
  </si>
  <si>
    <t>Faba bean (Outlook)-Barley</t>
  </si>
  <si>
    <t>Faba bean cultivar: Outlook</t>
  </si>
  <si>
    <t>Faba bean (Outlook)-Oats</t>
  </si>
  <si>
    <t>Faba bean (Outlook)-Triticale</t>
  </si>
  <si>
    <t>Pea (Tipu)-Barley</t>
  </si>
  <si>
    <t>Pea (Tipu)-Oats</t>
  </si>
  <si>
    <t>Pea (Tipu)-Triticale</t>
  </si>
  <si>
    <t>Pea cultivar: Tipu</t>
  </si>
  <si>
    <t>Pea (Trapper)-Barley</t>
  </si>
  <si>
    <t>Pea (Trapper)-Oats</t>
  </si>
  <si>
    <t>Pea (Trapper)-Triticale</t>
  </si>
  <si>
    <t>Pea cultivar: Trapper</t>
  </si>
  <si>
    <t>Papastylianou 1990</t>
  </si>
  <si>
    <t>Chapko et al 1991</t>
  </si>
  <si>
    <t>Moreira 1989</t>
  </si>
  <si>
    <t>Wisconsin</t>
  </si>
  <si>
    <t>Arlington</t>
  </si>
  <si>
    <t>Oat-Pea</t>
  </si>
  <si>
    <t>1986-1988</t>
  </si>
  <si>
    <t>Webster Oat cultivar</t>
  </si>
  <si>
    <t>Stout Oat cultivar</t>
  </si>
  <si>
    <t>Ogle oat cultivar</t>
  </si>
  <si>
    <t>Hazel Oat cultivar</t>
  </si>
  <si>
    <t>Centennial Oat cultivar</t>
  </si>
  <si>
    <t>Lyon Oat cultivar</t>
  </si>
  <si>
    <t>Porter Oat cultivar</t>
  </si>
  <si>
    <t>Dal Oat cultivar</t>
  </si>
  <si>
    <t>Lodi oat cultivar</t>
  </si>
  <si>
    <t>Ensiler oat cultivar</t>
  </si>
  <si>
    <t>QR152-1 Oat cultivar</t>
  </si>
  <si>
    <t>QR130-1 oat cultivar</t>
  </si>
  <si>
    <t>QR129-1 oat cultivar</t>
  </si>
  <si>
    <t>QR116-1 oat cultivar</t>
  </si>
  <si>
    <t>QR120-1 oat cultivar</t>
  </si>
  <si>
    <t>QR131-1 oat cultivar</t>
  </si>
  <si>
    <t>Morex barley cultivar</t>
  </si>
  <si>
    <t>Robust barley cultivar</t>
  </si>
  <si>
    <t>Hazen barley cultivar</t>
  </si>
  <si>
    <t>Chopper barley cultivar</t>
  </si>
  <si>
    <t>X2917-3 barley cultivar</t>
  </si>
  <si>
    <t>X2665-1 barley cultivar</t>
  </si>
  <si>
    <t>X2916-2 barley cultivar</t>
  </si>
  <si>
    <t>X2941-3 barley cultivar</t>
  </si>
  <si>
    <t>X2304-2 barley cultivar</t>
  </si>
  <si>
    <t>Cyprus</t>
  </si>
  <si>
    <t>Dromolaxia</t>
  </si>
  <si>
    <t>1982-1983</t>
  </si>
  <si>
    <t>Oats-Common vetch</t>
  </si>
  <si>
    <t>Oats-field peas</t>
  </si>
  <si>
    <t>15kg N/ha</t>
  </si>
  <si>
    <t>30kg N/ha</t>
  </si>
  <si>
    <t>60kg N/ha</t>
  </si>
  <si>
    <t>90kg N/ha</t>
  </si>
  <si>
    <t>1983-1984</t>
  </si>
  <si>
    <t>Oats-Common vetch&amp;field peas</t>
  </si>
  <si>
    <t>Non-ferilized_Crops ratio 25:75</t>
  </si>
  <si>
    <t>Non-ferilized_Crops ratio 10:90</t>
  </si>
  <si>
    <t>15kg N/ha_Crops ratio 25:75</t>
  </si>
  <si>
    <t>15kg N/ha_Crops ratio 10:90</t>
  </si>
  <si>
    <t>45kg N/ha_Crops ratio 25:75</t>
  </si>
  <si>
    <t>45kg N/ha_Crops ratio 10:90</t>
  </si>
  <si>
    <t>90kg N/ha_Crops ratio 25:75</t>
  </si>
  <si>
    <t>90kg N/ha_Crops ratio 10:90</t>
  </si>
  <si>
    <t>Vila Real</t>
  </si>
  <si>
    <t>1982-3</t>
  </si>
  <si>
    <t>1984-5</t>
  </si>
  <si>
    <t>Oat-Vetch</t>
  </si>
  <si>
    <t>Crops ratio 225:75_Non fertilized</t>
  </si>
  <si>
    <t>Crops ratio 225:75_60kgN/ha</t>
  </si>
  <si>
    <t>Crops ratio 225:75_100kgN/ha</t>
  </si>
  <si>
    <t>Crops ratio 150:150_Non fertilized</t>
  </si>
  <si>
    <t>Crops ratio 150:150_60kgN/ha</t>
  </si>
  <si>
    <t>Crops ratio 150:150_100kgN/ha</t>
  </si>
  <si>
    <t>Thompson, Stout and Moore 1992</t>
  </si>
  <si>
    <t>Agriculture Canada Research Station</t>
  </si>
  <si>
    <t>Kamloops</t>
  </si>
  <si>
    <t>Stout et al 1997</t>
  </si>
  <si>
    <t>Thompson and Stout 1997</t>
  </si>
  <si>
    <t>Baron et al 1992</t>
  </si>
  <si>
    <t>Jedel and Salmon 1995</t>
  </si>
  <si>
    <t>Range Research Station</t>
  </si>
  <si>
    <t>Kamloops Agriculture and Agri-Food Canada</t>
  </si>
  <si>
    <t>Italian ryegrass-Persian clover</t>
  </si>
  <si>
    <t>Italian ryegrass-Barley</t>
  </si>
  <si>
    <t>Italian ryegrass-Persian clover-Barley</t>
  </si>
  <si>
    <t>Persian clover-Barley</t>
  </si>
  <si>
    <t>Cut 2_N fertilization</t>
  </si>
  <si>
    <t>Cut 2_Non-ferlized</t>
  </si>
  <si>
    <t>Cut 1_Non-ferlized</t>
  </si>
  <si>
    <t>Cut 1_N fertilization</t>
  </si>
  <si>
    <t>Cut 3_Non-fertilized</t>
  </si>
  <si>
    <t>Cut 3_N fertilized</t>
  </si>
  <si>
    <t>British Columbia</t>
  </si>
  <si>
    <t>Station site</t>
  </si>
  <si>
    <t>Persian clover-Barley-Ryegrass</t>
  </si>
  <si>
    <t>Berseem clover-Barley-Ryegrass</t>
  </si>
  <si>
    <t>Alfalfa-barley-ryegrass</t>
  </si>
  <si>
    <t>Lespedeza-barley-ryegrass</t>
  </si>
  <si>
    <t>Brooks</t>
  </si>
  <si>
    <t>Oats-Wheat</t>
  </si>
  <si>
    <t>Oats Triticale</t>
  </si>
  <si>
    <t>Barley-wheat</t>
  </si>
  <si>
    <t>Barley-Triticale</t>
  </si>
  <si>
    <t>Barley (Johsnton)-Rye(Musketeer)</t>
  </si>
  <si>
    <t>Barley (Johsnton)-Triticale (OAC Wintri)</t>
  </si>
  <si>
    <t>Triticale (Wipiti)-Rye (Musketeer)</t>
  </si>
  <si>
    <t>Silage harvest</t>
  </si>
  <si>
    <t>Simulated pasture</t>
  </si>
  <si>
    <t>Agboola and Fayemi 1971</t>
  </si>
  <si>
    <t>Amador and Gliessman 1990</t>
  </si>
  <si>
    <t>Cordero and McCollum 1979</t>
  </si>
  <si>
    <t>Francis et al 1982</t>
  </si>
  <si>
    <t>Natarajan and Willey 1980</t>
  </si>
  <si>
    <t>University of Ife Farm</t>
  </si>
  <si>
    <t>Maize-Greengram</t>
  </si>
  <si>
    <t>Maize-Cowpea (var.new era)</t>
  </si>
  <si>
    <t>Maize-Cowpea (var.local white)</t>
  </si>
  <si>
    <t>Maize-Mucuna</t>
  </si>
  <si>
    <t>Maize-Calopo</t>
  </si>
  <si>
    <t>Maize-Popondo</t>
  </si>
  <si>
    <t>Maize-Cowpea (var local mottle brown)</t>
  </si>
  <si>
    <t>Maize-Stylo</t>
  </si>
  <si>
    <t>1966-1967</t>
  </si>
  <si>
    <t>No control for secondary crop, but purpose was increasing maize yield</t>
  </si>
  <si>
    <t>Tabasco</t>
  </si>
  <si>
    <t>CSAT (Colegio Superior de Agricultura Tropical)</t>
  </si>
  <si>
    <t>Maize-Beans-Squash</t>
  </si>
  <si>
    <t>Poblado C-34</t>
  </si>
  <si>
    <t>Control density very low_Weeded</t>
  </si>
  <si>
    <t>Control density very low_Unweeded</t>
  </si>
  <si>
    <t>Control density low_Weeded</t>
  </si>
  <si>
    <t>Control density low_Unweeded</t>
  </si>
  <si>
    <t>Control density high_Weeded</t>
  </si>
  <si>
    <t>Control density high_Unweeded</t>
  </si>
  <si>
    <t>Control density very high_Weeded</t>
  </si>
  <si>
    <t>Control density very high_Unweeded</t>
  </si>
  <si>
    <t>North Carolina</t>
  </si>
  <si>
    <t>Tidewater Research Station</t>
  </si>
  <si>
    <t>Horticultural Crops ReseaTch Station</t>
  </si>
  <si>
    <t>Corn-Snapbeans</t>
  </si>
  <si>
    <t>Corn-Sweet Potato</t>
  </si>
  <si>
    <t>Non-fertilized</t>
  </si>
  <si>
    <t>168kgN/ha</t>
  </si>
  <si>
    <t>90 kgN/ha</t>
  </si>
  <si>
    <t>135kgN/ha</t>
  </si>
  <si>
    <t>180kgN/ha</t>
  </si>
  <si>
    <t>Tall corn_Non-fertilized</t>
  </si>
  <si>
    <t>Tall corn_90kgN/ha</t>
  </si>
  <si>
    <t>Tall corn_180kgN/ha</t>
  </si>
  <si>
    <t>Tall corn_270kgN/ha</t>
  </si>
  <si>
    <t>Short corn_Non-fertilized</t>
  </si>
  <si>
    <t>Short corn_90kgN/ha</t>
  </si>
  <si>
    <t>Short corn_180kgN/ha</t>
  </si>
  <si>
    <t>Short corn_270kgN/ha</t>
  </si>
  <si>
    <t>Faba bean cultivar: Polykarpe</t>
  </si>
  <si>
    <t>Faba bean cultivar: Tanagra</t>
  </si>
  <si>
    <t>Colombia</t>
  </si>
  <si>
    <t>Palmira</t>
  </si>
  <si>
    <t>CIAT experiment station</t>
  </si>
  <si>
    <t>Maize-Bush beans</t>
  </si>
  <si>
    <t>1:8 plants/m2</t>
  </si>
  <si>
    <t>1:16 plants/m2</t>
  </si>
  <si>
    <t>1:24 plants/m2</t>
  </si>
  <si>
    <t>1:40 plants/m2</t>
  </si>
  <si>
    <t>2:8 plants/m2</t>
  </si>
  <si>
    <t>2:16 plants/m2</t>
  </si>
  <si>
    <t>2:24 plants/m2</t>
  </si>
  <si>
    <t>2:40 plants/m2</t>
  </si>
  <si>
    <t>8:8 plants/m2</t>
  </si>
  <si>
    <t>8:16 plants/m2</t>
  </si>
  <si>
    <t>8:24 plants/m2</t>
  </si>
  <si>
    <t>8:40 plants/m2</t>
  </si>
  <si>
    <t>16:8 plants/m2</t>
  </si>
  <si>
    <t>16:16 plants/m2</t>
  </si>
  <si>
    <t>16:24 plants/m2</t>
  </si>
  <si>
    <t>16:40 plants/m2</t>
  </si>
  <si>
    <t>2:32 plants/m2</t>
  </si>
  <si>
    <t>4:8 plants/m2</t>
  </si>
  <si>
    <t>4:16 plants/m2</t>
  </si>
  <si>
    <t>4:24 plants/m2</t>
  </si>
  <si>
    <t>4:32 plants/m2</t>
  </si>
  <si>
    <t>6:8 plants/m2</t>
  </si>
  <si>
    <t>6:16 plants/m2</t>
  </si>
  <si>
    <t>6:24 plants/m2</t>
  </si>
  <si>
    <t>6:32 plants/m2</t>
  </si>
  <si>
    <t>8:32 plants/m2</t>
  </si>
  <si>
    <t xml:space="preserve">ICRISAT Centre
</t>
  </si>
  <si>
    <t>&gt;60</t>
  </si>
  <si>
    <t>90000:50000 plants/ha</t>
  </si>
  <si>
    <t>180000:25000 plants/ha</t>
  </si>
  <si>
    <t>180000:50000 plants/ha</t>
  </si>
  <si>
    <t>180000:100000 plants/ha</t>
  </si>
  <si>
    <t>320000:50000 plants/ha</t>
  </si>
  <si>
    <t>Sorghum-Pigeonpea (seed and stalk)</t>
  </si>
  <si>
    <t>Asten et al 2011</t>
  </si>
  <si>
    <t>Bayu et al 2007</t>
  </si>
  <si>
    <t>Das et al 2011</t>
  </si>
  <si>
    <t>Ghosh et al 2006</t>
  </si>
  <si>
    <t>Khaliq et al 2001</t>
  </si>
  <si>
    <t>Khan et al 2012</t>
  </si>
  <si>
    <t>Prashaanth et al 2010</t>
  </si>
  <si>
    <t>Wasaya et al 2013</t>
  </si>
  <si>
    <t>Gao et al 2014</t>
  </si>
  <si>
    <t>Khan et al 2014</t>
  </si>
  <si>
    <t>Gooding et al 2007</t>
  </si>
  <si>
    <t>Khan et al 2005</t>
  </si>
  <si>
    <t>Magid et al 2008</t>
  </si>
  <si>
    <t>Yang et al 2010</t>
  </si>
  <si>
    <t>Eskandari and Ghanbari 2010</t>
  </si>
  <si>
    <t>Dua et al 2007</t>
  </si>
  <si>
    <t>Akter et al 2004</t>
  </si>
  <si>
    <t>Munir et al 2004</t>
  </si>
  <si>
    <t>Nazir et al 2000</t>
  </si>
  <si>
    <t>Khan et al 1999</t>
  </si>
  <si>
    <t>Singh and Gupta 1994</t>
  </si>
  <si>
    <t>Mt Elgon</t>
  </si>
  <si>
    <t>Mbale, Manafwa, Sironko and Budada districts</t>
  </si>
  <si>
    <t>South and West</t>
  </si>
  <si>
    <t>Masaka, Rakai and Bushenyi districts</t>
  </si>
  <si>
    <t>Welo</t>
  </si>
  <si>
    <t>Sirinka</t>
  </si>
  <si>
    <t>Kobo</t>
  </si>
  <si>
    <t>Tef-Sunflower</t>
  </si>
  <si>
    <t>Tef+10%Sunflower</t>
  </si>
  <si>
    <t>Tef+20%Sunflower</t>
  </si>
  <si>
    <t>Tef+30%Sunflower</t>
  </si>
  <si>
    <t>Tef+40%Sunflower</t>
  </si>
  <si>
    <t>Tef+50%Sunflower</t>
  </si>
  <si>
    <t>Bhopal</t>
  </si>
  <si>
    <t>Indian Institute of Soil Science research farm</t>
  </si>
  <si>
    <t>Soybean-Pigeonpea</t>
  </si>
  <si>
    <t>Conventional tillage</t>
  </si>
  <si>
    <t>Conventional tillage+subsoiling alternate years</t>
  </si>
  <si>
    <t>Conventional tillage+subsoiling every year</t>
  </si>
  <si>
    <t>Data obtained with https://plotdigitizer.com/app</t>
  </si>
  <si>
    <t>Faisalabad</t>
  </si>
  <si>
    <t>Agronomic Research Area, University of Agriculture</t>
  </si>
  <si>
    <t>1996/1997</t>
  </si>
  <si>
    <t>Pakistan</t>
  </si>
  <si>
    <t>Lentil-wheat</t>
  </si>
  <si>
    <t>1:1 rows</t>
  </si>
  <si>
    <t>1:2 rows</t>
  </si>
  <si>
    <t>1:3 rows</t>
  </si>
  <si>
    <t>1:4 rows</t>
  </si>
  <si>
    <t>Agricultural Research Farm, Khyber
Pakhtunkhwa Agricultural University Peshawar</t>
  </si>
  <si>
    <t>1:1 rows planted together</t>
  </si>
  <si>
    <t>1:2 rows planted together</t>
  </si>
  <si>
    <t>1:1 rows delayed legume planting</t>
  </si>
  <si>
    <t>1:2 rows delayed legume planting</t>
  </si>
  <si>
    <t>No data about secondary crop, but purpose was increasing yield maize by reducing weeds</t>
  </si>
  <si>
    <t>Crop Farm, Eastern University</t>
  </si>
  <si>
    <t>Brinjal-Groundnut</t>
  </si>
  <si>
    <t>Alternate rows</t>
  </si>
  <si>
    <t>1:1 plant density</t>
  </si>
  <si>
    <t>1:2 plant density</t>
  </si>
  <si>
    <t>1:3 plant density</t>
  </si>
  <si>
    <t>1:4 plant density</t>
  </si>
  <si>
    <t>Wheat (grain and straw)-Fenugreek</t>
  </si>
  <si>
    <t>LERt datum obtained with https://plotdigitizer.com/app</t>
  </si>
  <si>
    <t>Shahaoqu Experimental Station</t>
  </si>
  <si>
    <t>Inner Mongolia Autonomous Region</t>
  </si>
  <si>
    <t>120kgN/ha</t>
  </si>
  <si>
    <t>240kgN/ha</t>
  </si>
  <si>
    <t>Strip intercropping (1.7 maximum width of strips)</t>
  </si>
  <si>
    <t>National Agricultural Research Center (NARC)</t>
  </si>
  <si>
    <t>2004-2006</t>
  </si>
  <si>
    <t>Wheat-Brassica</t>
  </si>
  <si>
    <t>100:40 seeding rates</t>
  </si>
  <si>
    <t>100:50 seeding rates</t>
  </si>
  <si>
    <t>100:60 seeding rates</t>
  </si>
  <si>
    <t>100:70 seeding rates</t>
  </si>
  <si>
    <t>Wheat-Bean</t>
  </si>
  <si>
    <t>W75:B25 Spring</t>
  </si>
  <si>
    <t>W50:B50 Spring</t>
  </si>
  <si>
    <t>W25:B75 Spring</t>
  </si>
  <si>
    <t>W75:B25 Autumn</t>
  </si>
  <si>
    <t>W50:B50 Autumn</t>
  </si>
  <si>
    <t>W25:B75 Autumn</t>
  </si>
  <si>
    <t>N_repl_C</t>
  </si>
  <si>
    <t>N_repl_treat</t>
  </si>
  <si>
    <t>Nordlund et al 1984</t>
  </si>
  <si>
    <t>Weiss et al 1994</t>
  </si>
  <si>
    <t>Corn-Beans</t>
  </si>
  <si>
    <t>Corn-Tomatoes</t>
  </si>
  <si>
    <t>Beans-Tomatoes</t>
  </si>
  <si>
    <t>Corn-Beans-Tomatoes</t>
  </si>
  <si>
    <t>North Dakota</t>
  </si>
  <si>
    <t>Carringtion Research Extension Center</t>
  </si>
  <si>
    <t>Field pea-Oilseed rape</t>
  </si>
  <si>
    <t>150:2 density ratio</t>
  </si>
  <si>
    <t>100:4 density ratio</t>
  </si>
  <si>
    <t>50:6 density ratio</t>
  </si>
  <si>
    <t>Barnes et al 2011</t>
  </si>
  <si>
    <t>Australia</t>
  </si>
  <si>
    <t>New South Wales</t>
  </si>
  <si>
    <t>Armidale</t>
  </si>
  <si>
    <t>Pasture in open area</t>
  </si>
  <si>
    <t>Eucalyptus melliodora</t>
  </si>
  <si>
    <t>Basalt parent material</t>
  </si>
  <si>
    <t>Granite parent material</t>
  </si>
  <si>
    <t>Meta-sediment</t>
  </si>
  <si>
    <t>Eucalyptus viminalis</t>
  </si>
  <si>
    <t>Eucalyptus blakeliy</t>
  </si>
  <si>
    <t>Eucalyptus michaeliana</t>
  </si>
  <si>
    <t>Understory vegetation is the average of inner canopy, outer canopy and transitional zone. Open area is 2.5*canopy radius +10meters</t>
  </si>
  <si>
    <t>No data about tree growth and no control only trees</t>
  </si>
  <si>
    <t>Belsky et al 1993</t>
  </si>
  <si>
    <t>Moderately grazed</t>
  </si>
  <si>
    <t>Heavily grazed</t>
  </si>
  <si>
    <t>Tsavo national park limit</t>
  </si>
  <si>
    <t>Salaita</t>
  </si>
  <si>
    <t>Cubera et al 2009</t>
  </si>
  <si>
    <t>Herdade da Mitra</t>
  </si>
  <si>
    <t>Évora</t>
  </si>
  <si>
    <t>Quercus ilex</t>
  </si>
  <si>
    <t>Open area 20m from the closest tree</t>
  </si>
  <si>
    <t>Fertilized, rainfed</t>
  </si>
  <si>
    <t>Rainfed</t>
  </si>
  <si>
    <t>Irrigated</t>
  </si>
  <si>
    <t>Durr and Rangel 2002</t>
  </si>
  <si>
    <t>Townsville</t>
  </si>
  <si>
    <t>Samanea saman</t>
  </si>
  <si>
    <t>Frost and McDougald 1989</t>
  </si>
  <si>
    <t>San Joaquin Experimental Range</t>
  </si>
  <si>
    <t>Quercus douglasii, Quercus wislizenii, Pinus sabiniana</t>
  </si>
  <si>
    <t>November</t>
  </si>
  <si>
    <t>January</t>
  </si>
  <si>
    <t>March</t>
  </si>
  <si>
    <t>May</t>
  </si>
  <si>
    <t>Bangladesh</t>
  </si>
  <si>
    <t>Gazipur</t>
  </si>
  <si>
    <t>Bangabandhu Sheikh Mujibur Rahman Agricultural University, Salna</t>
  </si>
  <si>
    <t>1:1 row ratio</t>
  </si>
  <si>
    <t>Wheat-Lentil</t>
  </si>
  <si>
    <t>2:2 row ratio</t>
  </si>
  <si>
    <t>3:1 row ratio</t>
  </si>
  <si>
    <t>Bangladesh Agricultural University</t>
  </si>
  <si>
    <t>Mymensingh</t>
  </si>
  <si>
    <t>Lentil-Wheat</t>
  </si>
  <si>
    <t>100-40 seeds</t>
  </si>
  <si>
    <t>100-20 seeds</t>
  </si>
  <si>
    <t>100-60 seeds</t>
  </si>
  <si>
    <t>100-80 seeds</t>
  </si>
  <si>
    <t>2:1 row ratio</t>
  </si>
  <si>
    <t>1996-1997</t>
  </si>
  <si>
    <t>Bourke</t>
  </si>
  <si>
    <t>Eucalyptus populnea</t>
  </si>
  <si>
    <t>Savanna with grazing goats</t>
  </si>
  <si>
    <t>Harrington and John 1990</t>
  </si>
  <si>
    <t>Woody and shrub plants cleared from savanna and grazing goats</t>
  </si>
  <si>
    <t>Jackson et al 1990</t>
  </si>
  <si>
    <t>University of California Sierra Foothill Range Field Station</t>
  </si>
  <si>
    <t>Quercus douglasii</t>
  </si>
  <si>
    <t>Open grassland</t>
  </si>
  <si>
    <t>Ko and Reich 1993</t>
  </si>
  <si>
    <t>Quercus macrocarpa and Quercus ellipsoidalis x velutina</t>
  </si>
  <si>
    <t>July</t>
  </si>
  <si>
    <t>September</t>
  </si>
  <si>
    <t>University of Wisconsin Madison Arboretum</t>
  </si>
  <si>
    <t>Sole crop (&gt;40m away from any tree)</t>
  </si>
  <si>
    <t>Shimla</t>
  </si>
  <si>
    <t>Central Potato Research Institute</t>
  </si>
  <si>
    <t>Relay row intercropping</t>
  </si>
  <si>
    <t>Wheat-Potato</t>
  </si>
  <si>
    <t>20/40cm paired rows wheat-Wheat normal (100%) plant density per row, potato recommended density</t>
  </si>
  <si>
    <t>20/40cm paired rows wheat-wheat 150% plant density per row, potato recommended density</t>
  </si>
  <si>
    <t>Alternate rows (30cm)-Wheat normal (100%) plant density per row, potato recommended density</t>
  </si>
  <si>
    <t>Alternate rows (30cm)-wheat 150% plant density per row, potato recommended density</t>
  </si>
  <si>
    <t>20/40cm paired rows wheat-Wheat normal (100%) plant density per row, potato 60cm row spacing</t>
  </si>
  <si>
    <t>20/40cm paired rows wheat-wheat 150% plant density per row, potato 60cm row spacing</t>
  </si>
  <si>
    <t>Alternate rows (30cm)-Wheat normal (100%) plant density per row, potato 60cm row spacing</t>
  </si>
  <si>
    <t>Alternate rows (30cm)-wheat 150% plant density per row, potato 60cm row spacing</t>
  </si>
  <si>
    <t>Wheat-Gram</t>
  </si>
  <si>
    <t>4-row strip</t>
  </si>
  <si>
    <t>6-row strip</t>
  </si>
  <si>
    <t>8-row strip</t>
  </si>
  <si>
    <t>10-row strip</t>
  </si>
  <si>
    <t>Strip intercropping (100cm wide for the widest strip)</t>
  </si>
  <si>
    <t>McClaran and Bartolome 1989</t>
  </si>
  <si>
    <t>Hopland</t>
  </si>
  <si>
    <t>Sierra</t>
  </si>
  <si>
    <t>San Felipe private ranch</t>
  </si>
  <si>
    <t>San Joaquin</t>
  </si>
  <si>
    <t>Sinton private ranch</t>
  </si>
  <si>
    <t>Nainital</t>
  </si>
  <si>
    <t>Crop Research Centre, G.B. Pant University of Agriculture and Technology</t>
  </si>
  <si>
    <t>1986-1987</t>
  </si>
  <si>
    <t>Application of 120 kgN/ha (Urea) for all treatments except from mustard sole crop</t>
  </si>
  <si>
    <t>1987-1988</t>
  </si>
  <si>
    <t>Wheat-Mustard</t>
  </si>
  <si>
    <t>50:50 seed mixture</t>
  </si>
  <si>
    <t>67:33 seed mix</t>
  </si>
  <si>
    <t>75:25 seed mix</t>
  </si>
  <si>
    <t>84:16 seed mix</t>
  </si>
  <si>
    <t>4:2 row ratio</t>
  </si>
  <si>
    <t>6:2 row ratio</t>
  </si>
  <si>
    <t>10:2 row ratio</t>
  </si>
  <si>
    <t>Ratliff et al 1991</t>
  </si>
  <si>
    <t>Open area pasture</t>
  </si>
  <si>
    <t>1961-1968</t>
  </si>
  <si>
    <t>Swales</t>
  </si>
  <si>
    <t>Open-rolling uplands</t>
  </si>
  <si>
    <t>Rocky-brushy uplands</t>
  </si>
  <si>
    <t>Blue oak</t>
  </si>
  <si>
    <t>Live oak</t>
  </si>
  <si>
    <t>Digger pine</t>
  </si>
  <si>
    <t>Buck brush</t>
  </si>
  <si>
    <t>Other</t>
  </si>
  <si>
    <t>Rivest et al 2011</t>
  </si>
  <si>
    <t>Sánchez-Jardón et al 2010</t>
  </si>
  <si>
    <t>Tamel Aike – Institute of Agricultural Research (INIA) station</t>
  </si>
  <si>
    <t>Coyhaique County</t>
  </si>
  <si>
    <t>Nothofagus pumilio</t>
  </si>
  <si>
    <t>Scattered trees (0-40% tree cover)</t>
  </si>
  <si>
    <t>Medium-density forest (40%-80% tree cover)</t>
  </si>
  <si>
    <t>Dense forests (&gt;80% tree cover)</t>
  </si>
  <si>
    <t>Weltzin and Coughenour 1990</t>
  </si>
  <si>
    <t>Turkana District</t>
  </si>
  <si>
    <t>Gregory Rift
Valley</t>
  </si>
  <si>
    <t>Understorey pasture</t>
  </si>
  <si>
    <t>Arid Zone Research Centre (AZRC) - DIKhan</t>
  </si>
  <si>
    <t>Khyber PukhatoonKhawa</t>
  </si>
  <si>
    <t>2002-2003</t>
  </si>
  <si>
    <t>El-Gassim</t>
  </si>
  <si>
    <t>Central Region of Saudi Arabia</t>
  </si>
  <si>
    <t>Saudi Arabia</t>
  </si>
  <si>
    <t>Wheat-Alfalfa</t>
  </si>
  <si>
    <t>Unfertilized, inoculated alfalfa</t>
  </si>
  <si>
    <t>Unfertilized, uninoculated alfalfa</t>
  </si>
  <si>
    <t>Fertilized, uninoculated alfalfa</t>
  </si>
  <si>
    <t>Fertilized, inoculated alfalfa</t>
  </si>
  <si>
    <t>200kgN/ha for wheat, 100kgN/ha for alfalfa</t>
  </si>
  <si>
    <t>115kgN/ha for wheat, 58kgN/ha for alfalfa</t>
  </si>
  <si>
    <t>1988-1989</t>
  </si>
  <si>
    <t>Alfalfa was inoculated when cultivated as sole crop</t>
  </si>
  <si>
    <t>Alternate irrigation</t>
  </si>
  <si>
    <t>Conventional irrigation</t>
  </si>
  <si>
    <t>Gansu agricultural university, Huangyang town</t>
  </si>
  <si>
    <t>Liangzhou section</t>
  </si>
  <si>
    <t>Strip intercropping (80cm wide strips)</t>
  </si>
  <si>
    <t>Sole wheat received conventional irrigation</t>
  </si>
  <si>
    <t>Prescott field on Wye College farm, University of London</t>
  </si>
  <si>
    <t>Kent</t>
  </si>
  <si>
    <t>Wheat-methra</t>
  </si>
  <si>
    <t>Strip intercropping (1m wide)</t>
  </si>
  <si>
    <t>4 row strips</t>
  </si>
  <si>
    <t>6 row strips</t>
  </si>
  <si>
    <t>8 row strips</t>
  </si>
  <si>
    <t>10 row strips</t>
  </si>
  <si>
    <t>Akram et al 2004</t>
  </si>
  <si>
    <t>Zhang et al 2007</t>
  </si>
  <si>
    <t>Yildirim and Guvenc 2005</t>
  </si>
  <si>
    <t>Rao 1991</t>
  </si>
  <si>
    <t>Jabbar et al 2005</t>
  </si>
  <si>
    <t>Homma et al 2008</t>
  </si>
  <si>
    <t>Ayub Agricultural Research Institute</t>
  </si>
  <si>
    <t>Sunflower-Berseem</t>
  </si>
  <si>
    <t>75cm row distance</t>
  </si>
  <si>
    <t>90cm row distance</t>
  </si>
  <si>
    <t>100cm row distance</t>
  </si>
  <si>
    <t>Fertilization was 90kg/ha fro sunflower and 25kg/ha for berseem</t>
  </si>
  <si>
    <t>Jingchuan County</t>
  </si>
  <si>
    <t>Gansu Province</t>
  </si>
  <si>
    <t>Irrigated during the jointing stage of
wheat and late floret differentiation stage of maize</t>
  </si>
  <si>
    <t>&gt;135</t>
  </si>
  <si>
    <t>Fertilization differs per crop, 135kgN/ha for wheat  and 195kgN/ha for maize, plus 12000kg/ha of swine manure (composition of swine manure not given)</t>
  </si>
  <si>
    <t>University of Ataturk, Hamza Polat Vocational
School</t>
  </si>
  <si>
    <t>30t/ha of manure (composition not given) plus 180 kgN/ha of ammonium nitrate</t>
  </si>
  <si>
    <t>Sole crops0</t>
  </si>
  <si>
    <t>Cauliflower-Cos lettuce</t>
  </si>
  <si>
    <t>Cauliflower-Leaf lettuce</t>
  </si>
  <si>
    <t>Cauliflower-Radish</t>
  </si>
  <si>
    <t>Cauliflower-Onion</t>
  </si>
  <si>
    <t>Cauliflower-Snap bean</t>
  </si>
  <si>
    <t>Ubon Rice Research Center</t>
  </si>
  <si>
    <t>Thailand</t>
  </si>
  <si>
    <t>Rice-Stylosanthes guianensis</t>
  </si>
  <si>
    <t>Stylo was incorporated into the soil as green manure</t>
  </si>
  <si>
    <t>upper toposequence</t>
  </si>
  <si>
    <t>lower toposequence</t>
  </si>
  <si>
    <t>Udon Thani</t>
  </si>
  <si>
    <t>Chum Phae</t>
  </si>
  <si>
    <t>Buri Rum</t>
  </si>
  <si>
    <t>Adilabad</t>
  </si>
  <si>
    <t>Agricultural Research Station</t>
  </si>
  <si>
    <t>Cotton-Urid</t>
  </si>
  <si>
    <t>Cotton-Mung</t>
  </si>
  <si>
    <t>1:1 crop proportion_simultaneous sowing</t>
  </si>
  <si>
    <t>1:2 crop proportion_15day staggered sowing</t>
  </si>
  <si>
    <t>1:1 crop proportion_15day staggered sowing</t>
  </si>
  <si>
    <t>Relay intercropping (rice in rows, stylo broadcasted)</t>
  </si>
  <si>
    <t>Berti et al 2015</t>
  </si>
  <si>
    <t>Minnesota</t>
  </si>
  <si>
    <t>2012 &amp; 2013</t>
  </si>
  <si>
    <t>Morris</t>
  </si>
  <si>
    <t>Prosper</t>
  </si>
  <si>
    <t>Carrington</t>
  </si>
  <si>
    <t>Camelina-Soybean</t>
  </si>
  <si>
    <t>Camelina-Maize</t>
  </si>
  <si>
    <t>Crop-fallow</t>
  </si>
  <si>
    <t>Camelina</t>
  </si>
  <si>
    <t>Double cropping</t>
  </si>
  <si>
    <t>Cereal-legume</t>
  </si>
  <si>
    <t>Legume-Cereal</t>
  </si>
  <si>
    <t>Nazir et al 1992</t>
  </si>
  <si>
    <t>University of Agriculture</t>
  </si>
  <si>
    <t>1984-1985</t>
  </si>
  <si>
    <t>Gram-Urdbean</t>
  </si>
  <si>
    <t>Arid Zone Research Centre D. I. Khan</t>
  </si>
  <si>
    <t>Wheat-rapeseed</t>
  </si>
  <si>
    <t>1:1 crop proportion</t>
  </si>
  <si>
    <t>3:1 crop proportion</t>
  </si>
  <si>
    <t>2:1 crop proportion</t>
  </si>
  <si>
    <t>Du et al 2010</t>
  </si>
  <si>
    <t>Droppelmann et al 2000</t>
  </si>
  <si>
    <t>Prasad et al 2010</t>
  </si>
  <si>
    <t>No data about tree growth, but tree also had the purpose of improving soil fertility</t>
  </si>
  <si>
    <t>Tree increases yield of main crop</t>
  </si>
  <si>
    <t>No data about tree growth. Purpose of tree was to impove soil (improved falllow)</t>
  </si>
  <si>
    <t>Prunings from the trees served to ferilize the plot</t>
  </si>
  <si>
    <t>No data about production of wood, (partial) purpose of trees is to provide shade for the coffee, though not explicitly mentioned in the study. No dispersion measure, only one site (replicate)</t>
  </si>
  <si>
    <t>Key Field Research Station, Zhangbei Agricultural Resource and Ecological Environment</t>
  </si>
  <si>
    <t>Hebei province</t>
  </si>
  <si>
    <t>Pumpkim</t>
  </si>
  <si>
    <t>Elm</t>
  </si>
  <si>
    <t>2005-2007</t>
  </si>
  <si>
    <t>Sole crop and sole trees</t>
  </si>
  <si>
    <t>Alley cropping in belts</t>
  </si>
  <si>
    <t>Sole trees were not fertilized</t>
  </si>
  <si>
    <t>Improved fallow vs natural grass fallow, so yields are comparable</t>
  </si>
  <si>
    <t>Control grown two times instead of one, so it was multiplied by 2</t>
  </si>
  <si>
    <t>Cover crop versus no cover crop, so same number of harvests</t>
  </si>
  <si>
    <t>No cover crop fallow</t>
  </si>
  <si>
    <t>Sun et al 2018</t>
  </si>
  <si>
    <t>Shaanxi Province</t>
  </si>
  <si>
    <t>Heyang Dryland
Agricultural Research Station, Ganjing Town</t>
  </si>
  <si>
    <t>2007-2014</t>
  </si>
  <si>
    <t>Conventional Tillage</t>
  </si>
  <si>
    <t>No tillage</t>
  </si>
  <si>
    <t>Subsoiling tillage</t>
  </si>
  <si>
    <t>Combination of spring and winter crops, so they were grown in the same year instead of fallow, so same number of harvests</t>
  </si>
  <si>
    <t>Fuentes et al 2009</t>
  </si>
  <si>
    <t>Sorghum double cropping</t>
  </si>
  <si>
    <t>Rotation does not compete in time with main crop, so same number of harvests main crop</t>
  </si>
  <si>
    <t>Data about each harvest reported in the paper. Number of harvests in treatment and control differ, and it was already considered in the calculation</t>
  </si>
  <si>
    <t>Width tree occupation (m)</t>
  </si>
  <si>
    <t>1998-2000</t>
  </si>
  <si>
    <t>Zero tillage</t>
  </si>
  <si>
    <t>Rice-Wheat</t>
  </si>
  <si>
    <t>Rice-Barley</t>
  </si>
  <si>
    <t>Rice-Chickpea</t>
  </si>
  <si>
    <t>Rice-Lentil</t>
  </si>
  <si>
    <t>Rice-Fenugreek</t>
  </si>
  <si>
    <t>Rice-Linseed</t>
  </si>
  <si>
    <t>Rice-Sunflower</t>
  </si>
  <si>
    <t>Rice-Canola</t>
  </si>
  <si>
    <t>Rice-Oats</t>
  </si>
  <si>
    <t>Rice-Forage maize</t>
  </si>
  <si>
    <t>Rice-Egyptian clover</t>
  </si>
  <si>
    <t>Data about area occupied by sparse trees not available</t>
  </si>
  <si>
    <t>Control is winter fallow, while treatment includes a cover crop in the winter, so results are comparable</t>
  </si>
  <si>
    <t>Turkana</t>
  </si>
  <si>
    <t>Kakuma</t>
  </si>
  <si>
    <t>Acacia saligna</t>
  </si>
  <si>
    <t>High tree density-prunning</t>
  </si>
  <si>
    <t>High tree density-no prunning</t>
  </si>
  <si>
    <t>Low tree density-prunning</t>
  </si>
  <si>
    <t>Low tree density-no prunning</t>
  </si>
  <si>
    <t>Sorghum and cowpea (rotated within the same year)</t>
  </si>
  <si>
    <t>t/ha</t>
  </si>
  <si>
    <t>LER3</t>
  </si>
  <si>
    <t>Bhadrachalam</t>
  </si>
  <si>
    <t>3x0.75m</t>
  </si>
  <si>
    <t>3x1m</t>
  </si>
  <si>
    <t>3x2m</t>
  </si>
  <si>
    <t>5x0.8m</t>
  </si>
  <si>
    <t>13x1m Four rows</t>
  </si>
  <si>
    <t>10x1m Triple rows</t>
  </si>
  <si>
    <t>7x1m Paired rows</t>
  </si>
  <si>
    <t>m3/ha</t>
  </si>
  <si>
    <t>Pitta et al 2011</t>
  </si>
  <si>
    <t>Silva et al 2012</t>
  </si>
  <si>
    <t>Instituto Agronômico do Paraná</t>
  </si>
  <si>
    <t>Pato Branco</t>
  </si>
  <si>
    <t>Ungrazed wheat</t>
  </si>
  <si>
    <t>Grazed double-purpose wheat (grain and forage)</t>
  </si>
  <si>
    <t>Wheat (winter)</t>
  </si>
  <si>
    <t>21-days grazing</t>
  </si>
  <si>
    <t>42-days grazing</t>
  </si>
  <si>
    <t>63-days grazing</t>
  </si>
  <si>
    <t>84-days grazing</t>
  </si>
  <si>
    <t>105-days grazing</t>
  </si>
  <si>
    <t>Paraná</t>
  </si>
  <si>
    <t>Heifer Production Unit of the Castrolanda Agricultural Cooperative (Castro)</t>
  </si>
  <si>
    <t>Grazed winter pasture</t>
  </si>
  <si>
    <t>Ungrazed winter pasture</t>
  </si>
  <si>
    <t>number of replicates control</t>
  </si>
  <si>
    <t>number of replicates treatment</t>
  </si>
  <si>
    <t>meta</t>
  </si>
  <si>
    <t>The results shown are results from a meta-analysis (Yes) or from primary studies (No)</t>
  </si>
  <si>
    <t>Watinoma_Park1</t>
  </si>
  <si>
    <t>Watinoma_Park3</t>
  </si>
  <si>
    <t>Watinoma_Park4</t>
  </si>
  <si>
    <t>Not-specified1</t>
  </si>
  <si>
    <t>Not-specified2</t>
  </si>
  <si>
    <t>Not-specified3</t>
  </si>
  <si>
    <t>V_LER1</t>
  </si>
  <si>
    <t>V_LER2</t>
  </si>
  <si>
    <t>V_LER3</t>
  </si>
  <si>
    <t>V_LERt</t>
  </si>
  <si>
    <t>LER_cv</t>
  </si>
  <si>
    <t>LERt_cv</t>
  </si>
  <si>
    <t>Franzluebbers and Stuedemann 2007</t>
  </si>
  <si>
    <t>Agricultural Research Service J. Phil Campbell Sr. Natural Resource Conservation Center in Watkinsville</t>
  </si>
  <si>
    <t>Georgia</t>
  </si>
  <si>
    <t>Grazed cover crop</t>
  </si>
  <si>
    <t>Ungrazed cover crop</t>
  </si>
  <si>
    <t>Rye</t>
  </si>
  <si>
    <t>Grazed cover crop standing DM</t>
  </si>
  <si>
    <t>Sole Cover crop standing DM</t>
  </si>
  <si>
    <t>LERcrop</t>
  </si>
  <si>
    <t>LERfeed</t>
  </si>
  <si>
    <t>LERlivestock</t>
  </si>
  <si>
    <t>Cows and calfs were grazing the cover crops, hence the standing cover crop biomass difference between grazed and ungrazed plots</t>
  </si>
  <si>
    <t>Tanaka et al 2007</t>
  </si>
  <si>
    <t>Northern Great Plains Research Laboratory in Mandan (5.0 km southwest of the laboratory)</t>
  </si>
  <si>
    <t>Grazed crops residues and stover</t>
  </si>
  <si>
    <t>Ungrazed residue or stover (left on the field)</t>
  </si>
  <si>
    <t>Oat/pea</t>
  </si>
  <si>
    <t>Triticale/sweet clover</t>
  </si>
  <si>
    <t>in</t>
  </si>
  <si>
    <t>Ferraj et al 2011</t>
  </si>
  <si>
    <t>Albania</t>
  </si>
  <si>
    <t>Vlora</t>
  </si>
  <si>
    <t>Bare soil, Glyphosate</t>
  </si>
  <si>
    <t>Bare soil, Diuron</t>
  </si>
  <si>
    <t>Cover crop, mix leguminous and cereals</t>
  </si>
  <si>
    <t>trees were 25 years old</t>
  </si>
  <si>
    <t>No control pasture with no trees</t>
  </si>
  <si>
    <t>Fert_type</t>
  </si>
  <si>
    <t>N_input</t>
  </si>
  <si>
    <t>Pesticide</t>
  </si>
  <si>
    <t>Nitrogen input (kg/ha)</t>
  </si>
  <si>
    <t>Yes or No</t>
  </si>
  <si>
    <t>comb</t>
  </si>
  <si>
    <t>Tang et al 2021</t>
  </si>
  <si>
    <t>Feng et al 2021</t>
  </si>
  <si>
    <t>Maize-Peanut</t>
  </si>
  <si>
    <t>N_repl</t>
  </si>
  <si>
    <t>Dufour et al 2013</t>
  </si>
  <si>
    <t>López-Carrasco et al 2015</t>
  </si>
  <si>
    <t>Arenas-Corraliza et al 2018</t>
  </si>
  <si>
    <t>Inurreta-Aguirre et al 2018</t>
  </si>
  <si>
    <t>Departmental property of Restinclie`res</t>
  </si>
  <si>
    <t>Walnut</t>
  </si>
  <si>
    <t>No control sole trees</t>
  </si>
  <si>
    <t>Toledo</t>
  </si>
  <si>
    <t>Oropesa</t>
  </si>
  <si>
    <t>Quercus ilex
Quercus suber</t>
  </si>
  <si>
    <t>Restinclieres Agroforestry Platform (RAP)</t>
  </si>
  <si>
    <t>Herault</t>
  </si>
  <si>
    <t>Ash trees</t>
  </si>
  <si>
    <t>No control sole trees nor data about tree growth</t>
  </si>
  <si>
    <t>Mao et al 2012</t>
  </si>
  <si>
    <t>Mu et al 2013</t>
  </si>
  <si>
    <t>Qin et al 2013</t>
  </si>
  <si>
    <t>Wang et al 2015</t>
  </si>
  <si>
    <t>Yang et al 2011</t>
  </si>
  <si>
    <t>Wuwei</t>
  </si>
  <si>
    <t>Maize-Peas</t>
  </si>
  <si>
    <t>2:4 rows film cover</t>
  </si>
  <si>
    <t>2:4 rows No film cover</t>
  </si>
  <si>
    <t>4:4 rows film cover</t>
  </si>
  <si>
    <t>4:4 rows No film cover</t>
  </si>
  <si>
    <t>Gansu Agricultural University Research and Education Station</t>
  </si>
  <si>
    <t>Wuwei Experimental Station of Gansu Agricultural University</t>
  </si>
  <si>
    <t>Maize-Pea</t>
  </si>
  <si>
    <t>Maize-Wheat</t>
  </si>
  <si>
    <t>The N rates to pea, wheat and maize were 185, 225 and 300kg ha-1 in sole crops. for intercropped pea, wheat and maize were 93, 113 and 190 kg ha-1</t>
  </si>
  <si>
    <t>The N rates to pea, wheat and maize were 185, 225 and 300kg ha-1 in sole crops. for intercropped pea, wheat and maize were 93, 113 and 190 kg ha-2</t>
  </si>
  <si>
    <t>The N rates to pea, wheat and maize were 185, 225 and 300kg ha-1 in sole crops. for intercropped pea, wheat and maize were 93, 113 and 190 kg ha-3</t>
  </si>
  <si>
    <t>The N rates to pea, wheat and maize were 185, 225 and 300kg ha-1 in sole crops. for intercropped pea, wheat and maize were 93, 113 and 190 kg ha-4</t>
  </si>
  <si>
    <t>The N rates to pea, wheat and maize were 185, 225 and 300kg ha-1 in sole crops. for intercropped pea, wheat and maize were 93, 113 and 190 kg ha-5</t>
  </si>
  <si>
    <t>The N rates to pea, wheat and maize were 185, 225 and 300kg ha-1 in sole crops. for intercropped pea, wheat and maize were 93, 113 and 190 kg ha-6</t>
  </si>
  <si>
    <t>Shahaoqu experimental station</t>
  </si>
  <si>
    <t>Inner Mongolia autonomous region</t>
  </si>
  <si>
    <t>12:4 row ratio</t>
  </si>
  <si>
    <t>Huangyang town, Liang Zhou section</t>
  </si>
  <si>
    <t>Type of irrigation differed between treatment and control, but both were irrigated</t>
  </si>
  <si>
    <t>Irrigation 1</t>
  </si>
  <si>
    <t>Irrigation 2</t>
  </si>
  <si>
    <t>Irrigation 3</t>
  </si>
  <si>
    <t>Langfang Experimental Station of Plant Protection Institute, CAAS</t>
  </si>
  <si>
    <t>8:2 row ratio</t>
  </si>
  <si>
    <t>DB</t>
  </si>
  <si>
    <t>ZP</t>
  </si>
  <si>
    <t>EP</t>
  </si>
  <si>
    <t>NP</t>
  </si>
  <si>
    <t xml:space="preserve">OP </t>
  </si>
  <si>
    <t>RP</t>
  </si>
  <si>
    <t>DP</t>
  </si>
  <si>
    <t>PP</t>
  </si>
  <si>
    <t>Sarunaite et al 2010</t>
  </si>
  <si>
    <t>Andrade et al 2012</t>
  </si>
  <si>
    <t>Dolijanovic et al 2009</t>
  </si>
  <si>
    <t>Kadziuliene et al 2011</t>
  </si>
  <si>
    <t>Midega et al 2014</t>
  </si>
  <si>
    <t>Oljaca et al 2000</t>
  </si>
  <si>
    <t>Rao and Willey 1980</t>
  </si>
  <si>
    <t>Stoltz and Nadeau 2014</t>
  </si>
  <si>
    <t>Szumigalski and van Acker 2005</t>
  </si>
  <si>
    <t>Zhang et al 2011</t>
  </si>
  <si>
    <t>Wheat-Lupin</t>
  </si>
  <si>
    <t>Wheat-Vetch</t>
  </si>
  <si>
    <t>Organic production</t>
  </si>
  <si>
    <t>Buenos Aires</t>
  </si>
  <si>
    <t>Estación Experimental Agropecuaria INTA-Balcarce</t>
  </si>
  <si>
    <t>Sunflower-Soybean</t>
  </si>
  <si>
    <t>Simultaneous sowing</t>
  </si>
  <si>
    <t>30day delay soybean sowing</t>
  </si>
  <si>
    <t>Dappah et al 2003</t>
  </si>
  <si>
    <t>Fumesua</t>
  </si>
  <si>
    <t>Kwadaso</t>
  </si>
  <si>
    <t>Ejura</t>
  </si>
  <si>
    <t>Cassava-Maize-Soybean-Cowpea</t>
  </si>
  <si>
    <t>S1 Gblemoduade</t>
  </si>
  <si>
    <t>S2 Gblemoduade</t>
  </si>
  <si>
    <t>S3 Gblemoduade</t>
  </si>
  <si>
    <t>S1 Ankra</t>
  </si>
  <si>
    <t>S2 Ankra</t>
  </si>
  <si>
    <t>S3 Ankra</t>
  </si>
  <si>
    <t>Serbia</t>
  </si>
  <si>
    <t>Belgrade</t>
  </si>
  <si>
    <t>Maize Research Institute</t>
  </si>
  <si>
    <t>C1 hybrid</t>
  </si>
  <si>
    <t>C2 hybrid</t>
  </si>
  <si>
    <t>C3 hybrid</t>
  </si>
  <si>
    <t>Pea-Wheat</t>
  </si>
  <si>
    <t>Pea-Barley</t>
  </si>
  <si>
    <t>Pea-Triticale</t>
  </si>
  <si>
    <t>International Centre of Insect Physiology and Ecology</t>
  </si>
  <si>
    <t>Maize-Crotolaria</t>
  </si>
  <si>
    <t>Maize-Desmodium</t>
  </si>
  <si>
    <t>No control for secondary crop, but purpose was increasing maize yield by controlling a weed</t>
  </si>
  <si>
    <t>Maize Research Institute Zemun Polje</t>
  </si>
  <si>
    <t>Maize-Beans</t>
  </si>
  <si>
    <t>1/3M 2/3B</t>
  </si>
  <si>
    <t>1/2M 1/2B</t>
  </si>
  <si>
    <t>2/3M 1/3B</t>
  </si>
  <si>
    <t>Sweden</t>
  </si>
  <si>
    <t>Nöbbelöv(NL)</t>
  </si>
  <si>
    <t>Helgegården (HG)</t>
  </si>
  <si>
    <t>Björkhaga(BH)</t>
  </si>
  <si>
    <t>60N</t>
  </si>
  <si>
    <t>Amount of N given for the intercrop and maize monocrop, for faba bean monocrop there was no N fertilization</t>
  </si>
  <si>
    <t>Manitoba</t>
  </si>
  <si>
    <t>Wheat-Canola</t>
  </si>
  <si>
    <t>Wheat Pea</t>
  </si>
  <si>
    <t>Wheat-Canola-Pea</t>
  </si>
  <si>
    <t>Canola-Pea</t>
  </si>
  <si>
    <t>Carman</t>
  </si>
  <si>
    <t>Kelburn</t>
  </si>
  <si>
    <t>Herbicides</t>
  </si>
  <si>
    <t>No herbicides</t>
  </si>
  <si>
    <t>Hetao</t>
  </si>
  <si>
    <t>Strip itercropping less than 1m wide</t>
  </si>
  <si>
    <t>Wheat received 240kgN/ha and maize 360</t>
  </si>
  <si>
    <t>Full irrigation</t>
  </si>
  <si>
    <t>Huang-Huai-Hai Regional Corn Technology Innovation Centres</t>
  </si>
  <si>
    <t>Alfalfa-Corn</t>
  </si>
  <si>
    <t>3:2 row ratio</t>
  </si>
  <si>
    <t>5:2 row ratio</t>
  </si>
  <si>
    <t>Weisberger et al 2023</t>
  </si>
  <si>
    <t>Reuter et al 2022</t>
  </si>
  <si>
    <t>Hunter et al 2021</t>
  </si>
  <si>
    <t>Southeast</t>
  </si>
  <si>
    <t>Osnabrück University of Applied Sciences experimental organic farm “Waldhof”</t>
  </si>
  <si>
    <t>Hellern</t>
  </si>
  <si>
    <t>Marthe 75:75</t>
  </si>
  <si>
    <t>Marthe 90:50</t>
  </si>
  <si>
    <t>Barley-Camelina</t>
  </si>
  <si>
    <t>Barley-Linseed</t>
  </si>
  <si>
    <t>Odilia 75:75</t>
  </si>
  <si>
    <t>Odilia 90:50</t>
  </si>
  <si>
    <t>Organic farming</t>
  </si>
  <si>
    <t>Pennsylvania</t>
  </si>
  <si>
    <t>Rock Springs</t>
  </si>
  <si>
    <t>Red clover/Rye/Pea</t>
  </si>
  <si>
    <t>Abebe et al 2005</t>
  </si>
  <si>
    <t>Trap crop rotation</t>
  </si>
  <si>
    <t>Fenugreek</t>
  </si>
  <si>
    <t>Linseed</t>
  </si>
  <si>
    <t>Garlic</t>
  </si>
  <si>
    <t>Pepper</t>
  </si>
  <si>
    <t>Snap bean</t>
  </si>
  <si>
    <t>3 year rotation where main crop planted each year in control and only the last year in treatment, therefore control multiplied by 3</t>
  </si>
  <si>
    <t>Central Rift Valley</t>
  </si>
  <si>
    <t>Backheit et al 2002</t>
  </si>
  <si>
    <t>Assiut</t>
  </si>
  <si>
    <t>Assiut University</t>
  </si>
  <si>
    <t>Faba bean-Lupin</t>
  </si>
  <si>
    <t>Faba bean-Fenugreek</t>
  </si>
  <si>
    <t>Faba bean-Egyptian clover</t>
  </si>
  <si>
    <t>Dhanapal 1996</t>
  </si>
  <si>
    <t>Karnataka</t>
  </si>
  <si>
    <t>Nipani</t>
  </si>
  <si>
    <t>Tobacco</t>
  </si>
  <si>
    <t>Greengram</t>
  </si>
  <si>
    <t>Redgram</t>
  </si>
  <si>
    <t>Pea</t>
  </si>
  <si>
    <t>Sunflower</t>
  </si>
  <si>
    <t>Fallow instead of trap crop, so same number of harvests main crop</t>
  </si>
  <si>
    <t>Ondele farm</t>
  </si>
  <si>
    <t>Natural fallow</t>
  </si>
  <si>
    <t>Senna occidentalis</t>
  </si>
  <si>
    <t>Senna didymobotrya</t>
  </si>
  <si>
    <t>Sesbania cinerascens</t>
  </si>
  <si>
    <t>Crotalaria grahamiana</t>
  </si>
  <si>
    <t>Desmodium distortum</t>
  </si>
  <si>
    <t>Maize was harvested 3 times in control, versus one in treatment. Last harvest in control multiplied by 3</t>
  </si>
  <si>
    <t>Ebuyangu</t>
  </si>
  <si>
    <t>Gacheru and Rao 2005</t>
  </si>
  <si>
    <t>Hess and Dodo 2004</t>
  </si>
  <si>
    <t>Bengou</t>
  </si>
  <si>
    <t>M-S</t>
  </si>
  <si>
    <t>S-M</t>
  </si>
  <si>
    <t>Already accounted for number of harvests</t>
  </si>
  <si>
    <t>Khan et al 2001</t>
  </si>
  <si>
    <t>Push-pull</t>
  </si>
  <si>
    <t>Maize-Napier</t>
  </si>
  <si>
    <t>Maize-Napier-Desmodium</t>
  </si>
  <si>
    <t>Maize-Napier-Molasses grass</t>
  </si>
  <si>
    <t>Midega et al 2013</t>
  </si>
  <si>
    <t>Thomas Odhiambo Campus</t>
  </si>
  <si>
    <t>Maize-Desmodium uncinatum</t>
  </si>
  <si>
    <t>Midega et al 2015</t>
  </si>
  <si>
    <t>Kenya, Uganda and Tanzania</t>
  </si>
  <si>
    <t>Kenya Uganda Tanzania</t>
  </si>
  <si>
    <t>Maize-Greenleaf desmodium-Brachiaria</t>
  </si>
  <si>
    <t>Nyabeda</t>
  </si>
  <si>
    <t>TGX 1448-2E</t>
  </si>
  <si>
    <t>Tgm 1576</t>
  </si>
  <si>
    <t>TGX1876-4E</t>
  </si>
  <si>
    <t>Tgm 1039</t>
  </si>
  <si>
    <t>Trap crop</t>
  </si>
  <si>
    <t>Olupot et al 2003</t>
  </si>
  <si>
    <t>Sorghum-Celosia argentia</t>
  </si>
  <si>
    <t>First rains</t>
  </si>
  <si>
    <t>Second rains</t>
  </si>
  <si>
    <t>Vissoh et al 2008</t>
  </si>
  <si>
    <t>Maize-Bambara nut</t>
  </si>
  <si>
    <t>Cowpea local cultivar</t>
  </si>
  <si>
    <t>TVX cowea cultivar</t>
  </si>
  <si>
    <t>Somé</t>
  </si>
  <si>
    <t>Za-Kpota</t>
  </si>
  <si>
    <t>They do not separate the three intercropping patterns in the result, but strip intercropping definition says that species are close enough to interact.</t>
  </si>
  <si>
    <t>Livestock</t>
  </si>
  <si>
    <t>Datta et al 2009</t>
  </si>
  <si>
    <t>Frei and Becker 2005</t>
  </si>
  <si>
    <t>Mohanty et al 2004</t>
  </si>
  <si>
    <t>Tsuruta et al 2011</t>
  </si>
  <si>
    <t>Yang et al 2006</t>
  </si>
  <si>
    <t>LERt lb luf</t>
  </si>
  <si>
    <t>LERt ub luf</t>
  </si>
  <si>
    <t>Alfalfa (Medicago sativa)</t>
  </si>
  <si>
    <t>Province of Zoundwéogo</t>
  </si>
  <si>
    <t>Thiougou</t>
  </si>
  <si>
    <t>Karite (Vitellaria paradoxa)_crop under crown</t>
  </si>
  <si>
    <t>Crop 6 to 8m from trees</t>
  </si>
  <si>
    <t>Vitellaria paradoxa</t>
  </si>
  <si>
    <t>No data about crop production. Variability measures available (95% confidence intervals) for height and dbh</t>
  </si>
  <si>
    <t>tree influence length</t>
  </si>
  <si>
    <t>dry gestating beef cows</t>
  </si>
  <si>
    <t>No data about livestock production,but about feed</t>
  </si>
  <si>
    <t>dairy heifers</t>
  </si>
  <si>
    <t>Cuttack</t>
  </si>
  <si>
    <t>Central Rice Research Institute</t>
  </si>
  <si>
    <t>Rice-fish</t>
  </si>
  <si>
    <t>Rice only</t>
  </si>
  <si>
    <t>cv. Varshadan</t>
  </si>
  <si>
    <t>cv. Durga</t>
  </si>
  <si>
    <t>Stover sole annual crop</t>
  </si>
  <si>
    <t>SD_sole stover</t>
  </si>
  <si>
    <t>Stuttgart</t>
  </si>
  <si>
    <t>Carp</t>
  </si>
  <si>
    <t>Carp/Tilapia</t>
  </si>
  <si>
    <t xml:space="preserve">cow/calf pair liveweight gain </t>
  </si>
  <si>
    <t>Frei et al 2007_Performace</t>
  </si>
  <si>
    <t>Tilapia</t>
  </si>
  <si>
    <t>Urea</t>
  </si>
  <si>
    <t>1feed Carp/Tilapia</t>
  </si>
  <si>
    <t>2Feed Carp/Tilapia</t>
  </si>
  <si>
    <t>-</t>
  </si>
  <si>
    <t>Fish fed with fish food in the treatment (2% of total biomass) with oil cake or rice bran or polish</t>
  </si>
  <si>
    <t>Fish fed with fish feed (6.4g/kg-0.8/day-1). Amount of feed supplied (270kg/ha).</t>
  </si>
  <si>
    <t>Fish fed with fish feed at a rate of 2x maintenance level</t>
  </si>
  <si>
    <t>Fish fed with fish feed at an elevated rate of 4x</t>
  </si>
  <si>
    <t>Fish not fed</t>
  </si>
  <si>
    <t>Bhubaneswar</t>
  </si>
  <si>
    <t>Deras</t>
  </si>
  <si>
    <t>10-cm weir height</t>
  </si>
  <si>
    <t>12.5-cm weir height</t>
  </si>
  <si>
    <t>15-cm weir height</t>
  </si>
  <si>
    <t>Suplemental feed for fish was given</t>
  </si>
  <si>
    <t>Nagano</t>
  </si>
  <si>
    <t>Ueda</t>
  </si>
  <si>
    <t>Jiangsu Province</t>
  </si>
  <si>
    <t>Hainan</t>
  </si>
  <si>
    <t>cv. Suxiangjing 1</t>
  </si>
  <si>
    <t>cv. Suxiangjing 2</t>
  </si>
  <si>
    <t>cv. Changyou 1</t>
  </si>
  <si>
    <t>ci.lb LERlivestock</t>
  </si>
  <si>
    <t>ci.ub LERlivestock</t>
  </si>
  <si>
    <t>V_LERcrop</t>
  </si>
  <si>
    <t>V_LERfeed</t>
  </si>
  <si>
    <t>V_LERlivestock</t>
  </si>
  <si>
    <t>Amin et al 2022</t>
  </si>
  <si>
    <t>Dinajpur</t>
  </si>
  <si>
    <t>Agroforestry and Environment Research Farm of Hajee Mohammad Danesh Science and Technology University</t>
  </si>
  <si>
    <t>alley</t>
  </si>
  <si>
    <t>Melia azedarach</t>
  </si>
  <si>
    <t>Trees are sold and data about revenue from trees provided, but no control sole trees</t>
  </si>
  <si>
    <t>Bai et al 2016</t>
  </si>
  <si>
    <t>Liaoning</t>
  </si>
  <si>
    <t>Apricot</t>
  </si>
  <si>
    <t>Zhanggutai</t>
  </si>
  <si>
    <t>Bhardwaj et al 2021</t>
  </si>
  <si>
    <t>Ludhiana</t>
  </si>
  <si>
    <t>Department of Forestry and Natural Resources, PAU,</t>
  </si>
  <si>
    <t>Biswas et al 2022</t>
  </si>
  <si>
    <t>Jhargram</t>
  </si>
  <si>
    <t>Bengal</t>
  </si>
  <si>
    <t>Mango</t>
  </si>
  <si>
    <t>Gmelina</t>
  </si>
  <si>
    <t>2009-2019</t>
  </si>
  <si>
    <t>Pigeon pea</t>
  </si>
  <si>
    <t>Mango-Pigeon pea</t>
  </si>
  <si>
    <t>m3/ha/yr</t>
  </si>
  <si>
    <t>Osonubi et al 1995</t>
  </si>
  <si>
    <t>Ajibode research farm</t>
  </si>
  <si>
    <t>Prunnings and leaves from shrubs were used to fertilise herbaceous crop</t>
  </si>
  <si>
    <t>Ocimati et al 2019</t>
  </si>
  <si>
    <t>Democratic Republic of Congo</t>
  </si>
  <si>
    <t>South Kivu Province</t>
  </si>
  <si>
    <t>Mulungu research station</t>
  </si>
  <si>
    <t>Farmyard manure was only applied for banana in the planting hole at planting. No additional fertilizer was applied</t>
  </si>
  <si>
    <t>Climbing bean</t>
  </si>
  <si>
    <t>Bush bean</t>
  </si>
  <si>
    <t>all banana leaves retained</t>
  </si>
  <si>
    <t xml:space="preserve">4 banana leaves retained </t>
  </si>
  <si>
    <t xml:space="preserve">7 banana leaves retained </t>
  </si>
  <si>
    <t>Panozzo et al 2020</t>
  </si>
  <si>
    <t>Mauguio</t>
  </si>
  <si>
    <t>INRA DIASCOPE station</t>
  </si>
  <si>
    <t>Olive</t>
  </si>
  <si>
    <t>Durum wheat</t>
  </si>
  <si>
    <t>Rodrigo et al 1997</t>
  </si>
  <si>
    <t>Kuruwita</t>
  </si>
  <si>
    <t>Rubber Research Institute</t>
  </si>
  <si>
    <t>Rubber</t>
  </si>
  <si>
    <t>1:1 rubber banana</t>
  </si>
  <si>
    <t>1:2 rubber banana</t>
  </si>
  <si>
    <t>1:3 rubber banana</t>
  </si>
  <si>
    <t>Ronner et al 2021</t>
  </si>
  <si>
    <t>Kapchorwa</t>
  </si>
  <si>
    <t>Kanungu</t>
  </si>
  <si>
    <t>Local var No pruning</t>
  </si>
  <si>
    <t>Local var Pruning</t>
  </si>
  <si>
    <t>Improved var No pruning</t>
  </si>
  <si>
    <t>Improved var Pruning</t>
  </si>
  <si>
    <t>Tripathi et al 2019</t>
  </si>
  <si>
    <t>Wang et al 2022</t>
  </si>
  <si>
    <t>Xu et al 2019</t>
  </si>
  <si>
    <t>Zhang et al 2019</t>
  </si>
  <si>
    <t>Zhang et al 2017</t>
  </si>
  <si>
    <t>Himachal Pradesh</t>
  </si>
  <si>
    <t>Solan</t>
  </si>
  <si>
    <t>Peach</t>
  </si>
  <si>
    <t>Ocinum sanctum</t>
  </si>
  <si>
    <t>Withania somnifera</t>
  </si>
  <si>
    <t>Andrographis paniculata</t>
  </si>
  <si>
    <t>Ningxia Province</t>
  </si>
  <si>
    <t>Lingwu</t>
  </si>
  <si>
    <t>LingwuChangzao' Jujube</t>
  </si>
  <si>
    <t>Perennial ryegrass</t>
  </si>
  <si>
    <t>Rattan grass</t>
  </si>
  <si>
    <t>Natural grass</t>
  </si>
  <si>
    <t>trees were 13 years old, 833trees/ha</t>
  </si>
  <si>
    <t>Jixian</t>
  </si>
  <si>
    <t>Apple</t>
  </si>
  <si>
    <t>Jujube</t>
  </si>
  <si>
    <t>Hetian Agricultural Scientific Research Institute</t>
  </si>
  <si>
    <t>Xinjiang Uygur Autonomous Region</t>
  </si>
  <si>
    <t>5 years old jujube</t>
  </si>
  <si>
    <t>7 years old jujube</t>
  </si>
  <si>
    <t>9 years old jujube</t>
  </si>
  <si>
    <t>6 years old jujube</t>
  </si>
  <si>
    <t>8 years old jujube</t>
  </si>
  <si>
    <t>10 years old jujube</t>
  </si>
  <si>
    <t>Notes</t>
  </si>
  <si>
    <t>Permanent cover crops (such as aromatics (Thymus sp, Lavandula sp, Salvia sp, Rosmarinus sp, Brachypodium sp, Asparagus sp or natural grass)</t>
  </si>
  <si>
    <t>Trees were 20 years old when the experiment started</t>
  </si>
  <si>
    <t>n_prim_st</t>
  </si>
  <si>
    <t>number of primary studies (for meta-analyses)</t>
  </si>
  <si>
    <t>No information about yield crop 2, but its purpose was reducing insect pests. Data about yield crop 1 obtained with https://plotdigitizer.com/app</t>
  </si>
  <si>
    <t>Purpose of intercropping was to reduce damage by pests. Data obtained from graph with https://plotdigitizer.com/app</t>
  </si>
  <si>
    <t>Purpose of intercropping was to reduce damage by pests. No data about sole crop yield of crop 3, and no data about sorghum, stil LER is considering either crop 3 or sorghum because it is higher than the sum of the partial lers we could calculate with the given data.</t>
  </si>
  <si>
    <t>Purpose of intercropping was to reduce damage by pests. No data about crop yield sorghum in intercrop, and sorghum not considered for LER</t>
  </si>
  <si>
    <t>Purpose of intercropping was to reduce damage by pests. No data about crop yield sorghum in intercrop.</t>
  </si>
  <si>
    <t>Data obtained from graph with https://plotdigitizer.com/app. Red because many papers in common with other meta-analyses</t>
  </si>
  <si>
    <t>No data about yield or biomass of catch crops. Legume and mixed catch crops underswon in spring cereals</t>
  </si>
  <si>
    <t>No data about yield or biomass of catch crops. Non-legume catch crops underswon in spring cereals</t>
  </si>
  <si>
    <t>No data about companion crop, but it was not harvested. Legume companion plant, sole crop unweeded</t>
  </si>
  <si>
    <t>9 sites with different pair comparisons and 2 years. Only combined data about total grain dry matter for the intercrops (yield not divided per crop)</t>
  </si>
  <si>
    <t>10 sites with different pair comparisons and 2 years. Only combined data about total grain dry matter for the intercrops (yield not divided per crop)</t>
  </si>
  <si>
    <t>Intercropping yield not given by species, but it is all forage yield usually harvested together. LER was calculated as (yield of all species in intercropping/yield in the most productive species in sole crops). Data obtained with plot digitizer</t>
  </si>
  <si>
    <t>No data about yield cover crop, but it is a cover crop (living mulch). Broccoli 1.092m2/plant; 9158 plants/ha</t>
  </si>
  <si>
    <t>No data about secondary crops, but they are living mulches used to prevent infestations. Data obtained with plot digitizer</t>
  </si>
  <si>
    <t>No data about secondary crops, but their purpose was reducing infestations. 84 rows (60m long) of soy/0.45ha in treatment; 96 rows (60m long) of soy/0.45ha in control, plots were 0.45ha distributed as 75*60</t>
  </si>
  <si>
    <t>LER given in paper not the same as calculated. We kept our calculation. Mineral fertilization differed for sole wheat (94kgN/ha) and sole lentil or mixed intercropping (37kgN/ha). Row intercropping fertilization not mentioned</t>
  </si>
  <si>
    <t>115kgN/ha for wheat, 58kgN/ha for alfalfa. Alfalfa was inoculated when cultivated as sole crop</t>
  </si>
  <si>
    <t>Complete_LER</t>
  </si>
  <si>
    <t>Data of stover is production of forage by winter grasses. Data N inout only accounts for the mineral fertilization.</t>
  </si>
  <si>
    <t>Data of stover is production of forage by winter grasses. Data N inout only accounts for the mineral fertilization</t>
  </si>
  <si>
    <t>Fish fed with fish feed at a rate of 2x maintenance level. Rice only treatment was supplied with urea.</t>
  </si>
  <si>
    <t>Trees were 60 years old. Cummulative yield over 7 years was divided by 7 to calculate t/ha/year.</t>
  </si>
  <si>
    <t>LER_mush</t>
  </si>
  <si>
    <t>Sheep grazing in herbaceous spontaneous vegetation (no tillage)</t>
  </si>
  <si>
    <t>Sheep grazing in rainfed seeded pasture (no tillage)</t>
  </si>
  <si>
    <t>Sheep grazing in irrigated seeded pasture (no tillage)</t>
  </si>
  <si>
    <t>Ayoub 1986</t>
  </si>
  <si>
    <t>Sorghum-Lablab</t>
  </si>
  <si>
    <t>Sorghum-Trilobus</t>
  </si>
  <si>
    <t>Sorghum-Clitoria</t>
  </si>
  <si>
    <t>Sorghum-Cajanus</t>
  </si>
  <si>
    <t>Gezira Research Farm</t>
  </si>
  <si>
    <t>1982-1985</t>
  </si>
  <si>
    <t>Control received 100kgN/ha and intercropping received 20kgN/ha</t>
  </si>
  <si>
    <t>De Groote et al 2010</t>
  </si>
  <si>
    <t>IR maize var</t>
  </si>
  <si>
    <t>LM maize var</t>
  </si>
  <si>
    <t>Maize was harvested every season (two seasons per year), therefpre we multiplied the yield by 2)</t>
  </si>
  <si>
    <t>Kabirizi et al 2013</t>
  </si>
  <si>
    <t>Masaka district</t>
  </si>
  <si>
    <t>Napier grass-Centrosema molle</t>
  </si>
  <si>
    <t>Kariuki et al 1999</t>
  </si>
  <si>
    <t>Naivasha</t>
  </si>
  <si>
    <t>National Animal Husbandry Research Centre</t>
  </si>
  <si>
    <t>Napier grass-Desmodium intortum</t>
  </si>
  <si>
    <t>Napier grass-Lucerne</t>
  </si>
  <si>
    <t>Napier grass-Desmodium hay</t>
  </si>
  <si>
    <t>Khan et al 2008b</t>
  </si>
  <si>
    <t>Maize-beans</t>
  </si>
  <si>
    <t>Kouame et al 1993</t>
  </si>
  <si>
    <t>Sahelian Centre of International Crop Research Institute for the Semi-Arid Tropics</t>
  </si>
  <si>
    <t>Millet-Stylosanthes fruticosa</t>
  </si>
  <si>
    <t>1:1 row</t>
  </si>
  <si>
    <t>3:3 row</t>
  </si>
  <si>
    <t>Millet-Stylosanthes hamata</t>
  </si>
  <si>
    <t>Mubiru et al 2001</t>
  </si>
  <si>
    <t>milk (l/day)</t>
  </si>
  <si>
    <t>Masaka</t>
  </si>
  <si>
    <t>Cows feed on maize stover apart from lablab</t>
  </si>
  <si>
    <t>Cows feeding only on lablab</t>
  </si>
  <si>
    <t>Mupangwa et al 2003</t>
  </si>
  <si>
    <t>Buhera district</t>
  </si>
  <si>
    <t>Wedza district</t>
  </si>
  <si>
    <t>Mashonaland East province</t>
  </si>
  <si>
    <t>Manicaland province</t>
  </si>
  <si>
    <t>Maize-lablab</t>
  </si>
  <si>
    <t>Maize-velvet bean</t>
  </si>
  <si>
    <t>1998/2000</t>
  </si>
  <si>
    <t>1998/2001</t>
  </si>
  <si>
    <t>1998/2002</t>
  </si>
  <si>
    <t>1998/2003</t>
  </si>
  <si>
    <t>1998/2004</t>
  </si>
  <si>
    <t>1998/2005</t>
  </si>
  <si>
    <t>1998/2006</t>
  </si>
  <si>
    <t>1998/2007</t>
  </si>
  <si>
    <t>1998/2008</t>
  </si>
  <si>
    <t>Natural region II</t>
  </si>
  <si>
    <t>Natural region III</t>
  </si>
  <si>
    <t>Natural region IV</t>
  </si>
  <si>
    <t>Buberuka Highlands</t>
  </si>
  <si>
    <t>Rwerere</t>
  </si>
  <si>
    <t>Woody shrubs (leguminous) with fodder grasses</t>
  </si>
  <si>
    <t>Setaria</t>
  </si>
  <si>
    <t>Pennisetum</t>
  </si>
  <si>
    <t>Njoka-Njiru et al 2006</t>
  </si>
  <si>
    <t>Nairobi</t>
  </si>
  <si>
    <t>Napier grass-Seca stylo</t>
  </si>
  <si>
    <t>Napier grass-Siratro</t>
  </si>
  <si>
    <t>Long rains/dry season</t>
  </si>
  <si>
    <t>Dry season</t>
  </si>
  <si>
    <t>Njwe et al 1992</t>
  </si>
  <si>
    <t>University Centre of Dschang</t>
  </si>
  <si>
    <t>Brachiaria ruziziensis-Desmodium intortum</t>
  </si>
  <si>
    <t>Brachiaria ruziziensis-Desmodium uncinatum</t>
  </si>
  <si>
    <t>Brachiaria ruziziensis-Stylosanthes guianensis</t>
  </si>
  <si>
    <t>The secondary crop is a legume that leads to an increase in the production of the main crop</t>
  </si>
  <si>
    <t>Ojo et al 2013</t>
  </si>
  <si>
    <t>Ogun State</t>
  </si>
  <si>
    <t>Pannicum maximum-Lablab purpureus</t>
  </si>
  <si>
    <t>8 weeks after planting</t>
  </si>
  <si>
    <t>10 weeks after planting</t>
  </si>
  <si>
    <t>12 weeks after planting</t>
  </si>
  <si>
    <t>14 weeks after planting</t>
  </si>
  <si>
    <t>The secondary crop is a legume that leads to an increase in the production of the main crop. Data obtained with plotdigitizer.</t>
  </si>
  <si>
    <t>O'Neill et al 2002</t>
  </si>
  <si>
    <t>Kenya Agricultural Research Institute</t>
  </si>
  <si>
    <t>Woody shrubs (leguminous) with maize</t>
  </si>
  <si>
    <t>No control for wheat and beans planted next to the fooder shrubs in the same plot. Harvest of all the plot, therefore no need to correct for presence of shrubs</t>
  </si>
  <si>
    <t>All plot harvested so no need to correct with shrub density for presence of shrubs in the plot</t>
  </si>
  <si>
    <t>Woody shrubs (leguminous) and napier grass with maize</t>
  </si>
  <si>
    <t>Maize-Napier grass</t>
  </si>
  <si>
    <t>2008-2009</t>
  </si>
  <si>
    <t>FIFAMANOR (Centre for Rural Development and Applied Research)</t>
  </si>
  <si>
    <t>Vakinankaratra</t>
  </si>
  <si>
    <t>Madagascar</t>
  </si>
  <si>
    <t>Brachiaria-peremmoal peanut</t>
  </si>
  <si>
    <t>Rahetlah et al 2012</t>
  </si>
  <si>
    <t>&gt;33</t>
  </si>
  <si>
    <t>Forage species harvested together. LER calculated for the only species with a control.</t>
  </si>
  <si>
    <t>2009-2010</t>
  </si>
  <si>
    <t>2010-2011</t>
  </si>
  <si>
    <t>Kakengi et al 2001</t>
  </si>
  <si>
    <t>Shinyanga</t>
  </si>
  <si>
    <t>Cows fed on residues of Leucaena, cottonseed hulls or maize stover</t>
  </si>
  <si>
    <t>Leucaena leucocephala-cottonseed hulls</t>
  </si>
  <si>
    <t>1.2kg DM leucaena</t>
  </si>
  <si>
    <t>2kg DM leucaena</t>
  </si>
  <si>
    <t>2.6kg DM leucaena</t>
  </si>
  <si>
    <t>Cows fed on cottonseed hulls and maize bran only</t>
  </si>
  <si>
    <t>Animal product (treatment)</t>
  </si>
  <si>
    <t>fish (kg/ha/year live weight)</t>
  </si>
  <si>
    <t>steer (kg/ha/year live weight)</t>
  </si>
  <si>
    <t>cow/calf pair liveweight gain</t>
  </si>
  <si>
    <t>Animal product (control)</t>
  </si>
  <si>
    <t>Control chosen based on explanation of common practice by farmers in the area and unavailability of commercial feed (which was the other control)</t>
  </si>
  <si>
    <t>Ngwa and Tawah 2002</t>
  </si>
  <si>
    <t>Far North Province</t>
  </si>
  <si>
    <t>Lambs fed on basal diet (rice straw and rice bran)</t>
  </si>
  <si>
    <t>Lambs fed on groundnut haulms apart from basal diet (rice straw and rice bran)</t>
  </si>
  <si>
    <t>Lambs fed on cowpea vines apart from basal diet (rice straw and rice bran)</t>
  </si>
  <si>
    <t>lambs mean daily weight gain (g/day)</t>
  </si>
  <si>
    <t>Nyambati et al 2003</t>
  </si>
  <si>
    <t>Kitale</t>
  </si>
  <si>
    <t>Kenya Agricultural Research Institute's National Agricultural Research Centre</t>
  </si>
  <si>
    <t>Dairy cows fed on napiergrass</t>
  </si>
  <si>
    <t>Dairy cows fed on napiergrass and mucuna hay</t>
  </si>
  <si>
    <t>Dairy cows fed on napiergrass and lablab hay</t>
  </si>
  <si>
    <t>milk (kg/cow/day)</t>
  </si>
  <si>
    <t>Niang et al 1998</t>
  </si>
  <si>
    <t>No information about hedgerow growth, but because hedgerows were used to separate fields, we still include it. Data about area occupied by hedgerows not available.</t>
  </si>
  <si>
    <t xml:space="preserve">No control for trees, control 40m away from crown tree. Trees are preserved on farm fields for food, wood, fodder, medicine, climatic amelioration, boundary markers. Other tree species occurring not considered in the study: Magnifera indica, Ficus gnaphalocarpa, Sclerocarya birrea, Lannea microcarpa, Terminalia laxiflora, Psidium guayava (among a total of 32 woody species identified). Data obtained with https://plotdigitizer.com/app </t>
  </si>
  <si>
    <t xml:space="preserve">No control for trees. No data about tree growth. Not specified in this paper, but usually purpose of F. albida is to improve fertility (N-fixing tree). Multispecific park (nearly 20 species apart form F. albida). No data about dbh or basal diameter, only canopy cover but crops were planted under the canopy. </t>
  </si>
  <si>
    <t>No control for trees. No data about tree growth. Not specified in this paper, but usually purpose of F. albida is to improve fertility (N-fixing tree). Monospecific park. No data about dbh or basal diameter, only canopy cover but crops were planted under the canopy.</t>
  </si>
  <si>
    <t>No data about shrub productivity, but its purpose is improving fertility. Yield already considers the area of the shrubs.</t>
  </si>
  <si>
    <t>No data about shrub productivity, but its purpose is improving fertility. Millet aboveground biomass recorded because common practice is cutting it and leaving it in the field. Yield already considers the area of the shrubs.</t>
  </si>
  <si>
    <t>No data about shrub productivity, but its purpose is improving fertility. Crop residue typically removed for livestock fodder. Yield already considers the area of the shrubs.</t>
  </si>
  <si>
    <t>No data about tree growth. Volume (m3) of trees in 2006 recorded. Purpose of study was to evaluate resistance of crops to shadow. Legumious tree (African locust bean), but shows no evidence of nodulation and N fixation. Multipuprose, one of them is to produce soumbala (spicy seasoning for local dishes). Tree density not available, but it is a parkland, so tree density must be low.</t>
  </si>
  <si>
    <t>No data about tree growth. Purpose of study was to evaluate resistance of crops to shadow. Legumious tree (African locust bean), but shows no evidence of nodulation and N fixation. Multipuprose, one of them is to produce soumbala (spicy seasoning for local dishes). Tree density not available, but it is a parkland, so tree density must be low.</t>
  </si>
  <si>
    <t>No data about fruit production by trees. No control sole tree. Fruit tree. Competition with crop for light and probably water, but tree litter improves microbial biomass-carbon, water infiltration and nitrogen content in under-canopy soil.</t>
  </si>
  <si>
    <t>No data about fruit production by trees. No control sole tree. Fruit tree, does not fix nitrogen.</t>
  </si>
  <si>
    <t>No data about tree fruit production, nor tree growth. Fruit tree, but also kept "because of the ecosystem services it provides". Tree density not available, but it is a parkland, so tree density must be low.</t>
  </si>
  <si>
    <t>No data about tree growth. Volume (m3) of trees in 2006 recorded. Purpose of study was to evaluate resistance of crops to shadow. Legumious tree (African locust bean), but shows no evidence of nodulation and N fixation. Multipuprose, one of them is to produce soumbala (spicy seasoning for local dishes). Tree density not available, but it is a parkland, so tree density must be low. Fertilization is a combination of organic and mineral (not specfied N content of organic, so value of N_input is only for mineral)</t>
  </si>
  <si>
    <t>Tree growth control</t>
  </si>
  <si>
    <t>2008/2009</t>
  </si>
  <si>
    <t>Tillage</t>
  </si>
  <si>
    <t>Tillage_Site1</t>
  </si>
  <si>
    <t>Tillage_Site2</t>
  </si>
  <si>
    <t>No information about yields sole crop 2. Legumes have a double purpose, producing food, feed and improving soil fertility.</t>
  </si>
  <si>
    <t>Crop 2 is a cover crop, so yield data of crop 2 refers to aboveground biomass, which was incorporated to the soil. Data yield maize extracted with https://plotdigitizer.com/app</t>
  </si>
  <si>
    <t>No data about yield cover crop, but since it is a cover crop, it is still included. Cover crop versus no cover crop, so same number of harvests.</t>
  </si>
  <si>
    <t>No data about yield cover crop, but since it is a cover crop, it is still included. Cover crop versus no cover crop, so same number of harvests. Data obtained with plot digitizer.</t>
  </si>
  <si>
    <t>No data about yield cover crop, but since it is a cover crop, it is still included. Improved fallow versus natural vegetation, so same number of harvests.</t>
  </si>
  <si>
    <t>Only % crop yield increase given, and more than 20% of studies repeated with other meta-analyses included. Cover crop versus no cover crop, so same number of harvests. Data extracted with https://plotdigitizer.com/app</t>
  </si>
  <si>
    <t>No data secondary crop. Secondary crop was harvested (though the stover was left on the field as purpose of rotation was to increase productivity of main crop), so double purpose. Control grown two times instead of one, so it was multiplied by 2</t>
  </si>
  <si>
    <t>No control for cover crop, but since it is a cover crop incorporated to the soil, it is still included. Yield crop 2 refers to the dry matter of cover crop. Control grown two times instead of one, so it was multiplied by 2</t>
  </si>
  <si>
    <t>No control for secondary crop, but used as cover crop. Rotation does not compete in time with main crop, so same number of harvests main crop</t>
  </si>
  <si>
    <t>No yield data secondary crop, but purpose was increasing soil fertility. Control grown two times instead of one, so it was multiplied by 2.</t>
  </si>
  <si>
    <t>Organic farming. Cover crop vs fallow so same number of harvests in treatment and control.</t>
  </si>
  <si>
    <t>Weeding was done more frequently in monoculture than rotation. Maize was harvested 3 times in control, versus one in treatment. Last harvest in control multiplied by 3.</t>
  </si>
  <si>
    <t>Siaya and Vihiga</t>
  </si>
  <si>
    <t>Zero-tillage/+residues</t>
  </si>
  <si>
    <t>Zero-tillage/no residues</t>
  </si>
  <si>
    <t>Conventional-tillage/+residues</t>
  </si>
  <si>
    <t>Coventional-tillage/no residues</t>
  </si>
  <si>
    <t>Average yields over 4 years</t>
  </si>
  <si>
    <t>El Batán Experimental Station (CIMMYT)</t>
  </si>
  <si>
    <t>Tree and crop</t>
  </si>
  <si>
    <t>zero</t>
  </si>
  <si>
    <t>No control sole trees. Trees were around 40 years old. Benefit of tree was improving yield of main crop. Trees also provided fuel and fodder.</t>
  </si>
  <si>
    <t xml:space="preserve">No data about hedgerow growth, but it is a leguminous (improve soil fertility). Data obtained with https://plotdigitizer.com/app </t>
  </si>
  <si>
    <t xml:space="preserve">Prunings from the trees served to ferilize the plot. Part of the data obtained with https://plotdigitizer.com/app </t>
  </si>
  <si>
    <t>Information about tree growth not included in LER. Not known whether leaves and prunings were left in field. 2400 trees per hectare on average for the 4m row spacing intercropping, and 1250 trees/ha in control plots</t>
  </si>
  <si>
    <t>Gum production from tree recorded as crop 2, collected when trees were 3.5 years old. Data about tree growth (height, crown and basal diameter are available, but because no diameter at breast height is available we cannot calculate timber production</t>
  </si>
  <si>
    <t>Control 100kg/ha mineral fertilizer and treatment 20kg/ha mineral fertilizer (+ rests of prunnings, which makes another 105kgN/ha, therefore more or less equivalent fertilization). Production of straw recorded but not considered for LER. Role of trees is to provide nitrogen for the crops.</t>
  </si>
  <si>
    <t>No tree only control plot, nor fruit production by alley trees, only initial height and dbh (alley trees). Took average of yield and SD for crop 1, because it was given for tree distances from the trees).</t>
  </si>
  <si>
    <t>No data about tree growth, but nitrogen fixer tree and purpose of study was to evaluate influence of trees on SOM. N data does not include organic fertilization from prunnings.</t>
  </si>
  <si>
    <t>Trees were22 years old when the experiment started. Spacing: 3 by 12m: 36m2/tree; 278trees/ha. No data about crop production, while not a cover crop, but a forage crop.</t>
  </si>
  <si>
    <t>Trees were22 years old when the experiment started. Spacing: 3 by 12m: 36m2/tree; 278trees/ha. Data recorded for crop 1 is nut production by trees. No data about crop production of the herbaceous forage crop.</t>
  </si>
  <si>
    <t>Trees were planted in 1994. Trees were pruned in April, August and November 1996. Concurrently with the pruning in November, we harvested the trunks of the pruned trees and felled all trees which were not pruned previously (final harvest). Area occupied by trees calculated following a model that estimates stump diameter based on biomass for this tree species</t>
  </si>
  <si>
    <t>No control sole trees. Area occupied by trees already considered in the paper.</t>
  </si>
  <si>
    <t>Trees kept for food, fodder, wood for tools and furniture, medicines, and shade, etc. Not to benefit crop production. No data about tree growth, only one point in time it gives dbh and height, but not clear the tree density/ha, and not known when the dbh and height were measured, so no growth can be calculated. Also, no control for trees (without crop)</t>
  </si>
  <si>
    <t>SD_tree biomass</t>
  </si>
  <si>
    <t>No data about fruit production of other fruit trees. No control of trees without coffee.</t>
  </si>
  <si>
    <t xml:space="preserve">Data about dispersion given in graph but it does not say whether it is SE or SD. Data obtained with https://plotdigitizer.com/app </t>
  </si>
  <si>
    <t xml:space="preserve">Data about dispersion given in graph but it does not say whether it is SE or SD. No data about production of wood or other products. Data obtained with https://plotdigitizer.com/app </t>
  </si>
  <si>
    <t>Production is certified organic. No data about production of wood, only 1 site (replicate)</t>
  </si>
  <si>
    <t>Only one site (replicate)</t>
  </si>
  <si>
    <t>Tree is nitrogen fixing species managed to increase fertility. Data obtained with plotdigitizer</t>
  </si>
  <si>
    <t>No data about timber production, even though it is a timber species and it was managed for timber production. Data obtained with plotdigitizer</t>
  </si>
  <si>
    <t>No data about timber production, even though one of the species is a timber species that was managed for timber production. Data obtained with plotdigitizer</t>
  </si>
  <si>
    <t>No data about tree production of cork or timber. The herbaceous understorey layer was dominated by native grasses beneath the canopy, while native legumes and other herbs dominated outside of the canopy.</t>
  </si>
  <si>
    <t>Diameter is not at breast height. Data about height and diameter increase was averaged among the small, medium and large trees. Grazing between February and early June. Data about influence of grazing on grass productivity was taken in a firebreak strip without trees (35m wide).</t>
  </si>
  <si>
    <t>No data about tree growth and no control only trees. Understory vegetation is the average of inner canopy, outer canopy and transitional zone. Open area is 2.5*canopy radius +10meters</t>
  </si>
  <si>
    <t>No data about tree growth and no control only trees. Open area was 20-50m from the tree (beyond the influences of its roots). Zebu cattle.</t>
  </si>
  <si>
    <t>No data about tree growth and no control only trees. Open area was 20-50m from the tree (beyond the influences of its roots). Predominantly cattle and goats.</t>
  </si>
  <si>
    <t>No data about tree growth and no control only trees. Understory vegetation is the average of under the crown (halfway between the trunk and the crown edge) and near the crown (within one crown radius from the edge). Open area is at a distance of at least three crown radii from any trees. Predominantly Shorthorn cross cattle.</t>
  </si>
  <si>
    <t>No data about tree growth and no control only trees. Understory vegetation is the average of the three tree species.</t>
  </si>
  <si>
    <t>No data about tree growth and no control only trees. Exclosures to prevent livestock grazing during the experiment.</t>
  </si>
  <si>
    <t>No data about tree growth and no control only trees. Understory is the average of beneath the tree canopy (ca. 2m) and in the tree canopy periphery (ca. 5m). Open area is beyond th tree canopy (ca. 20m). Exclosures to prevent livestock grazing during the experiment. Prior the study, the sites were grazed by cattle, sheep and horses. Data obtained with https://plotdigitizer.com/app</t>
  </si>
  <si>
    <t>No data about tree growth and no control only trees. Grazed with cows and calfs. Biomass (g DM m-2) was calculated as DM(in)-DM(out), where DM is the dry matter inside grazing exclosure cages and outside cages, respectively. Data obtained with https://plotdigitizer.com/app</t>
  </si>
  <si>
    <t>No data about tree growth and no control only trees. Understorey included until 125% canoppy cover, and open area from 150-200% canopy cover.</t>
  </si>
  <si>
    <t>1993-1996</t>
  </si>
  <si>
    <t>1994-1996</t>
  </si>
  <si>
    <t>Study_ID</t>
  </si>
  <si>
    <t>Author year combination of publication (e.g. Lopez et al 2024)</t>
  </si>
  <si>
    <t>Country where the experiments took place</t>
  </si>
  <si>
    <t>Location of the experiment</t>
  </si>
  <si>
    <t>Region where the experiment took place</t>
  </si>
  <si>
    <t>Year(s) when the experiment took place</t>
  </si>
  <si>
    <t>Brief description of treatment</t>
  </si>
  <si>
    <t>Brief description of control</t>
  </si>
  <si>
    <t>Name of tree (if applicable)</t>
  </si>
  <si>
    <t>Intervention</t>
  </si>
  <si>
    <t>Brief description of the intervention that differentiates this observation from other observations from the same experiment. For example, planting time, variety planted, proportion of each crop...</t>
  </si>
  <si>
    <t>sole crop 1 mean yield</t>
  </si>
  <si>
    <t>Partial land equivalent ratio for crop 1</t>
  </si>
  <si>
    <t>Total land equivalent ratio</t>
  </si>
  <si>
    <t>Variance of partial LER 1</t>
  </si>
  <si>
    <t>Variance of total LER</t>
  </si>
  <si>
    <t>Coefficient of variation of LERt</t>
  </si>
  <si>
    <t>Notes for that observation (e.g. data collected from graph with plotdigitizer)</t>
  </si>
  <si>
    <t>Mean of animal production obtained in the control (no integration with crops)</t>
  </si>
  <si>
    <t>Mean of animal production obtained in the treatment (integration with crops)</t>
  </si>
  <si>
    <t>Type of animal product obtained and unit of measurement</t>
  </si>
  <si>
    <t>Feed use factor</t>
  </si>
  <si>
    <t>Volume of standing wood increase for the control (only trees), calculated in the sheet "Timber volume calculation"</t>
  </si>
  <si>
    <t>mean yield of crop 1 combined with trees, and recalculated to account for the area occupied by the trees</t>
  </si>
  <si>
    <t>Width of the area occupied by the trees where crops where not planted</t>
  </si>
  <si>
    <t>Lower limit 95% confidence interval LERt (for meta-analyses)</t>
  </si>
  <si>
    <t>Upper limit 95% confidence interval LERt (for meta-analyses)</t>
  </si>
  <si>
    <t>Number of years after trees were planted</t>
  </si>
  <si>
    <t>distance to which crops are under the influence of the tree (as mentioned in the publications) (more information in annex A.1.4.2. section A)</t>
  </si>
  <si>
    <t>(For silvopastoral systems) Grass biomass for control (only grass, no trees)</t>
  </si>
  <si>
    <t>(For silvopastoral systems) Grass biomass for treatment (grass combined with trees)</t>
  </si>
  <si>
    <t>Grass biomass_treat (kg/ha)</t>
  </si>
  <si>
    <t>Partial land equivalent ratio of pasture</t>
  </si>
  <si>
    <t>Partial land equivalent ratio of wood</t>
  </si>
  <si>
    <t>Cover</t>
  </si>
  <si>
    <t>Rot</t>
  </si>
  <si>
    <t>"Yes", data (treatment and control) about all elements producing a commodity are available;
"in", data about secondary crops is missing, and these crops are expected to be benefitial for the main crop but they also produce a commodity;
"no", only data about main crop is available and secondary crops do not necessarily provide a service to the main crop.</t>
  </si>
  <si>
    <t xml:space="preserve">Pesticide use (inlcudes herbicides, fungicides and insecticides): yes or no </t>
  </si>
  <si>
    <t>Fertilizer type: "organic" (from cover crops, manure, compost...), "mineral", "comb" (combination of organic and mineral) or "None", when it is unfertilized</t>
  </si>
  <si>
    <t>div</t>
  </si>
  <si>
    <t>mono</t>
  </si>
  <si>
    <t>ic</t>
  </si>
  <si>
    <t>cropliv</t>
  </si>
  <si>
    <t>sparse</t>
  </si>
  <si>
    <t>agroforest</t>
  </si>
  <si>
    <t>silvopas</t>
  </si>
  <si>
    <t>Name of main crop (if applicable). Several crop names separated by dashes means crops were intercropped.</t>
  </si>
  <si>
    <t>Name of secondary crop (if applicable). Several crop names separated by slashes represent the crop sequence in rotation.</t>
  </si>
  <si>
    <t>V_C</t>
  </si>
  <si>
    <t>number of replicates (same number for treatment and control)</t>
  </si>
  <si>
    <t>variance (V) of mean sole crop control (C) (if applicable)</t>
  </si>
  <si>
    <t>Name of cover in crop-livestock integrated systems</t>
  </si>
  <si>
    <t>Sole crop 1 mean yield</t>
  </si>
  <si>
    <t>Sole crop 2 mean yield</t>
  </si>
  <si>
    <t>Sole crop 3 mean yield</t>
  </si>
  <si>
    <t>sole crop mean yield</t>
  </si>
  <si>
    <t>Sole crop 1 mean yield (t/ha)</t>
  </si>
  <si>
    <t>sole crop (1) mean yield</t>
  </si>
  <si>
    <t>mean yield (of crop #1) grown sole (same units as in diversified system)</t>
  </si>
  <si>
    <t>SC_(1_)SE</t>
  </si>
  <si>
    <t>SC_(1_)SD</t>
  </si>
  <si>
    <t>standard deviation (SD) of mean sole crop control (C) number 1 (1_) (if applicable)</t>
  </si>
  <si>
    <t>standard error (SE) of mean of sole crop (SC) for crop #1 (1_)</t>
  </si>
  <si>
    <t>SC_SD</t>
  </si>
  <si>
    <t>SC_1_SE_DM</t>
  </si>
  <si>
    <t>SC_(1_)SE_DM</t>
  </si>
  <si>
    <t>SC_1_SD</t>
  </si>
  <si>
    <t>SC_2_SD</t>
  </si>
  <si>
    <t>Diversified agricultural systems (see Table 1 for definitions): 
"mono" for orchard monocultures with herbaceous soil cover; 
"cover" for rotations with cover crops; 
"rotation" for rotation with other harvested crops; 
"ic" for intercropping; 
"cropliv" for crop-livestock integrated systems; 
"sparse" for sparse trees in cropland; 
"alley" for trees with herbaceous crops; 
"agroforest" for agroforests; and 
"silvopas" for silvopastoral systems.</t>
  </si>
  <si>
    <t>crop 1 mean yield div</t>
  </si>
  <si>
    <t>mean yield (of crop #1) grown in diversified system (div) (same units as in sole crop)</t>
  </si>
  <si>
    <t>crop 2 mean yield div</t>
  </si>
  <si>
    <t>crop 3 mean yield div</t>
  </si>
  <si>
    <t>crop 4 mean yield div</t>
  </si>
  <si>
    <t>crop mean yield div</t>
  </si>
  <si>
    <t>crop 1 mean yield div_reported</t>
  </si>
  <si>
    <t>crop 1 mean yield div_recalculated</t>
  </si>
  <si>
    <t>crop 2 mean yield div_reported</t>
  </si>
  <si>
    <t>crop 2 mean yield div_recalculated</t>
  </si>
  <si>
    <t>mean yield of crop 1 combined with trees as reported in the publication</t>
  </si>
  <si>
    <t>div_1_SE</t>
  </si>
  <si>
    <t>standard error (SE) of mean yield for crop 1 (1) in diversified system (div)</t>
  </si>
  <si>
    <t>variance (V) of mean yield in diversified system (div) (if applicable)</t>
  </si>
  <si>
    <t>standard deviation (SD) of mean yield in diversified system (div) number 1 (1_) (if applicable)</t>
  </si>
  <si>
    <t>div_2_SE</t>
  </si>
  <si>
    <t>div_3_SE</t>
  </si>
  <si>
    <t>div_V</t>
  </si>
  <si>
    <t>div_SD</t>
  </si>
  <si>
    <t>div_1_SD</t>
  </si>
  <si>
    <t>div_2_SD</t>
  </si>
  <si>
    <t>div_3_SD</t>
  </si>
  <si>
    <t>div_(1_)SD</t>
  </si>
  <si>
    <t>div_crop_SD</t>
  </si>
  <si>
    <t>standard deviation (SD) of mean yield  of crop in diversified system (div) (if applicable)</t>
  </si>
  <si>
    <t>div_stover_SD</t>
  </si>
  <si>
    <t>div_1_SE_reported</t>
  </si>
  <si>
    <t>div_1_SE_recalculated</t>
  </si>
  <si>
    <t>standard error (SE) of mean yield for crop 1 (1) combined with trees in diversified system (div) as reported in the publication</t>
  </si>
  <si>
    <t>standard error (SE) of mean yield for crop 1 (1) combined with trees in diversified system (div) recalculated to account for the area occupied by the trees</t>
  </si>
  <si>
    <t>div_1_SD_recalculated</t>
  </si>
  <si>
    <t>div_1_SD_reported</t>
  </si>
  <si>
    <t>div_2_SD_reported</t>
  </si>
  <si>
    <t>div_2_SD_recalculated</t>
  </si>
  <si>
    <t>SC_1_DM</t>
  </si>
  <si>
    <t>mean aboveground dry matter (of crop #1) grown sole (same units as in diversified system)</t>
  </si>
  <si>
    <t>standard error (SE) of mean aboveground dry matter (DM) of sole crop (SC) for crop #1 (1_)</t>
  </si>
  <si>
    <t>sole stover annual crop</t>
  </si>
  <si>
    <t>(for crop-livestock integrated systems) stover production when not integrated with livestock</t>
  </si>
  <si>
    <t>(for crop-livestock integrated systems) standard deviation (SD) of stover production when not integrated with livestock</t>
  </si>
  <si>
    <t>div_stover</t>
  </si>
  <si>
    <t>(for crop-livestock integrated systems) stover production when integrated with livestock (div)</t>
  </si>
  <si>
    <t>(for crop-livestock integrated systems) standard deviation (SD) of mean yield  of stover in diversified system (div) (if applicable)</t>
  </si>
  <si>
    <t>(for crop-livestock integrated systems) dry matter (DM) of cover crop when not integrated with livestock (sole)</t>
  </si>
  <si>
    <t>(for crop-livestock integrated systems) dry matter (DM) of cover crop left when grazed by livestock (grazed)</t>
  </si>
  <si>
    <t>sheep</t>
  </si>
  <si>
    <t>Mushroom control</t>
  </si>
  <si>
    <t>(in crop-livestock integrated systems) mushroom production when not integrated with livestock (control)  (kg fresh weight/ha)</t>
  </si>
  <si>
    <t>(in crop-livestock integrated systems) standard error (SE) of mushroom production (mush) when not integrated with livestock (contr)</t>
  </si>
  <si>
    <t>(in crop-livestock integrated systems) mushroom production when integrated with livestock (treat)  (kg fresh weight/ha)</t>
  </si>
  <si>
    <t>(in crop-livestock integrated systems) standard error (SE) of mushroom production (mush) when integrated with livestock (treat)</t>
  </si>
  <si>
    <t>(for crop-livestock integrated systems) Percentage of feed used by the animals. Feed use factor of crop residues is 0.7 for cereals and 1 for legumes</t>
  </si>
  <si>
    <t>SD_Animal product_treat</t>
  </si>
  <si>
    <t>SD_animal product_treat</t>
  </si>
  <si>
    <t xml:space="preserve">(for crop-livestock integrated systems) standard deviation (SD) of animal production obtained in the treatment (treat), that is integrated with crops </t>
  </si>
  <si>
    <t>(for crop-livestock integrated systems) Partial land equivalent ratio for crop production</t>
  </si>
  <si>
    <t>(for crop-livestock integrated systems) Partial land equivalent ratio for feed production</t>
  </si>
  <si>
    <t>(for crop-livestock integrated systems) Partial land equivalent ratio for mushroom production</t>
  </si>
  <si>
    <t>(for crop-livestock integrated systems) Partial land equivalent ratio for animal products</t>
  </si>
  <si>
    <t>(for crop-livestock integrated systems) Lower limit 95% confidence interval of LERlivestock considering the variation of land use footprints of animal products reported by Nijdam et al. (2012)</t>
  </si>
  <si>
    <t>(for crop-livestock integrated systems) Upper limit 95% confidence interval of LERlivestock considering the variation of land use footprints of animal products reported by Nijdam et al. (2012)</t>
  </si>
  <si>
    <t>(for crop-livestock integrated systems) Lower limit 95% confidence interval of LERt considering the variation of land use footprints (luf) of animal products reported by Nijdam et al. (2012)</t>
  </si>
  <si>
    <t>(for crop-livestock integrated systems) Upper limit 95% confidence interval of LERt considering the variation of land use footprints (luf) of animal products reported by Nijdam et al. (2012)</t>
  </si>
  <si>
    <t>(for crop-livestock integrated systems) variance (V) of partial land equivalent ratio for crop production</t>
  </si>
  <si>
    <t>(for crop-livestock integrated systems) variance (V) of partial land equivalent ratio for feed production</t>
  </si>
  <si>
    <t>(for crop-livestock integrated systems) variance (V) of partial land equivalent ratio for animal products</t>
  </si>
  <si>
    <t>(for intercropping) Mean yield of the sum of crops 1 and 2 when harvested together. These are fodder crops also consumed together. More details on notes of each observation.</t>
  </si>
  <si>
    <t>Crop yield 1+2</t>
  </si>
  <si>
    <t>div1_DM</t>
  </si>
  <si>
    <t>SE_div1_DM</t>
  </si>
  <si>
    <t>mean aboveground dry matter (DM) of crop 1 grown in a diversified system (same units as in control)</t>
  </si>
  <si>
    <t>standard error (SE) of mean aboveground dry matter (DM) of crop 1 grown in a diversified system (div)</t>
  </si>
  <si>
    <t>Tree fruit div (kg/ha)</t>
  </si>
  <si>
    <t>Tree growth div</t>
  </si>
  <si>
    <t>Volume of standing wood increase in the diversified system, calculated in the sheet "Timber volume calculation"</t>
  </si>
  <si>
    <t>Tree density_div</t>
  </si>
  <si>
    <t>Tree density _div (trees/ha)</t>
  </si>
  <si>
    <t>fruit production in diversified system</t>
  </si>
  <si>
    <t>standard error (SE) of tree fruit (TF) production in diversified system</t>
  </si>
  <si>
    <t>SE_TF_div</t>
  </si>
  <si>
    <t>biomass produced by trees including leafs and pruning in diversified system_not used for LER calculations</t>
  </si>
  <si>
    <t>Unit in which tree growth was measured in control and diversified systems</t>
  </si>
  <si>
    <t>kg/m</t>
  </si>
  <si>
    <t>Height tree sole (m)</t>
  </si>
  <si>
    <t>Height of trees for control (sole trees) in meters</t>
  </si>
  <si>
    <t>Dbh tree sole (cm)</t>
  </si>
  <si>
    <t>Diameter at breast height (dbh) of trees in the control (sole trees) in centimeters</t>
  </si>
  <si>
    <t>SD_TG_div</t>
  </si>
  <si>
    <t>Standard deviation (SD) of tree growth (TG) in diversified system (div)</t>
  </si>
  <si>
    <t>Height tree div (m)</t>
  </si>
  <si>
    <t>Height of trees in diversified system in meters</t>
  </si>
  <si>
    <t>Dbh tree div (cm)</t>
  </si>
  <si>
    <t>DBH tree div (cm)</t>
  </si>
  <si>
    <t>Tree density div (trees/ha)</t>
  </si>
  <si>
    <t>tree density in diversified system (trees per hectare)</t>
  </si>
  <si>
    <t>Area trees div (m2/ha)</t>
  </si>
  <si>
    <t>area occupied per tree in diversified system: basal area of each tree in diversified system (trees combined with other crops) when crops were grown under the canopy (annex A.1.5.2. section B) in square meters per hectare</t>
  </si>
  <si>
    <t>standard deviation (SD) of biomass produced by trees including leafs and pruning in diversified system_not used for LER calculations</t>
  </si>
  <si>
    <t>LERwood</t>
  </si>
  <si>
    <t>SD_TG_control</t>
  </si>
  <si>
    <t>Standard deviation of tree growth when grown as sole trees (in the control)</t>
  </si>
  <si>
    <t>(For silvopastoral systems) Standard error for grass biomass treatment</t>
  </si>
  <si>
    <t>(For silvopastoral systems) Standard error for grass biomass control</t>
  </si>
  <si>
    <t>Height increase div (cm/year)</t>
  </si>
  <si>
    <t>(For silvopastoral systems) mean tree height increase per year (in centimeters) in diversified system</t>
  </si>
  <si>
    <t>Height increase control (cm/year)</t>
  </si>
  <si>
    <t>(For silvopastoral systems) mean tree height increase per year in control (sole trees) (in centimeters)</t>
  </si>
  <si>
    <t>Diameter increase control (mm/year)</t>
  </si>
  <si>
    <t>Diameter incresae div (mm/year)</t>
  </si>
  <si>
    <t>Diameter increase div (mm/year)</t>
  </si>
  <si>
    <t>(For silvopastoral systems) mean tree diameter increase per year in control (sole trees) (in milimiters)</t>
  </si>
  <si>
    <t>(For silvopastoral systems) mean tree diameter increase per year in diversified system (in milimiters)</t>
  </si>
  <si>
    <t>(For silvopastoral systems) mean volume increase of standing wood per year for the control (only trees)</t>
  </si>
  <si>
    <t>(For silvopastoral systems) mean volume increase of standing wood per year for the treatment (trees combined with pasture)</t>
  </si>
  <si>
    <t>GB_control_CI_95%</t>
  </si>
  <si>
    <t>GB_treat_CI_95%</t>
  </si>
  <si>
    <t>(For silvopastoral systems) 95% confidence intervals (CI) of grass biomass (GB) for control (only grass, no trees) (used to calculate standard error)</t>
  </si>
  <si>
    <t>(For silvopastoral systems) 95% confidence intervals (CI) of grass biomass for treatment (grass combined with trees) (used to calculate standard error)</t>
  </si>
  <si>
    <t>LERpasture</t>
  </si>
  <si>
    <t>Diameter_div (cm)</t>
  </si>
  <si>
    <t>Diameter of trees in diversified systems (in centimeters). Specified in notes the height at which the diameter was measured.</t>
  </si>
  <si>
    <t>Diameter at breast height (dbh) of trees in the diversified system (div) in centimeters</t>
  </si>
  <si>
    <t>Crops intercropped (maize &amp; groundnuts) without trees</t>
  </si>
  <si>
    <t>Column header</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</si>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</sst>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0000000000"/>
    <numFmt numFmtId="166" formatCode="0.000"/>
    <numFmt numFmtId="167" formatCode="0.0000"/>
    <numFmt numFmtId="168" formatCode="0.00000"/>
  </numFmts>
  <fonts count="12" x14ac:knownFonts="1">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sz val="11"/>
      <color theme="5"/>
      <name val="Calibri"/>
      <family val="2"/>
      <scheme val="minor"/>
    </font>
    <font>
      <b/>
      <sz val="11"/>
      <color theme="1"/>
      <name val="Calibri"/>
      <family val="2"/>
      <scheme val="minor"/>
    </font>
    <font>
      <sz val="12"/>
      <color indexed="8"/>
      <name val="Calibri"/>
      <family val="2"/>
    </font>
    <font>
      <sz val="11"/>
      <color rgb="FF9C5700"/>
      <name val="Calibri"/>
      <family val="2"/>
      <scheme val="minor"/>
    </font>
    <font>
      <sz val="11"/>
      <color rgb="FF000000"/>
      <name val="Calibri"/>
      <family val="2"/>
      <scheme val="minor"/>
    </font>
    <font>
      <sz val="11"/>
      <color rgb="FF9C0006"/>
      <name val="Calibri"/>
      <family val="2"/>
      <scheme val="minor"/>
    </font>
    <font>
      <sz val="11"/>
      <color rgb="FF006100"/>
      <name val="Calibri"/>
      <family val="2"/>
      <scheme val="minor"/>
    </font>
    <font>
      <sz val="12"/>
      <name val="Calibri"/>
      <family val="2"/>
    </font>
  </fonts>
  <fills count="5">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s>
  <borders count="1">
    <border>
      <left/>
      <right/>
      <top/>
      <bottom/>
      <diagonal/>
    </border>
  </borders>
  <cellStyleXfs count="6">
    <xf numFmtId="0" fontId="0" fillId="0" borderId="0"/>
    <xf numFmtId="0" fontId="6" fillId="0" borderId="0" applyBorder="0" applyProtection="0"/>
    <xf numFmtId="0" fontId="7" fillId="2" borderId="0" applyNumberFormat="0" applyBorder="0" applyAlignment="0" applyProtection="0"/>
    <xf numFmtId="0" fontId="8" fillId="0" borderId="0"/>
    <xf numFmtId="0" fontId="9" fillId="3" borderId="0" applyNumberFormat="0" applyBorder="0" applyAlignment="0" applyProtection="0"/>
    <xf numFmtId="0" fontId="10" fillId="4" borderId="0" applyNumberFormat="0" applyBorder="0" applyAlignment="0" applyProtection="0"/>
  </cellStyleXfs>
  <cellXfs count="84">
    <xf numFmtId="0" fontId="0" fillId="0" borderId="0" xfId="0"/>
    <xf numFmtId="0" fontId="1" fillId="0" borderId="0" xfId="0" applyFont="1"/>
    <xf numFmtId="2" fontId="1" fillId="0" borderId="0" xfId="0" applyNumberFormat="1" applyFont="1"/>
    <xf numFmtId="2" fontId="0" fillId="0" borderId="0" xfId="0" applyNumberFormat="1"/>
    <xf numFmtId="0" fontId="0" fillId="0" borderId="0" xfId="0" applyAlignment="1"/>
    <xf numFmtId="1" fontId="0" fillId="0" borderId="0" xfId="0" applyNumberFormat="1"/>
    <xf numFmtId="0" fontId="0" fillId="0" borderId="0" xfId="0" applyFill="1"/>
    <xf numFmtId="0" fontId="0" fillId="0" borderId="0" xfId="0" applyBorder="1"/>
    <xf numFmtId="0" fontId="0" fillId="0" borderId="0" xfId="0" applyFill="1" applyBorder="1"/>
    <xf numFmtId="2" fontId="0" fillId="0" borderId="0" xfId="0" applyNumberFormat="1" applyFill="1" applyBorder="1"/>
    <xf numFmtId="0" fontId="3" fillId="0" borderId="0" xfId="0" applyFont="1"/>
    <xf numFmtId="2" fontId="3" fillId="0" borderId="0" xfId="0" applyNumberFormat="1" applyFont="1" applyFill="1" applyBorder="1"/>
    <xf numFmtId="0" fontId="4" fillId="0" borderId="0" xfId="0" applyFont="1"/>
    <xf numFmtId="2" fontId="4" fillId="0" borderId="0" xfId="0" applyNumberFormat="1" applyFont="1"/>
    <xf numFmtId="2" fontId="3" fillId="0" borderId="0" xfId="0" applyNumberFormat="1" applyFont="1"/>
    <xf numFmtId="0" fontId="5" fillId="0" borderId="0" xfId="0" applyFont="1"/>
    <xf numFmtId="0" fontId="3" fillId="0" borderId="0" xfId="0" applyFont="1" applyAlignment="1"/>
    <xf numFmtId="0" fontId="4" fillId="0" borderId="0" xfId="0" applyFont="1" applyFill="1"/>
    <xf numFmtId="2" fontId="4" fillId="0" borderId="0" xfId="0" applyNumberFormat="1" applyFont="1" applyFill="1"/>
    <xf numFmtId="164" fontId="0" fillId="0" borderId="0" xfId="0" applyNumberFormat="1"/>
    <xf numFmtId="2" fontId="3" fillId="0" borderId="0" xfId="0" applyNumberFormat="1" applyFont="1" applyFill="1"/>
    <xf numFmtId="0" fontId="3" fillId="0" borderId="0" xfId="0" applyFont="1" applyBorder="1"/>
    <xf numFmtId="165" fontId="0" fillId="0" borderId="0" xfId="0" applyNumberFormat="1"/>
    <xf numFmtId="0" fontId="3" fillId="0" borderId="0" xfId="0" applyFont="1" applyFill="1" applyBorder="1"/>
    <xf numFmtId="0" fontId="0" fillId="0" borderId="0" xfId="0" applyAlignment="1">
      <alignment wrapText="1"/>
    </xf>
    <xf numFmtId="1" fontId="3" fillId="0" borderId="0" xfId="0" applyNumberFormat="1" applyFont="1"/>
    <xf numFmtId="0" fontId="3" fillId="0" borderId="0" xfId="0" applyFont="1" applyFill="1"/>
    <xf numFmtId="0" fontId="6" fillId="0" borderId="0" xfId="1" applyBorder="1" applyAlignment="1" applyProtection="1">
      <alignment horizontal="left" vertical="center"/>
    </xf>
    <xf numFmtId="0" fontId="6" fillId="0" borderId="0" xfId="1" applyFill="1" applyBorder="1" applyAlignment="1" applyProtection="1">
      <alignment horizontal="left" vertical="center"/>
    </xf>
    <xf numFmtId="0" fontId="3" fillId="0" borderId="0" xfId="0" applyFont="1" applyAlignment="1">
      <alignment horizontal="right"/>
    </xf>
    <xf numFmtId="1" fontId="4" fillId="0" borderId="0" xfId="0" applyNumberFormat="1" applyFont="1"/>
    <xf numFmtId="0" fontId="3" fillId="0" borderId="0" xfId="0" applyFont="1" applyAlignment="1">
      <alignment vertical="top"/>
    </xf>
    <xf numFmtId="2" fontId="3" fillId="0" borderId="0" xfId="0" applyNumberFormat="1" applyFont="1" applyAlignment="1">
      <alignment vertical="top"/>
    </xf>
    <xf numFmtId="166" fontId="3" fillId="0" borderId="0" xfId="0" applyNumberFormat="1" applyFont="1"/>
    <xf numFmtId="0" fontId="3" fillId="0" borderId="0" xfId="0" applyFont="1" applyFill="1" applyAlignment="1"/>
    <xf numFmtId="2" fontId="0" fillId="0" borderId="0" xfId="0" applyNumberFormat="1" applyFill="1"/>
    <xf numFmtId="167" fontId="0" fillId="0" borderId="0" xfId="0" applyNumberFormat="1"/>
    <xf numFmtId="166" fontId="0" fillId="0" borderId="0" xfId="0" applyNumberFormat="1"/>
    <xf numFmtId="0" fontId="3" fillId="0" borderId="0" xfId="0" applyFont="1" applyAlignment="1">
      <alignment wrapText="1"/>
    </xf>
    <xf numFmtId="164" fontId="3" fillId="0" borderId="0" xfId="0" applyNumberFormat="1" applyFont="1"/>
    <xf numFmtId="0" fontId="0" fillId="0" borderId="0" xfId="0" applyFont="1"/>
    <xf numFmtId="20" fontId="0" fillId="0" borderId="0" xfId="0" applyNumberFormat="1"/>
    <xf numFmtId="1" fontId="3" fillId="0" borderId="0" xfId="0" applyNumberFormat="1" applyFont="1" applyFill="1"/>
    <xf numFmtId="168" fontId="4" fillId="0" borderId="0" xfId="0" applyNumberFormat="1" applyFont="1"/>
    <xf numFmtId="167" fontId="3" fillId="0" borderId="0" xfId="0" applyNumberFormat="1" applyFont="1"/>
    <xf numFmtId="168" fontId="0" fillId="0" borderId="0" xfId="0" applyNumberFormat="1"/>
    <xf numFmtId="11" fontId="0" fillId="0" borderId="0" xfId="0" applyNumberFormat="1"/>
    <xf numFmtId="0" fontId="0" fillId="0" borderId="0" xfId="0" applyFont="1" applyFill="1"/>
    <xf numFmtId="0" fontId="0" fillId="0" borderId="0" xfId="0" applyFill="1" applyAlignment="1">
      <alignment horizontal="center"/>
    </xf>
    <xf numFmtId="166" fontId="0" fillId="0" borderId="0" xfId="0" applyNumberFormat="1" applyFill="1"/>
    <xf numFmtId="20" fontId="3" fillId="0" borderId="0" xfId="0" applyNumberFormat="1" applyFont="1"/>
    <xf numFmtId="0" fontId="3" fillId="0" borderId="0" xfId="0" quotePrefix="1" applyFont="1"/>
    <xf numFmtId="2" fontId="3" fillId="0" borderId="0" xfId="2" applyNumberFormat="1" applyFont="1" applyFill="1"/>
    <xf numFmtId="0" fontId="3" fillId="0" borderId="0" xfId="2" applyFont="1" applyFill="1"/>
    <xf numFmtId="2" fontId="3" fillId="0" borderId="0" xfId="0" applyNumberFormat="1" applyFont="1" applyBorder="1"/>
    <xf numFmtId="0" fontId="3" fillId="0" borderId="0" xfId="0" applyFont="1" applyFill="1" applyAlignment="1">
      <alignment horizontal="center"/>
    </xf>
    <xf numFmtId="166" fontId="3" fillId="0" borderId="0" xfId="0" applyNumberFormat="1" applyFont="1" applyFill="1"/>
    <xf numFmtId="0" fontId="3" fillId="0" borderId="0" xfId="2" applyFont="1" applyFill="1" applyBorder="1"/>
    <xf numFmtId="2" fontId="0" fillId="0" borderId="0" xfId="0" applyNumberFormat="1" applyBorder="1"/>
    <xf numFmtId="1" fontId="0" fillId="0" borderId="0" xfId="0" applyNumberFormat="1" applyBorder="1"/>
    <xf numFmtId="168" fontId="3" fillId="0" borderId="0" xfId="0" applyNumberFormat="1" applyFont="1"/>
    <xf numFmtId="0" fontId="3" fillId="0" borderId="0" xfId="4" applyFont="1" applyFill="1"/>
    <xf numFmtId="0" fontId="3" fillId="0" borderId="0" xfId="0" applyFont="1" applyFill="1" applyAlignment="1">
      <alignment vertical="center"/>
    </xf>
    <xf numFmtId="0" fontId="3" fillId="0" borderId="0" xfId="0" applyFont="1" applyFill="1" applyBorder="1" applyAlignment="1">
      <alignment vertical="center"/>
    </xf>
    <xf numFmtId="0" fontId="11" fillId="0" borderId="0" xfId="1" applyFont="1" applyBorder="1" applyAlignment="1" applyProtection="1">
      <alignment horizontal="left" vertical="center"/>
    </xf>
    <xf numFmtId="2" fontId="3" fillId="0" borderId="0" xfId="4" applyNumberFormat="1" applyFont="1" applyFill="1"/>
    <xf numFmtId="167" fontId="3" fillId="0" borderId="0" xfId="4" applyNumberFormat="1" applyFont="1" applyFill="1"/>
    <xf numFmtId="2" fontId="3" fillId="0" borderId="0" xfId="0" applyNumberFormat="1" applyFont="1" applyFill="1" applyAlignment="1">
      <alignment vertical="top"/>
    </xf>
    <xf numFmtId="167" fontId="3" fillId="0" borderId="0" xfId="0" applyNumberFormat="1" applyFont="1" applyFill="1"/>
    <xf numFmtId="0" fontId="3" fillId="0" borderId="0" xfId="0" applyFont="1" applyFill="1" applyAlignment="1">
      <alignment vertical="top"/>
    </xf>
    <xf numFmtId="0" fontId="3" fillId="0" borderId="0" xfId="0" applyFont="1" applyFill="1" applyBorder="1" applyAlignment="1">
      <alignment vertical="top"/>
    </xf>
    <xf numFmtId="0" fontId="3" fillId="0" borderId="0" xfId="0" applyFont="1" applyFill="1" applyBorder="1" applyAlignment="1">
      <alignment vertical="top" wrapText="1"/>
    </xf>
    <xf numFmtId="0" fontId="3" fillId="0" borderId="0" xfId="0" applyFont="1" applyFill="1" applyBorder="1" applyAlignment="1">
      <alignment wrapText="1"/>
    </xf>
    <xf numFmtId="2" fontId="3" fillId="0" borderId="0" xfId="0" applyNumberFormat="1" applyFont="1" applyFill="1" applyBorder="1" applyAlignment="1">
      <alignment vertical="top"/>
    </xf>
    <xf numFmtId="11" fontId="3" fillId="0" borderId="0" xfId="0" applyNumberFormat="1" applyFont="1"/>
    <xf numFmtId="0" fontId="3" fillId="0" borderId="0" xfId="0" applyNumberFormat="1" applyFont="1" applyFill="1"/>
    <xf numFmtId="164" fontId="3" fillId="0" borderId="0" xfId="0" applyNumberFormat="1" applyFont="1" applyFill="1"/>
    <xf numFmtId="0" fontId="10" fillId="4" borderId="0" xfId="5"/>
    <xf numFmtId="0" fontId="0" fillId="0" borderId="0" xfId="0"/>
    <xf numFmtId="0" fontId="10" fillId="4" borderId="0" xfId="5"/>
    <xf numFmtId="1" fontId="3" fillId="0" borderId="0" xfId="0" applyNumberFormat="1" applyFont="1" applyBorder="1"/>
    <xf numFmtId="0" fontId="0" fillId="0" borderId="0" xfId="0" applyBorder="1" applyAlignment="1"/>
    <xf numFmtId="0" fontId="3" fillId="0" borderId="0" xfId="0" applyFont="1" applyBorder="1" applyAlignment="1"/>
    <xf numFmtId="168" fontId="3" fillId="0" borderId="0" xfId="0" applyNumberFormat="1" applyFont="1" applyBorder="1"/>
  </cellXfs>
  <cellStyles count="6">
    <cellStyle name="Bad" xfId="4" builtinId="27"/>
    <cellStyle name="Excel Built-in Normal" xfId="1" xr:uid="{A9616793-7B7B-4390-9734-3F327A5ABCDC}"/>
    <cellStyle name="Good" xfId="5" builtinId="26"/>
    <cellStyle name="Neutral" xfId="2" builtinId="28"/>
    <cellStyle name="Normal" xfId="0" builtinId="0"/>
    <cellStyle name="Normal 2" xfId="3" xr:uid="{55BE28FA-07A4-49BD-915A-20CC02290F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Lopez Rodriguez, Susana" id="{EDAA7E04-9D87-4B2C-9DA1-B976F7682985}" userId="Lopez Rodriguez, Susan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43" dT="2023-05-11T17:37:01.19" personId="{EDAA7E04-9D87-4B2C-9DA1-B976F7682985}" id="{CA116236-AD5B-4699-AE1B-456BF19EF9C3}">
    <text>Prunings dry wight kg/ha</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A0D5-B00B-480C-9557-83A78ABA31F5}">
  <dimension ref="A1:G109"/>
  <sheetViews>
    <sheetView workbookViewId="0">
      <pane ySplit="1" topLeftCell="A2" activePane="bottomLeft" state="frozen"/>
      <selection pane="bottomLeft" activeCell="B101" sqref="B101"/>
    </sheetView>
  </sheetViews>
  <sheetFormatPr defaultRowHeight="14.4" x14ac:dyDescent="0.3"/>
  <cols>
    <col min="1" max="1" width="31.6640625" bestFit="1" customWidth="1"/>
    <col min="2" max="2" width="124.77734375" customWidth="1"/>
  </cols>
  <sheetData>
    <row r="1" spans="1:2" x14ac:dyDescent="0.3">
      <c r="A1" s="15" t="s">
        <v>2812</v>
      </c>
      <c r="B1" s="15" t="s">
        <v>2813</v>
      </c>
    </row>
    <row r="2" spans="1:2" x14ac:dyDescent="0.3">
      <c r="A2" t="s">
        <v>2620</v>
      </c>
      <c r="B2" t="s">
        <v>2621</v>
      </c>
    </row>
    <row r="3" spans="1:2" x14ac:dyDescent="0.3">
      <c r="A3" t="s">
        <v>26</v>
      </c>
      <c r="B3" t="s">
        <v>2622</v>
      </c>
    </row>
    <row r="4" spans="1:2" x14ac:dyDescent="0.3">
      <c r="A4" t="s">
        <v>25</v>
      </c>
      <c r="B4" t="s">
        <v>2624</v>
      </c>
    </row>
    <row r="5" spans="1:2" x14ac:dyDescent="0.3">
      <c r="A5" t="s">
        <v>27</v>
      </c>
      <c r="B5" t="s">
        <v>2623</v>
      </c>
    </row>
    <row r="6" spans="1:2" x14ac:dyDescent="0.3">
      <c r="A6" t="s">
        <v>832</v>
      </c>
      <c r="B6" t="s">
        <v>2625</v>
      </c>
    </row>
    <row r="7" spans="1:2" ht="144" x14ac:dyDescent="0.3">
      <c r="A7" t="s">
        <v>2659</v>
      </c>
      <c r="B7" s="24" t="s">
        <v>2688</v>
      </c>
    </row>
    <row r="8" spans="1:2" x14ac:dyDescent="0.3">
      <c r="A8" t="s">
        <v>15</v>
      </c>
      <c r="B8" t="s">
        <v>2626</v>
      </c>
    </row>
    <row r="9" spans="1:2" x14ac:dyDescent="0.3">
      <c r="A9" t="s">
        <v>16</v>
      </c>
      <c r="B9" t="s">
        <v>2627</v>
      </c>
    </row>
    <row r="10" spans="1:2" x14ac:dyDescent="0.3">
      <c r="A10" t="s">
        <v>2629</v>
      </c>
      <c r="B10" t="s">
        <v>2630</v>
      </c>
    </row>
    <row r="11" spans="1:2" x14ac:dyDescent="0.3">
      <c r="A11" t="s">
        <v>10</v>
      </c>
      <c r="B11" t="s">
        <v>2666</v>
      </c>
    </row>
    <row r="12" spans="1:2" x14ac:dyDescent="0.3">
      <c r="A12" t="s">
        <v>48</v>
      </c>
      <c r="B12" t="s">
        <v>2628</v>
      </c>
    </row>
    <row r="13" spans="1:2" x14ac:dyDescent="0.3">
      <c r="A13" t="s">
        <v>97</v>
      </c>
      <c r="B13" t="s">
        <v>2667</v>
      </c>
    </row>
    <row r="14" spans="1:2" x14ac:dyDescent="0.3">
      <c r="A14" t="s">
        <v>8</v>
      </c>
      <c r="B14" t="s">
        <v>2671</v>
      </c>
    </row>
    <row r="15" spans="1:2" x14ac:dyDescent="0.3">
      <c r="A15" t="s">
        <v>2041</v>
      </c>
      <c r="B15" t="s">
        <v>2669</v>
      </c>
    </row>
    <row r="16" spans="1:2" x14ac:dyDescent="0.3">
      <c r="A16" t="s">
        <v>1671</v>
      </c>
      <c r="B16" t="s">
        <v>1989</v>
      </c>
    </row>
    <row r="17" spans="1:2" x14ac:dyDescent="0.3">
      <c r="A17" t="s">
        <v>1672</v>
      </c>
      <c r="B17" t="s">
        <v>1990</v>
      </c>
    </row>
    <row r="18" spans="1:2" x14ac:dyDescent="0.3">
      <c r="A18" s="10" t="s">
        <v>2395</v>
      </c>
      <c r="B18" t="s">
        <v>2396</v>
      </c>
    </row>
    <row r="19" spans="1:2" x14ac:dyDescent="0.3">
      <c r="A19" t="s">
        <v>2677</v>
      </c>
      <c r="B19" t="s">
        <v>2678</v>
      </c>
    </row>
    <row r="20" spans="1:2" x14ac:dyDescent="0.3">
      <c r="A20" t="s">
        <v>2723</v>
      </c>
      <c r="B20" t="s">
        <v>2724</v>
      </c>
    </row>
    <row r="21" spans="1:2" x14ac:dyDescent="0.3">
      <c r="A21" t="s">
        <v>2668</v>
      </c>
      <c r="B21" t="s">
        <v>2670</v>
      </c>
    </row>
    <row r="22" spans="1:2" x14ac:dyDescent="0.3">
      <c r="A22" t="s">
        <v>2680</v>
      </c>
      <c r="B22" t="s">
        <v>2681</v>
      </c>
    </row>
    <row r="23" spans="1:2" x14ac:dyDescent="0.3">
      <c r="A23" t="s">
        <v>2679</v>
      </c>
      <c r="B23" t="s">
        <v>2682</v>
      </c>
    </row>
    <row r="24" spans="1:2" x14ac:dyDescent="0.3">
      <c r="A24" t="s">
        <v>2685</v>
      </c>
      <c r="B24" t="s">
        <v>2725</v>
      </c>
    </row>
    <row r="25" spans="1:2" x14ac:dyDescent="0.3">
      <c r="A25" t="s">
        <v>2689</v>
      </c>
      <c r="B25" t="s">
        <v>2690</v>
      </c>
    </row>
    <row r="26" spans="1:2" x14ac:dyDescent="0.3">
      <c r="A26" t="s">
        <v>2756</v>
      </c>
      <c r="B26" t="s">
        <v>2755</v>
      </c>
    </row>
    <row r="27" spans="1:2" x14ac:dyDescent="0.3">
      <c r="A27" t="s">
        <v>2695</v>
      </c>
      <c r="B27" t="s">
        <v>2699</v>
      </c>
    </row>
    <row r="28" spans="1:2" x14ac:dyDescent="0.3">
      <c r="A28" t="s">
        <v>2696</v>
      </c>
      <c r="B28" t="s">
        <v>2643</v>
      </c>
    </row>
    <row r="29" spans="1:2" x14ac:dyDescent="0.3">
      <c r="A29" t="s">
        <v>2700</v>
      </c>
      <c r="B29" t="s">
        <v>2701</v>
      </c>
    </row>
    <row r="30" spans="1:2" x14ac:dyDescent="0.3">
      <c r="A30" t="s">
        <v>2706</v>
      </c>
      <c r="B30" t="s">
        <v>2702</v>
      </c>
    </row>
    <row r="31" spans="1:2" x14ac:dyDescent="0.3">
      <c r="A31" t="s">
        <v>2711</v>
      </c>
      <c r="B31" t="s">
        <v>2703</v>
      </c>
    </row>
    <row r="32" spans="1:2" x14ac:dyDescent="0.3">
      <c r="A32" t="s">
        <v>2712</v>
      </c>
      <c r="B32" t="s">
        <v>2713</v>
      </c>
    </row>
    <row r="33" spans="1:2" x14ac:dyDescent="0.3">
      <c r="A33" t="s">
        <v>2715</v>
      </c>
      <c r="B33" t="s">
        <v>2717</v>
      </c>
    </row>
    <row r="34" spans="1:2" x14ac:dyDescent="0.3">
      <c r="A34" t="s">
        <v>2716</v>
      </c>
      <c r="B34" t="s">
        <v>2718</v>
      </c>
    </row>
    <row r="35" spans="1:2" x14ac:dyDescent="0.3">
      <c r="A35" t="s">
        <v>2757</v>
      </c>
      <c r="B35" t="s">
        <v>2759</v>
      </c>
    </row>
    <row r="36" spans="1:2" x14ac:dyDescent="0.3">
      <c r="A36" t="s">
        <v>2758</v>
      </c>
      <c r="B36" t="s">
        <v>2760</v>
      </c>
    </row>
    <row r="37" spans="1:2" x14ac:dyDescent="0.3">
      <c r="A37" t="s">
        <v>2726</v>
      </c>
      <c r="B37" t="s">
        <v>2727</v>
      </c>
    </row>
    <row r="38" spans="1:2" x14ac:dyDescent="0.3">
      <c r="A38" t="s">
        <v>2275</v>
      </c>
      <c r="B38" t="s">
        <v>2728</v>
      </c>
    </row>
    <row r="39" spans="1:2" x14ac:dyDescent="0.3">
      <c r="A39" t="s">
        <v>2729</v>
      </c>
      <c r="B39" t="s">
        <v>2730</v>
      </c>
    </row>
    <row r="40" spans="1:2" x14ac:dyDescent="0.3">
      <c r="A40" t="s">
        <v>2714</v>
      </c>
      <c r="B40" t="s">
        <v>2731</v>
      </c>
    </row>
    <row r="41" spans="1:2" x14ac:dyDescent="0.3">
      <c r="A41" t="s">
        <v>2012</v>
      </c>
      <c r="B41" t="s">
        <v>2732</v>
      </c>
    </row>
    <row r="42" spans="1:2" x14ac:dyDescent="0.3">
      <c r="A42" t="s">
        <v>2011</v>
      </c>
      <c r="B42" t="s">
        <v>2733</v>
      </c>
    </row>
    <row r="43" spans="1:2" x14ac:dyDescent="0.3">
      <c r="A43" t="s">
        <v>2735</v>
      </c>
      <c r="B43" t="s">
        <v>2736</v>
      </c>
    </row>
    <row r="44" spans="1:2" x14ac:dyDescent="0.3">
      <c r="A44" t="s">
        <v>1126</v>
      </c>
      <c r="B44" t="s">
        <v>2737</v>
      </c>
    </row>
    <row r="45" spans="1:2" x14ac:dyDescent="0.3">
      <c r="A45" t="s">
        <v>1125</v>
      </c>
      <c r="B45" t="s">
        <v>2738</v>
      </c>
    </row>
    <row r="46" spans="1:2" x14ac:dyDescent="0.3">
      <c r="A46" t="s">
        <v>1127</v>
      </c>
      <c r="B46" t="s">
        <v>2739</v>
      </c>
    </row>
    <row r="47" spans="1:2" x14ac:dyDescent="0.3">
      <c r="A47" t="s">
        <v>2530</v>
      </c>
      <c r="B47" t="s">
        <v>2638</v>
      </c>
    </row>
    <row r="48" spans="1:2" x14ac:dyDescent="0.3">
      <c r="A48" t="s">
        <v>2526</v>
      </c>
      <c r="B48" t="s">
        <v>2639</v>
      </c>
    </row>
    <row r="49" spans="1:2" x14ac:dyDescent="0.3">
      <c r="A49" t="s">
        <v>2742</v>
      </c>
      <c r="B49" t="s">
        <v>2743</v>
      </c>
    </row>
    <row r="50" spans="1:2" x14ac:dyDescent="0.3">
      <c r="A50" t="s">
        <v>2249</v>
      </c>
      <c r="B50" t="s">
        <v>2640</v>
      </c>
    </row>
    <row r="51" spans="1:2" x14ac:dyDescent="0.3">
      <c r="A51" t="s">
        <v>2641</v>
      </c>
      <c r="B51" t="s">
        <v>2740</v>
      </c>
    </row>
    <row r="52" spans="1:2" x14ac:dyDescent="0.3">
      <c r="A52" t="s">
        <v>2559</v>
      </c>
      <c r="B52" t="s">
        <v>2642</v>
      </c>
    </row>
    <row r="53" spans="1:2" x14ac:dyDescent="0.3">
      <c r="A53" t="s">
        <v>1938</v>
      </c>
      <c r="B53" t="s">
        <v>2644</v>
      </c>
    </row>
    <row r="54" spans="1:2" x14ac:dyDescent="0.3">
      <c r="A54" t="s">
        <v>2264</v>
      </c>
      <c r="B54" t="s">
        <v>2648</v>
      </c>
    </row>
    <row r="55" spans="1:2" x14ac:dyDescent="0.3">
      <c r="A55" t="s">
        <v>2788</v>
      </c>
      <c r="B55" t="s">
        <v>2789</v>
      </c>
    </row>
    <row r="56" spans="1:2" x14ac:dyDescent="0.3">
      <c r="A56" t="s">
        <v>2762</v>
      </c>
      <c r="B56" t="s">
        <v>2763</v>
      </c>
    </row>
    <row r="57" spans="1:2" x14ac:dyDescent="0.3">
      <c r="A57" t="s">
        <v>2776</v>
      </c>
      <c r="B57" t="s">
        <v>2777</v>
      </c>
    </row>
    <row r="58" spans="1:2" x14ac:dyDescent="0.3">
      <c r="A58" t="s">
        <v>951</v>
      </c>
      <c r="B58" t="s">
        <v>2770</v>
      </c>
    </row>
    <row r="59" spans="1:2" x14ac:dyDescent="0.3">
      <c r="A59" t="s">
        <v>953</v>
      </c>
      <c r="B59" t="s">
        <v>2647</v>
      </c>
    </row>
    <row r="60" spans="1:2" x14ac:dyDescent="0.3">
      <c r="A60" t="s">
        <v>2772</v>
      </c>
      <c r="B60" t="s">
        <v>2773</v>
      </c>
    </row>
    <row r="61" spans="1:2" x14ac:dyDescent="0.3">
      <c r="A61" t="s">
        <v>2774</v>
      </c>
      <c r="B61" t="s">
        <v>2775</v>
      </c>
    </row>
    <row r="62" spans="1:2" x14ac:dyDescent="0.3">
      <c r="A62" t="s">
        <v>2778</v>
      </c>
      <c r="B62" t="s">
        <v>2779</v>
      </c>
    </row>
    <row r="63" spans="1:2" x14ac:dyDescent="0.3">
      <c r="A63" t="s">
        <v>2780</v>
      </c>
      <c r="B63" t="s">
        <v>2810</v>
      </c>
    </row>
    <row r="64" spans="1:2" s="78" customFormat="1" x14ac:dyDescent="0.3">
      <c r="A64" s="78" t="s">
        <v>2808</v>
      </c>
      <c r="B64" s="78" t="s">
        <v>2809</v>
      </c>
    </row>
    <row r="65" spans="1:2" x14ac:dyDescent="0.3">
      <c r="A65" t="s">
        <v>2765</v>
      </c>
      <c r="B65" t="s">
        <v>2783</v>
      </c>
    </row>
    <row r="66" spans="1:2" x14ac:dyDescent="0.3">
      <c r="A66" t="s">
        <v>2784</v>
      </c>
      <c r="B66" t="s">
        <v>2785</v>
      </c>
    </row>
    <row r="67" spans="1:2" x14ac:dyDescent="0.3">
      <c r="A67" t="s">
        <v>2761</v>
      </c>
      <c r="B67" t="s">
        <v>2766</v>
      </c>
    </row>
    <row r="68" spans="1:2" x14ac:dyDescent="0.3">
      <c r="A68" t="s">
        <v>2768</v>
      </c>
      <c r="B68" t="s">
        <v>2767</v>
      </c>
    </row>
    <row r="69" spans="1:2" x14ac:dyDescent="0.3">
      <c r="A69" s="10" t="s">
        <v>388</v>
      </c>
      <c r="B69" t="s">
        <v>2769</v>
      </c>
    </row>
    <row r="70" spans="1:2" x14ac:dyDescent="0.3">
      <c r="A70" t="s">
        <v>2598</v>
      </c>
      <c r="B70" t="s">
        <v>2786</v>
      </c>
    </row>
    <row r="71" spans="1:2" x14ac:dyDescent="0.3">
      <c r="A71" t="s">
        <v>1112</v>
      </c>
      <c r="B71" t="s">
        <v>2649</v>
      </c>
    </row>
    <row r="72" spans="1:2" x14ac:dyDescent="0.3">
      <c r="A72" t="s">
        <v>1114</v>
      </c>
      <c r="B72" t="s">
        <v>2791</v>
      </c>
    </row>
    <row r="73" spans="1:2" s="78" customFormat="1" x14ac:dyDescent="0.3">
      <c r="A73" s="78" t="s">
        <v>2803</v>
      </c>
      <c r="B73" s="78" t="s">
        <v>2805</v>
      </c>
    </row>
    <row r="74" spans="1:2" x14ac:dyDescent="0.3">
      <c r="A74" t="s">
        <v>2651</v>
      </c>
      <c r="B74" t="s">
        <v>2650</v>
      </c>
    </row>
    <row r="75" spans="1:2" x14ac:dyDescent="0.3">
      <c r="A75" t="s">
        <v>1115</v>
      </c>
      <c r="B75" t="s">
        <v>2790</v>
      </c>
    </row>
    <row r="76" spans="1:2" x14ac:dyDescent="0.3">
      <c r="A76" s="78" t="s">
        <v>2804</v>
      </c>
      <c r="B76" s="78" t="s">
        <v>2806</v>
      </c>
    </row>
    <row r="77" spans="1:2" x14ac:dyDescent="0.3">
      <c r="A77" s="78" t="s">
        <v>2792</v>
      </c>
      <c r="B77" s="78" t="s">
        <v>2793</v>
      </c>
    </row>
    <row r="78" spans="1:2" x14ac:dyDescent="0.3">
      <c r="A78" s="78" t="s">
        <v>2794</v>
      </c>
      <c r="B78" s="78" t="s">
        <v>2795</v>
      </c>
    </row>
    <row r="79" spans="1:2" x14ac:dyDescent="0.3">
      <c r="A79" s="78" t="s">
        <v>2798</v>
      </c>
      <c r="B79" s="78" t="s">
        <v>2800</v>
      </c>
    </row>
    <row r="80" spans="1:2" x14ac:dyDescent="0.3">
      <c r="A80" s="78" t="s">
        <v>2796</v>
      </c>
      <c r="B80" s="78" t="s">
        <v>2799</v>
      </c>
    </row>
    <row r="81" spans="1:7" x14ac:dyDescent="0.3">
      <c r="A81" t="s">
        <v>1154</v>
      </c>
      <c r="B81" t="s">
        <v>2801</v>
      </c>
    </row>
    <row r="82" spans="1:7" x14ac:dyDescent="0.3">
      <c r="A82" t="s">
        <v>1155</v>
      </c>
      <c r="B82" t="s">
        <v>2802</v>
      </c>
    </row>
    <row r="83" spans="1:7" x14ac:dyDescent="0.3">
      <c r="A83" t="s">
        <v>19</v>
      </c>
      <c r="B83" t="s">
        <v>2632</v>
      </c>
    </row>
    <row r="84" spans="1:7" x14ac:dyDescent="0.3">
      <c r="A84" t="s">
        <v>2013</v>
      </c>
      <c r="B84" t="s">
        <v>2744</v>
      </c>
    </row>
    <row r="85" spans="1:7" x14ac:dyDescent="0.3">
      <c r="A85" s="26" t="s">
        <v>2014</v>
      </c>
      <c r="B85" t="s">
        <v>2745</v>
      </c>
    </row>
    <row r="86" spans="1:7" x14ac:dyDescent="0.3">
      <c r="A86" s="26" t="s">
        <v>2419</v>
      </c>
      <c r="B86" t="s">
        <v>2746</v>
      </c>
    </row>
    <row r="87" spans="1:7" x14ac:dyDescent="0.3">
      <c r="A87" s="26" t="s">
        <v>2015</v>
      </c>
      <c r="B87" t="s">
        <v>2747</v>
      </c>
    </row>
    <row r="88" spans="1:7" x14ac:dyDescent="0.3">
      <c r="A88" t="s">
        <v>2807</v>
      </c>
      <c r="B88" t="s">
        <v>2652</v>
      </c>
    </row>
    <row r="89" spans="1:7" x14ac:dyDescent="0.3">
      <c r="A89" t="s">
        <v>2787</v>
      </c>
      <c r="B89" t="s">
        <v>2653</v>
      </c>
    </row>
    <row r="90" spans="1:7" x14ac:dyDescent="0.3">
      <c r="A90" s="26" t="s">
        <v>2306</v>
      </c>
      <c r="B90" t="s">
        <v>2752</v>
      </c>
      <c r="G90" s="26"/>
    </row>
    <row r="91" spans="1:7" x14ac:dyDescent="0.3">
      <c r="A91" s="26" t="s">
        <v>2307</v>
      </c>
      <c r="B91" t="s">
        <v>2753</v>
      </c>
      <c r="G91" s="26"/>
    </row>
    <row r="92" spans="1:7" x14ac:dyDescent="0.3">
      <c r="A92" s="26" t="s">
        <v>2308</v>
      </c>
      <c r="B92" t="s">
        <v>2754</v>
      </c>
      <c r="G92" s="26"/>
    </row>
    <row r="93" spans="1:7" x14ac:dyDescent="0.3">
      <c r="A93" s="26" t="s">
        <v>2304</v>
      </c>
      <c r="B93" t="s">
        <v>2748</v>
      </c>
    </row>
    <row r="94" spans="1:7" x14ac:dyDescent="0.3">
      <c r="A94" s="26" t="s">
        <v>2305</v>
      </c>
      <c r="B94" t="s">
        <v>2749</v>
      </c>
    </row>
    <row r="95" spans="1:7" x14ac:dyDescent="0.3">
      <c r="A95" s="26" t="s">
        <v>2255</v>
      </c>
      <c r="B95" t="s">
        <v>2750</v>
      </c>
    </row>
    <row r="96" spans="1:7" x14ac:dyDescent="0.3">
      <c r="A96" s="26" t="s">
        <v>2256</v>
      </c>
      <c r="B96" t="s">
        <v>2751</v>
      </c>
    </row>
    <row r="97" spans="1:2" x14ac:dyDescent="0.3">
      <c r="A97" t="s">
        <v>21</v>
      </c>
      <c r="B97" t="s">
        <v>2633</v>
      </c>
    </row>
    <row r="98" spans="1:2" x14ac:dyDescent="0.3">
      <c r="A98" t="s">
        <v>727</v>
      </c>
      <c r="B98" t="s">
        <v>2645</v>
      </c>
    </row>
    <row r="99" spans="1:2" x14ac:dyDescent="0.3">
      <c r="A99" t="s">
        <v>728</v>
      </c>
      <c r="B99" t="s">
        <v>2646</v>
      </c>
    </row>
    <row r="100" spans="1:2" x14ac:dyDescent="0.3">
      <c r="A100" t="s">
        <v>1999</v>
      </c>
      <c r="B100" t="s">
        <v>2634</v>
      </c>
    </row>
    <row r="101" spans="1:2" x14ac:dyDescent="0.3">
      <c r="A101" t="s">
        <v>2002</v>
      </c>
      <c r="B101" t="s">
        <v>2635</v>
      </c>
    </row>
    <row r="102" spans="1:2" x14ac:dyDescent="0.3">
      <c r="A102" t="s">
        <v>2004</v>
      </c>
      <c r="B102" t="s">
        <v>2636</v>
      </c>
    </row>
    <row r="103" spans="1:2" x14ac:dyDescent="0.3">
      <c r="A103" t="s">
        <v>2033</v>
      </c>
      <c r="B103" t="s">
        <v>2035</v>
      </c>
    </row>
    <row r="104" spans="1:2" x14ac:dyDescent="0.3">
      <c r="A104" t="s">
        <v>2032</v>
      </c>
      <c r="B104" t="s">
        <v>2658</v>
      </c>
    </row>
    <row r="105" spans="1:2" x14ac:dyDescent="0.3">
      <c r="A105" t="s">
        <v>2034</v>
      </c>
      <c r="B105" t="s">
        <v>2657</v>
      </c>
    </row>
    <row r="106" spans="1:2" x14ac:dyDescent="0.3">
      <c r="A106" t="s">
        <v>12</v>
      </c>
      <c r="B106" t="s">
        <v>2036</v>
      </c>
    </row>
    <row r="107" spans="1:2" x14ac:dyDescent="0.3">
      <c r="A107" t="s">
        <v>1991</v>
      </c>
      <c r="B107" t="s">
        <v>1992</v>
      </c>
    </row>
    <row r="108" spans="1:2" ht="43.8" customHeight="1" x14ac:dyDescent="0.3">
      <c r="A108" t="s">
        <v>2414</v>
      </c>
      <c r="B108" s="24" t="s">
        <v>2656</v>
      </c>
    </row>
    <row r="109" spans="1:2" x14ac:dyDescent="0.3">
      <c r="A109" t="s">
        <v>2392</v>
      </c>
      <c r="B109" t="s">
        <v>2637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A51D-5146-46F2-8377-AC0D6C1B8AB9}">
  <dimension ref="A1:AQ101"/>
  <sheetViews>
    <sheetView zoomScaleNormal="100" workbookViewId="0">
      <pane ySplit="1" topLeftCell="A2" activePane="bottomLeft" state="frozen"/>
      <selection pane="bottomLeft" activeCell="B2" sqref="B2"/>
    </sheetView>
  </sheetViews>
  <sheetFormatPr defaultRowHeight="14.4" x14ac:dyDescent="0.3"/>
  <cols>
    <col min="10" max="10" width="10.44140625" customWidth="1"/>
    <col min="12" max="13" width="13.6640625" customWidth="1"/>
    <col min="14" max="14" width="5.44140625" bestFit="1" customWidth="1"/>
    <col min="15" max="15" width="16.5546875" bestFit="1" customWidth="1"/>
    <col min="16" max="16" width="13.6640625" bestFit="1" customWidth="1"/>
    <col min="17" max="17" width="5.33203125" bestFit="1" customWidth="1"/>
    <col min="18" max="22" width="9.33203125" customWidth="1"/>
  </cols>
  <sheetData>
    <row r="1" spans="1:28" x14ac:dyDescent="0.3">
      <c r="A1" s="77" t="s">
        <v>9</v>
      </c>
      <c r="B1" s="77" t="s">
        <v>26</v>
      </c>
      <c r="C1" s="77" t="s">
        <v>25</v>
      </c>
      <c r="D1" s="77" t="s">
        <v>27</v>
      </c>
      <c r="E1" s="77" t="s">
        <v>832</v>
      </c>
      <c r="F1" s="77" t="s">
        <v>2659</v>
      </c>
      <c r="G1" s="77" t="s">
        <v>15</v>
      </c>
      <c r="H1" s="77" t="s">
        <v>16</v>
      </c>
      <c r="I1" s="77" t="s">
        <v>2629</v>
      </c>
      <c r="J1" s="77" t="s">
        <v>10</v>
      </c>
      <c r="K1" s="77" t="s">
        <v>2041</v>
      </c>
      <c r="L1" s="77" t="s">
        <v>2631</v>
      </c>
      <c r="M1" s="77" t="s">
        <v>2668</v>
      </c>
      <c r="N1" s="77" t="s">
        <v>2683</v>
      </c>
      <c r="O1" s="77" t="s">
        <v>2689</v>
      </c>
      <c r="P1" s="77" t="s">
        <v>2706</v>
      </c>
      <c r="Q1" s="77" t="s">
        <v>2707</v>
      </c>
      <c r="R1" s="77" t="s">
        <v>21</v>
      </c>
      <c r="S1" s="77" t="s">
        <v>727</v>
      </c>
      <c r="T1" s="77" t="s">
        <v>728</v>
      </c>
      <c r="U1" s="77" t="s">
        <v>2002</v>
      </c>
      <c r="V1" s="77" t="s">
        <v>2003</v>
      </c>
      <c r="W1" s="77" t="s">
        <v>2033</v>
      </c>
      <c r="X1" s="77" t="s">
        <v>2032</v>
      </c>
      <c r="Y1" s="77" t="s">
        <v>2034</v>
      </c>
      <c r="Z1" s="77" t="s">
        <v>12</v>
      </c>
      <c r="AA1" s="77" t="s">
        <v>1991</v>
      </c>
      <c r="AB1" s="77" t="s">
        <v>2392</v>
      </c>
    </row>
    <row r="2" spans="1:28" x14ac:dyDescent="0.3">
      <c r="A2" t="s">
        <v>114</v>
      </c>
      <c r="B2" t="s">
        <v>108</v>
      </c>
      <c r="C2" t="s">
        <v>109</v>
      </c>
      <c r="D2" t="s">
        <v>110</v>
      </c>
      <c r="F2" t="s">
        <v>2660</v>
      </c>
      <c r="G2" t="s">
        <v>111</v>
      </c>
      <c r="I2" t="s">
        <v>111</v>
      </c>
      <c r="J2" t="s">
        <v>112</v>
      </c>
      <c r="K2">
        <v>2</v>
      </c>
      <c r="L2" s="19">
        <f>((4.7*30.7)*10000/16)/1000</f>
        <v>90.181250000000006</v>
      </c>
      <c r="O2" s="19">
        <f>((4.1*27)*10000/16)/1000</f>
        <v>69.1875</v>
      </c>
      <c r="R2" s="3">
        <f t="shared" ref="R2:R8" si="0">O2/L2</f>
        <v>0.76720493450689575</v>
      </c>
      <c r="S2" s="3"/>
      <c r="T2" s="3"/>
      <c r="Y2" t="s">
        <v>2</v>
      </c>
      <c r="AA2" t="s">
        <v>2</v>
      </c>
    </row>
    <row r="3" spans="1:28" x14ac:dyDescent="0.3">
      <c r="A3" t="s">
        <v>114</v>
      </c>
      <c r="B3" t="s">
        <v>108</v>
      </c>
      <c r="C3" t="s">
        <v>109</v>
      </c>
      <c r="D3" t="s">
        <v>110</v>
      </c>
      <c r="F3" t="s">
        <v>2660</v>
      </c>
      <c r="G3" t="s">
        <v>111</v>
      </c>
      <c r="I3" t="s">
        <v>111</v>
      </c>
      <c r="J3" t="s">
        <v>113</v>
      </c>
      <c r="K3">
        <v>2</v>
      </c>
      <c r="L3" s="19">
        <f>((2.5*17.6)*10000/16)/1000</f>
        <v>27.5</v>
      </c>
      <c r="O3" s="19">
        <f>((2.6*17.4)*10000/16)/1000</f>
        <v>28.274999999999995</v>
      </c>
      <c r="R3" s="3">
        <f t="shared" si="0"/>
        <v>1.0281818181818181</v>
      </c>
      <c r="S3" s="3"/>
      <c r="T3" s="3"/>
      <c r="Y3" t="s">
        <v>2</v>
      </c>
      <c r="AA3" t="s">
        <v>2</v>
      </c>
    </row>
    <row r="4" spans="1:28" x14ac:dyDescent="0.3">
      <c r="A4" t="s">
        <v>142</v>
      </c>
      <c r="B4" t="s">
        <v>143</v>
      </c>
      <c r="D4" s="4" t="s">
        <v>144</v>
      </c>
      <c r="E4" s="4" t="s">
        <v>922</v>
      </c>
      <c r="F4" t="s">
        <v>2660</v>
      </c>
      <c r="G4" t="s">
        <v>146</v>
      </c>
      <c r="H4" t="s">
        <v>17</v>
      </c>
      <c r="I4" t="s">
        <v>146</v>
      </c>
      <c r="J4" t="s">
        <v>145</v>
      </c>
      <c r="K4">
        <v>4</v>
      </c>
      <c r="L4">
        <v>5.66</v>
      </c>
      <c r="O4">
        <v>5.84</v>
      </c>
      <c r="R4" s="3">
        <f t="shared" si="0"/>
        <v>1.0318021201413428</v>
      </c>
      <c r="S4" s="3"/>
      <c r="T4" s="3"/>
      <c r="W4">
        <v>0</v>
      </c>
      <c r="X4" t="s">
        <v>14</v>
      </c>
      <c r="Z4" t="s">
        <v>2</v>
      </c>
      <c r="AA4" t="s">
        <v>2</v>
      </c>
    </row>
    <row r="5" spans="1:28" x14ac:dyDescent="0.3">
      <c r="A5" t="s">
        <v>142</v>
      </c>
      <c r="B5" t="s">
        <v>143</v>
      </c>
      <c r="D5" s="4" t="s">
        <v>144</v>
      </c>
      <c r="E5" s="4" t="s">
        <v>922</v>
      </c>
      <c r="F5" t="s">
        <v>2660</v>
      </c>
      <c r="G5" t="s">
        <v>147</v>
      </c>
      <c r="H5" t="s">
        <v>17</v>
      </c>
      <c r="I5" t="s">
        <v>147</v>
      </c>
      <c r="J5" t="s">
        <v>145</v>
      </c>
      <c r="K5">
        <v>4</v>
      </c>
      <c r="L5">
        <v>5.66</v>
      </c>
      <c r="O5">
        <v>6.68</v>
      </c>
      <c r="R5" s="3">
        <f t="shared" si="0"/>
        <v>1.1802120141342756</v>
      </c>
      <c r="S5" s="3"/>
      <c r="T5" s="3"/>
      <c r="W5">
        <v>0</v>
      </c>
      <c r="X5" t="s">
        <v>14</v>
      </c>
      <c r="Z5" t="s">
        <v>2</v>
      </c>
      <c r="AA5" t="s">
        <v>2</v>
      </c>
    </row>
    <row r="6" spans="1:28" x14ac:dyDescent="0.3">
      <c r="A6" t="s">
        <v>142</v>
      </c>
      <c r="B6" t="s">
        <v>143</v>
      </c>
      <c r="D6" s="4" t="s">
        <v>144</v>
      </c>
      <c r="E6" s="4" t="s">
        <v>922</v>
      </c>
      <c r="F6" t="s">
        <v>2660</v>
      </c>
      <c r="G6" t="s">
        <v>148</v>
      </c>
      <c r="H6" t="s">
        <v>17</v>
      </c>
      <c r="I6" t="s">
        <v>148</v>
      </c>
      <c r="J6" t="s">
        <v>145</v>
      </c>
      <c r="K6">
        <v>4</v>
      </c>
      <c r="L6">
        <v>5.66</v>
      </c>
      <c r="O6">
        <v>5.62</v>
      </c>
      <c r="R6" s="3">
        <f t="shared" si="0"/>
        <v>0.99293286219081267</v>
      </c>
      <c r="S6" s="3"/>
      <c r="T6" s="3"/>
      <c r="W6">
        <v>0</v>
      </c>
      <c r="X6" t="s">
        <v>14</v>
      </c>
      <c r="Z6" t="s">
        <v>2</v>
      </c>
      <c r="AA6" t="s">
        <v>2</v>
      </c>
    </row>
    <row r="7" spans="1:28" x14ac:dyDescent="0.3">
      <c r="A7" s="10" t="s">
        <v>278</v>
      </c>
      <c r="B7" s="10" t="s">
        <v>29</v>
      </c>
      <c r="C7" s="10" t="s">
        <v>277</v>
      </c>
      <c r="D7" s="10" t="s">
        <v>280</v>
      </c>
      <c r="E7" s="10"/>
      <c r="F7" t="s">
        <v>2660</v>
      </c>
      <c r="H7" s="10" t="s">
        <v>17</v>
      </c>
      <c r="I7" s="10" t="s">
        <v>13</v>
      </c>
      <c r="J7" s="10" t="s">
        <v>276</v>
      </c>
      <c r="K7" s="10">
        <v>3</v>
      </c>
      <c r="L7" s="3">
        <f>5.3*10/5.2</f>
        <v>10.192307692307692</v>
      </c>
      <c r="O7" s="3">
        <f>4.6*10/5.2</f>
        <v>8.8461538461538467</v>
      </c>
      <c r="Q7" s="3"/>
      <c r="R7" s="3">
        <f t="shared" si="0"/>
        <v>0.86792452830188693</v>
      </c>
      <c r="S7" s="3"/>
      <c r="T7" s="3"/>
      <c r="U7" s="3"/>
      <c r="V7" s="3"/>
      <c r="W7" s="5">
        <f>93.5*0.17</f>
        <v>15.895000000000001</v>
      </c>
      <c r="X7" s="23" t="s">
        <v>14</v>
      </c>
      <c r="Z7" t="s">
        <v>3</v>
      </c>
      <c r="AA7" t="s">
        <v>2</v>
      </c>
      <c r="AB7" s="10" t="s">
        <v>279</v>
      </c>
    </row>
    <row r="8" spans="1:28" x14ac:dyDescent="0.3">
      <c r="A8" s="10" t="s">
        <v>281</v>
      </c>
      <c r="B8" s="10" t="s">
        <v>282</v>
      </c>
      <c r="C8" s="10" t="s">
        <v>283</v>
      </c>
      <c r="D8" s="10" t="s">
        <v>284</v>
      </c>
      <c r="E8" s="10"/>
      <c r="F8" t="s">
        <v>2660</v>
      </c>
      <c r="G8" s="10" t="s">
        <v>13</v>
      </c>
      <c r="H8" s="10" t="s">
        <v>316</v>
      </c>
      <c r="I8" s="10" t="s">
        <v>13</v>
      </c>
      <c r="J8" s="10" t="s">
        <v>276</v>
      </c>
      <c r="K8" s="10">
        <v>6</v>
      </c>
      <c r="L8" s="10">
        <v>3.67</v>
      </c>
      <c r="M8" s="3">
        <f>2.67^2</f>
        <v>7.1288999999999998</v>
      </c>
      <c r="N8" s="3">
        <f>SQRT(M8)</f>
        <v>2.67</v>
      </c>
      <c r="O8" s="10">
        <v>2.62</v>
      </c>
      <c r="P8" s="3">
        <f>2.63^2</f>
        <v>6.9168999999999992</v>
      </c>
      <c r="Q8" s="3">
        <f t="shared" ref="Q8:Q51" si="1">SQRT(P8)</f>
        <v>2.63</v>
      </c>
      <c r="R8" s="3">
        <f t="shared" si="0"/>
        <v>0.71389645776566757</v>
      </c>
      <c r="S8" s="3"/>
      <c r="T8" s="3"/>
      <c r="U8" s="3">
        <f>P8/(L8^2)+M8*(O8^2)/(L8^4)</f>
        <v>0.78329564505774552</v>
      </c>
      <c r="V8" s="3">
        <f>SQRT(U8)/R8</f>
        <v>1.2397314791727827</v>
      </c>
      <c r="AA8" s="10" t="s">
        <v>2</v>
      </c>
    </row>
    <row r="9" spans="1:28" x14ac:dyDescent="0.3">
      <c r="A9" s="10" t="s">
        <v>285</v>
      </c>
      <c r="B9" s="10" t="s">
        <v>286</v>
      </c>
      <c r="C9" s="10" t="s">
        <v>288</v>
      </c>
      <c r="D9" s="10" t="s">
        <v>287</v>
      </c>
      <c r="E9" s="10"/>
      <c r="F9" t="s">
        <v>2660</v>
      </c>
      <c r="H9" s="10" t="s">
        <v>316</v>
      </c>
      <c r="I9" s="10" t="s">
        <v>13</v>
      </c>
      <c r="J9" s="10" t="s">
        <v>276</v>
      </c>
      <c r="K9" s="10">
        <v>8</v>
      </c>
      <c r="N9" s="3"/>
      <c r="Q9" s="3"/>
      <c r="R9" s="3">
        <f>EXP(-0.45636)</f>
        <v>0.63358570518340207</v>
      </c>
      <c r="S9" s="3"/>
      <c r="T9" s="3"/>
      <c r="U9" s="3"/>
      <c r="V9" s="3"/>
      <c r="Y9" t="s">
        <v>3</v>
      </c>
      <c r="Z9" t="s">
        <v>2</v>
      </c>
      <c r="AA9" s="10" t="s">
        <v>2</v>
      </c>
    </row>
    <row r="10" spans="1:28" x14ac:dyDescent="0.3">
      <c r="A10" s="10" t="s">
        <v>285</v>
      </c>
      <c r="B10" s="10" t="s">
        <v>286</v>
      </c>
      <c r="C10" s="10" t="s">
        <v>288</v>
      </c>
      <c r="D10" s="10" t="s">
        <v>287</v>
      </c>
      <c r="E10" s="10"/>
      <c r="F10" t="s">
        <v>2660</v>
      </c>
      <c r="H10" s="10" t="s">
        <v>316</v>
      </c>
      <c r="I10" s="10" t="s">
        <v>13</v>
      </c>
      <c r="J10" s="10" t="s">
        <v>276</v>
      </c>
      <c r="K10" s="10">
        <v>8</v>
      </c>
      <c r="N10" s="3"/>
      <c r="Q10" s="3"/>
      <c r="R10" s="3">
        <f>EXP(-0.32424)</f>
        <v>0.72307668314961204</v>
      </c>
      <c r="S10" s="3"/>
      <c r="T10" s="3"/>
      <c r="U10" s="3"/>
      <c r="V10" s="3"/>
      <c r="Y10" t="s">
        <v>3</v>
      </c>
      <c r="Z10" t="s">
        <v>3</v>
      </c>
      <c r="AA10" s="10" t="s">
        <v>2</v>
      </c>
    </row>
    <row r="11" spans="1:28" x14ac:dyDescent="0.3">
      <c r="A11" s="10" t="s">
        <v>289</v>
      </c>
      <c r="B11" s="10" t="s">
        <v>29</v>
      </c>
      <c r="C11" s="10" t="s">
        <v>290</v>
      </c>
      <c r="D11" s="10" t="s">
        <v>291</v>
      </c>
      <c r="E11" s="10"/>
      <c r="F11" t="s">
        <v>2660</v>
      </c>
      <c r="H11" s="10" t="s">
        <v>17</v>
      </c>
      <c r="I11" s="10" t="s">
        <v>8</v>
      </c>
      <c r="J11" s="10" t="s">
        <v>276</v>
      </c>
      <c r="K11" s="10">
        <v>6</v>
      </c>
      <c r="N11" s="3"/>
      <c r="Q11" s="3"/>
      <c r="R11" s="3">
        <f>EXP(-0.12257)</f>
        <v>0.88464397769761638</v>
      </c>
      <c r="S11" s="3"/>
      <c r="T11" s="3"/>
      <c r="U11" s="3"/>
      <c r="V11" s="3"/>
      <c r="Y11" t="s">
        <v>3</v>
      </c>
      <c r="Z11" t="s">
        <v>3</v>
      </c>
      <c r="AA11" s="10" t="s">
        <v>2</v>
      </c>
    </row>
    <row r="12" spans="1:28" x14ac:dyDescent="0.3">
      <c r="A12" s="10" t="s">
        <v>292</v>
      </c>
      <c r="B12" s="10" t="s">
        <v>29</v>
      </c>
      <c r="C12" s="10" t="s">
        <v>277</v>
      </c>
      <c r="D12" s="10" t="s">
        <v>293</v>
      </c>
      <c r="E12" s="10"/>
      <c r="F12" t="s">
        <v>2660</v>
      </c>
      <c r="H12" s="10" t="s">
        <v>316</v>
      </c>
      <c r="I12" s="10" t="s">
        <v>8</v>
      </c>
      <c r="J12" s="10" t="s">
        <v>276</v>
      </c>
      <c r="K12" s="10">
        <v>8</v>
      </c>
      <c r="L12" s="22"/>
      <c r="M12" s="22"/>
      <c r="N12" s="3"/>
      <c r="P12" s="22"/>
      <c r="Q12" s="3"/>
      <c r="R12" s="3">
        <f>EXP(-0.1103)</f>
        <v>0.89556542536444439</v>
      </c>
      <c r="S12" s="3"/>
      <c r="T12" s="3"/>
      <c r="U12" s="3"/>
      <c r="V12" s="3"/>
      <c r="X12" t="s">
        <v>14</v>
      </c>
      <c r="Y12" t="s">
        <v>3</v>
      </c>
      <c r="Z12" t="s">
        <v>3</v>
      </c>
      <c r="AA12" s="10" t="s">
        <v>2</v>
      </c>
    </row>
    <row r="13" spans="1:28" x14ac:dyDescent="0.3">
      <c r="A13" s="10" t="s">
        <v>294</v>
      </c>
      <c r="B13" s="10" t="s">
        <v>29</v>
      </c>
      <c r="C13" s="10" t="s">
        <v>277</v>
      </c>
      <c r="D13" s="10" t="s">
        <v>295</v>
      </c>
      <c r="E13" s="10"/>
      <c r="F13" t="s">
        <v>2660</v>
      </c>
      <c r="H13" s="10" t="s">
        <v>316</v>
      </c>
      <c r="I13" s="10" t="s">
        <v>8</v>
      </c>
      <c r="J13" s="10" t="s">
        <v>276</v>
      </c>
      <c r="K13" s="10">
        <v>6</v>
      </c>
      <c r="N13" s="3"/>
      <c r="Q13" s="3"/>
      <c r="R13" s="3">
        <f>EXP(-0.08499)</f>
        <v>0.91852146957022718</v>
      </c>
      <c r="S13" s="3"/>
      <c r="T13" s="3"/>
      <c r="U13" s="3"/>
      <c r="V13" s="3"/>
      <c r="W13">
        <v>6.7</v>
      </c>
      <c r="X13" t="s">
        <v>14</v>
      </c>
      <c r="Z13" t="s">
        <v>3</v>
      </c>
      <c r="AA13" s="10" t="s">
        <v>2</v>
      </c>
    </row>
    <row r="14" spans="1:28" x14ac:dyDescent="0.3">
      <c r="A14" s="10" t="s">
        <v>296</v>
      </c>
      <c r="B14" s="10" t="s">
        <v>282</v>
      </c>
      <c r="C14" s="10" t="s">
        <v>298</v>
      </c>
      <c r="D14" s="10" t="s">
        <v>297</v>
      </c>
      <c r="E14" s="10"/>
      <c r="F14" t="s">
        <v>2660</v>
      </c>
      <c r="H14" s="10" t="s">
        <v>316</v>
      </c>
      <c r="I14" s="10" t="s">
        <v>1316</v>
      </c>
      <c r="J14" s="10" t="s">
        <v>276</v>
      </c>
      <c r="K14" s="10">
        <v>6</v>
      </c>
      <c r="L14" s="37">
        <f>0.08*10/7.5</f>
        <v>0.10666666666666667</v>
      </c>
      <c r="M14" s="37">
        <f>0.07^2</f>
        <v>4.9000000000000007E-3</v>
      </c>
      <c r="N14" s="3">
        <f t="shared" ref="N14:N53" si="2">SQRT(M14)</f>
        <v>7.0000000000000007E-2</v>
      </c>
      <c r="O14">
        <f>0.15*10/7.5</f>
        <v>0.2</v>
      </c>
      <c r="P14">
        <f>0.1^2</f>
        <v>1.0000000000000002E-2</v>
      </c>
      <c r="Q14" s="3">
        <f t="shared" si="1"/>
        <v>0.1</v>
      </c>
      <c r="R14" s="3">
        <f t="shared" ref="R14:R45" si="3">O14/L14</f>
        <v>1.875</v>
      </c>
      <c r="S14" s="3"/>
      <c r="T14" s="3"/>
      <c r="U14" s="3">
        <f>P14/(L14^2)+M14*(O14^2)/(L14^4)</f>
        <v>2.3929595947265625</v>
      </c>
      <c r="V14" s="3">
        <f t="shared" ref="V14:V15" si="4">SQRT(U14)/R14</f>
        <v>0.82502367390275533</v>
      </c>
      <c r="Z14" t="s">
        <v>2</v>
      </c>
      <c r="AA14" s="10" t="s">
        <v>2</v>
      </c>
    </row>
    <row r="15" spans="1:28" x14ac:dyDescent="0.3">
      <c r="A15" s="10" t="s">
        <v>296</v>
      </c>
      <c r="B15" s="10" t="s">
        <v>282</v>
      </c>
      <c r="C15" s="10" t="s">
        <v>298</v>
      </c>
      <c r="D15" s="10" t="s">
        <v>297</v>
      </c>
      <c r="E15" s="10"/>
      <c r="F15" t="s">
        <v>2660</v>
      </c>
      <c r="H15" s="10" t="s">
        <v>316</v>
      </c>
      <c r="I15" s="10" t="s">
        <v>1317</v>
      </c>
      <c r="J15" s="10" t="s">
        <v>276</v>
      </c>
      <c r="K15" s="10">
        <v>6</v>
      </c>
      <c r="L15" s="37">
        <f>0.11*10/7.5</f>
        <v>0.14666666666666667</v>
      </c>
      <c r="M15" s="37">
        <f>0.06^2</f>
        <v>3.5999999999999999E-3</v>
      </c>
      <c r="N15" s="3">
        <f t="shared" si="2"/>
        <v>0.06</v>
      </c>
      <c r="O15">
        <f>0.15*10/7.5</f>
        <v>0.2</v>
      </c>
      <c r="P15">
        <f>0.1^2</f>
        <v>1.0000000000000002E-2</v>
      </c>
      <c r="Q15" s="3">
        <f t="shared" si="1"/>
        <v>0.1</v>
      </c>
      <c r="R15" s="3">
        <f t="shared" si="3"/>
        <v>1.3636363636363638</v>
      </c>
      <c r="S15" s="3"/>
      <c r="T15" s="3"/>
      <c r="U15" s="3">
        <f>P15/(L15^2)+M15*(O15^2)/(L15^4)</f>
        <v>0.77607403865856162</v>
      </c>
      <c r="V15" s="3">
        <f t="shared" si="4"/>
        <v>0.64603047288872251</v>
      </c>
      <c r="Z15" t="s">
        <v>2</v>
      </c>
      <c r="AA15" s="10" t="s">
        <v>2</v>
      </c>
    </row>
    <row r="16" spans="1:28" x14ac:dyDescent="0.3">
      <c r="A16" t="s">
        <v>299</v>
      </c>
      <c r="B16" s="10" t="s">
        <v>300</v>
      </c>
      <c r="C16" s="10" t="s">
        <v>301</v>
      </c>
      <c r="D16" s="10" t="s">
        <v>306</v>
      </c>
      <c r="E16" s="10"/>
      <c r="F16" t="s">
        <v>2660</v>
      </c>
      <c r="H16" s="10" t="s">
        <v>316</v>
      </c>
      <c r="I16" s="10" t="s">
        <v>302</v>
      </c>
      <c r="J16" s="10" t="s">
        <v>276</v>
      </c>
      <c r="K16" s="10">
        <v>4</v>
      </c>
      <c r="L16" s="3">
        <f>(((4.23+4.12+4.27+4.93+4.23)/5)*10000/2.7)/1000</f>
        <v>16.133333333333333</v>
      </c>
      <c r="N16" s="3"/>
      <c r="O16" s="3">
        <f>(((4.98+4.7+5.27+5.54+5.56)/5)*10000/2.7)/1000</f>
        <v>19.296296296296291</v>
      </c>
      <c r="Q16" s="3"/>
      <c r="R16" s="3">
        <f t="shared" si="3"/>
        <v>1.1960514233241504</v>
      </c>
      <c r="S16" s="3"/>
      <c r="T16" s="3"/>
      <c r="U16" s="3"/>
      <c r="V16" s="3"/>
      <c r="W16">
        <f>18+15</f>
        <v>33</v>
      </c>
      <c r="X16" t="s">
        <v>14</v>
      </c>
      <c r="Z16" t="s">
        <v>3</v>
      </c>
      <c r="AA16" s="10" t="s">
        <v>2</v>
      </c>
    </row>
    <row r="17" spans="1:27" x14ac:dyDescent="0.3">
      <c r="A17" t="s">
        <v>299</v>
      </c>
      <c r="B17" s="10" t="s">
        <v>300</v>
      </c>
      <c r="C17" s="10" t="s">
        <v>301</v>
      </c>
      <c r="D17" s="10" t="s">
        <v>306</v>
      </c>
      <c r="E17" s="10"/>
      <c r="F17" t="s">
        <v>2660</v>
      </c>
      <c r="H17" s="10" t="s">
        <v>316</v>
      </c>
      <c r="I17" s="10" t="s">
        <v>303</v>
      </c>
      <c r="J17" s="10" t="s">
        <v>276</v>
      </c>
      <c r="K17" s="10">
        <v>4</v>
      </c>
      <c r="L17" s="3">
        <f t="shared" ref="L17:L19" si="5">(((4.23+4.12+4.27+4.93+4.23)/5)*10000/2.7)/1000</f>
        <v>16.133333333333333</v>
      </c>
      <c r="N17" s="3"/>
      <c r="O17" s="3">
        <f>(((4.6+3.6+4.6+5.53+4.53)/5)*10000/2.7)/1000</f>
        <v>16.933333333333334</v>
      </c>
      <c r="Q17" s="3"/>
      <c r="R17" s="3">
        <f t="shared" si="3"/>
        <v>1.0495867768595042</v>
      </c>
      <c r="S17" s="3"/>
      <c r="T17" s="3"/>
      <c r="U17" s="3"/>
      <c r="V17" s="3"/>
      <c r="W17">
        <f t="shared" ref="W17:W19" si="6">18+15</f>
        <v>33</v>
      </c>
      <c r="X17" t="s">
        <v>14</v>
      </c>
      <c r="Z17" t="s">
        <v>3</v>
      </c>
      <c r="AA17" s="10" t="s">
        <v>2</v>
      </c>
    </row>
    <row r="18" spans="1:27" x14ac:dyDescent="0.3">
      <c r="A18" t="s">
        <v>299</v>
      </c>
      <c r="B18" s="10" t="s">
        <v>300</v>
      </c>
      <c r="C18" s="10" t="s">
        <v>301</v>
      </c>
      <c r="D18" s="10" t="s">
        <v>306</v>
      </c>
      <c r="E18" s="10"/>
      <c r="F18" t="s">
        <v>2660</v>
      </c>
      <c r="H18" s="10" t="s">
        <v>316</v>
      </c>
      <c r="I18" s="10" t="s">
        <v>304</v>
      </c>
      <c r="J18" s="10" t="s">
        <v>276</v>
      </c>
      <c r="K18" s="10">
        <v>4</v>
      </c>
      <c r="L18" s="3">
        <f t="shared" si="5"/>
        <v>16.133333333333333</v>
      </c>
      <c r="N18" s="3"/>
      <c r="O18" s="3">
        <f>(((4.04+3.46+4.06+4.08+4.12)/5)*10000/2.7)/1000</f>
        <v>14.637037037037032</v>
      </c>
      <c r="Q18" s="3"/>
      <c r="R18" s="3">
        <f t="shared" si="3"/>
        <v>0.90725436179981611</v>
      </c>
      <c r="S18" s="3"/>
      <c r="T18" s="3"/>
      <c r="U18" s="3"/>
      <c r="V18" s="3"/>
      <c r="W18">
        <f t="shared" si="6"/>
        <v>33</v>
      </c>
      <c r="X18" t="s">
        <v>14</v>
      </c>
      <c r="Z18" t="s">
        <v>3</v>
      </c>
      <c r="AA18" s="10" t="s">
        <v>2</v>
      </c>
    </row>
    <row r="19" spans="1:27" x14ac:dyDescent="0.3">
      <c r="A19" t="s">
        <v>299</v>
      </c>
      <c r="B19" s="10" t="s">
        <v>300</v>
      </c>
      <c r="C19" s="10" t="s">
        <v>301</v>
      </c>
      <c r="D19" s="10" t="s">
        <v>306</v>
      </c>
      <c r="E19" s="10"/>
      <c r="F19" t="s">
        <v>2660</v>
      </c>
      <c r="H19" s="10" t="s">
        <v>316</v>
      </c>
      <c r="I19" s="10" t="s">
        <v>305</v>
      </c>
      <c r="J19" s="10" t="s">
        <v>276</v>
      </c>
      <c r="K19" s="10">
        <v>4</v>
      </c>
      <c r="L19" s="3">
        <f t="shared" si="5"/>
        <v>16.133333333333333</v>
      </c>
      <c r="N19" s="3"/>
      <c r="O19" s="3">
        <f>(((4.66+4.53+5.05+4.98+5)/5)*10000/2.7)/1000</f>
        <v>17.94074074074074</v>
      </c>
      <c r="Q19" s="3"/>
      <c r="R19" s="3">
        <f t="shared" si="3"/>
        <v>1.1120293847566574</v>
      </c>
      <c r="S19" s="3"/>
      <c r="T19" s="3"/>
      <c r="U19" s="3"/>
      <c r="V19" s="3"/>
      <c r="W19">
        <f t="shared" si="6"/>
        <v>33</v>
      </c>
      <c r="X19" t="s">
        <v>14</v>
      </c>
      <c r="Z19" t="s">
        <v>3</v>
      </c>
      <c r="AA19" s="10" t="s">
        <v>2</v>
      </c>
    </row>
    <row r="20" spans="1:27" x14ac:dyDescent="0.3">
      <c r="A20" t="s">
        <v>307</v>
      </c>
      <c r="B20" s="10" t="s">
        <v>300</v>
      </c>
      <c r="C20" s="10" t="s">
        <v>301</v>
      </c>
      <c r="E20">
        <v>2013</v>
      </c>
      <c r="F20" t="s">
        <v>2660</v>
      </c>
      <c r="H20" s="10" t="s">
        <v>316</v>
      </c>
      <c r="I20" s="10" t="s">
        <v>302</v>
      </c>
      <c r="J20" s="10" t="s">
        <v>276</v>
      </c>
      <c r="K20" s="10">
        <v>4</v>
      </c>
      <c r="L20" s="3">
        <v>21.111111111111111</v>
      </c>
      <c r="M20" s="3">
        <v>19.753086419753082</v>
      </c>
      <c r="N20" s="3">
        <f t="shared" si="2"/>
        <v>4.4444444444444438</v>
      </c>
      <c r="O20" s="19">
        <f>6.3*10/2.7</f>
        <v>23.333333333333332</v>
      </c>
      <c r="P20" s="19">
        <f>(0.4*SQRT(K20)*10/2.7)^2</f>
        <v>8.7791495198902592</v>
      </c>
      <c r="Q20" s="3">
        <f t="shared" si="1"/>
        <v>2.9629629629629628</v>
      </c>
      <c r="R20" s="3">
        <f t="shared" si="3"/>
        <v>1.1052631578947367</v>
      </c>
      <c r="S20" s="3"/>
      <c r="T20" s="3"/>
      <c r="U20" s="3"/>
      <c r="V20" s="3"/>
      <c r="W20">
        <v>0</v>
      </c>
      <c r="X20" t="s">
        <v>308</v>
      </c>
      <c r="Y20" t="s">
        <v>2</v>
      </c>
      <c r="Z20" t="s">
        <v>3</v>
      </c>
      <c r="AA20" s="10" t="s">
        <v>2</v>
      </c>
    </row>
    <row r="21" spans="1:27" x14ac:dyDescent="0.3">
      <c r="A21" t="s">
        <v>307</v>
      </c>
      <c r="B21" s="10" t="s">
        <v>300</v>
      </c>
      <c r="C21" s="10" t="s">
        <v>301</v>
      </c>
      <c r="E21">
        <v>2014</v>
      </c>
      <c r="F21" t="s">
        <v>2660</v>
      </c>
      <c r="H21" s="10" t="s">
        <v>316</v>
      </c>
      <c r="I21" s="10" t="s">
        <v>302</v>
      </c>
      <c r="J21" s="10" t="s">
        <v>276</v>
      </c>
      <c r="K21" s="10">
        <v>4</v>
      </c>
      <c r="L21" s="3">
        <v>13.333333333333332</v>
      </c>
      <c r="M21" s="3">
        <v>13.71742112482853</v>
      </c>
      <c r="N21" s="3">
        <f t="shared" si="2"/>
        <v>3.7037037037037033</v>
      </c>
      <c r="O21" s="19">
        <f>2.7*10/2.7</f>
        <v>10</v>
      </c>
      <c r="P21" s="19">
        <f>(0.5*SQRT(K21)*10/2.7)^2</f>
        <v>13.71742112482853</v>
      </c>
      <c r="Q21" s="3">
        <f t="shared" si="1"/>
        <v>3.7037037037037033</v>
      </c>
      <c r="R21" s="3">
        <f t="shared" si="3"/>
        <v>0.75000000000000011</v>
      </c>
      <c r="S21" s="3"/>
      <c r="T21" s="3"/>
      <c r="U21" s="3">
        <f t="shared" ref="U21:U28" si="7">P21/(L21^2)+M21*(O21^2)/(L21^4)</f>
        <v>0.12056327160493827</v>
      </c>
      <c r="V21" s="3">
        <f t="shared" ref="V21:V28" si="8">SQRT(U21)/R21</f>
        <v>0.46296296296296285</v>
      </c>
      <c r="W21">
        <v>0</v>
      </c>
      <c r="X21" t="s">
        <v>308</v>
      </c>
      <c r="Y21" t="s">
        <v>2</v>
      </c>
      <c r="Z21" t="s">
        <v>3</v>
      </c>
      <c r="AA21" s="10" t="s">
        <v>2</v>
      </c>
    </row>
    <row r="22" spans="1:27" x14ac:dyDescent="0.3">
      <c r="A22" t="s">
        <v>307</v>
      </c>
      <c r="B22" s="10" t="s">
        <v>300</v>
      </c>
      <c r="C22" s="10" t="s">
        <v>301</v>
      </c>
      <c r="E22">
        <v>2015</v>
      </c>
      <c r="F22" t="s">
        <v>2660</v>
      </c>
      <c r="H22" s="10" t="s">
        <v>316</v>
      </c>
      <c r="I22" s="10" t="s">
        <v>302</v>
      </c>
      <c r="J22" s="10" t="s">
        <v>276</v>
      </c>
      <c r="K22" s="10">
        <v>4</v>
      </c>
      <c r="L22" s="3">
        <v>18.148148148148145</v>
      </c>
      <c r="M22" s="3">
        <v>6.584362139917693</v>
      </c>
      <c r="N22" s="3">
        <f t="shared" si="2"/>
        <v>2.5660011963983362</v>
      </c>
      <c r="O22" s="19">
        <f>3.6*10/2.7</f>
        <v>13.333333333333332</v>
      </c>
      <c r="P22" s="19">
        <f>(0.3*SQRT(K22)*10/2.7)^2</f>
        <v>4.9382716049382704</v>
      </c>
      <c r="Q22" s="3">
        <f t="shared" si="1"/>
        <v>2.2222222222222219</v>
      </c>
      <c r="R22" s="3">
        <f t="shared" si="3"/>
        <v>0.73469387755102045</v>
      </c>
      <c r="S22" s="3"/>
      <c r="T22" s="3"/>
      <c r="U22" s="3">
        <f t="shared" si="7"/>
        <v>2.5784758224958675E-2</v>
      </c>
      <c r="V22" s="3">
        <f t="shared" si="8"/>
        <v>0.21856222893084823</v>
      </c>
      <c r="W22">
        <v>0</v>
      </c>
      <c r="X22" t="s">
        <v>308</v>
      </c>
      <c r="Y22" t="s">
        <v>2</v>
      </c>
      <c r="Z22" t="s">
        <v>3</v>
      </c>
      <c r="AA22" s="10" t="s">
        <v>2</v>
      </c>
    </row>
    <row r="23" spans="1:27" x14ac:dyDescent="0.3">
      <c r="A23" t="s">
        <v>307</v>
      </c>
      <c r="B23" s="10" t="s">
        <v>300</v>
      </c>
      <c r="C23" s="10" t="s">
        <v>301</v>
      </c>
      <c r="E23">
        <v>2013</v>
      </c>
      <c r="F23" t="s">
        <v>2660</v>
      </c>
      <c r="H23" s="10" t="s">
        <v>316</v>
      </c>
      <c r="I23" s="10" t="s">
        <v>309</v>
      </c>
      <c r="J23" s="10" t="s">
        <v>276</v>
      </c>
      <c r="K23" s="10">
        <v>4</v>
      </c>
      <c r="L23" s="3">
        <v>21.111111111111111</v>
      </c>
      <c r="M23" s="3">
        <v>19.753086419753082</v>
      </c>
      <c r="N23" s="3">
        <f t="shared" si="2"/>
        <v>4.4444444444444438</v>
      </c>
      <c r="O23" s="3">
        <f>4.2*10/2.7</f>
        <v>15.555555555555555</v>
      </c>
      <c r="P23" s="19">
        <f>(0.2*SQRT(K23)*10/2.7)^2</f>
        <v>2.1947873799725648</v>
      </c>
      <c r="Q23" s="3">
        <f t="shared" si="1"/>
        <v>1.4814814814814814</v>
      </c>
      <c r="R23" s="3">
        <f t="shared" si="3"/>
        <v>0.73684210526315785</v>
      </c>
      <c r="S23" s="3"/>
      <c r="T23" s="3"/>
      <c r="U23" s="3">
        <f t="shared" si="7"/>
        <v>2.8988250380044482E-2</v>
      </c>
      <c r="V23" s="3">
        <f t="shared" si="8"/>
        <v>0.23106627712513503</v>
      </c>
      <c r="W23">
        <v>0</v>
      </c>
      <c r="X23" t="s">
        <v>308</v>
      </c>
      <c r="Y23" t="s">
        <v>2</v>
      </c>
      <c r="Z23" t="s">
        <v>3</v>
      </c>
      <c r="AA23" s="10" t="s">
        <v>2</v>
      </c>
    </row>
    <row r="24" spans="1:27" x14ac:dyDescent="0.3">
      <c r="A24" t="s">
        <v>307</v>
      </c>
      <c r="B24" s="10" t="s">
        <v>300</v>
      </c>
      <c r="C24" s="10" t="s">
        <v>301</v>
      </c>
      <c r="E24">
        <v>2014</v>
      </c>
      <c r="F24" t="s">
        <v>2660</v>
      </c>
      <c r="H24" s="10" t="s">
        <v>316</v>
      </c>
      <c r="I24" s="10" t="s">
        <v>309</v>
      </c>
      <c r="J24" s="10" t="s">
        <v>276</v>
      </c>
      <c r="K24" s="10">
        <v>4</v>
      </c>
      <c r="L24" s="3">
        <v>13.333333333333332</v>
      </c>
      <c r="M24" s="3">
        <v>13.71742112482853</v>
      </c>
      <c r="N24" s="3">
        <f t="shared" si="2"/>
        <v>3.7037037037037033</v>
      </c>
      <c r="O24" s="3">
        <f>2*10/2.7</f>
        <v>7.4074074074074066</v>
      </c>
      <c r="P24" s="19">
        <f>(0.3*SQRT(K24)*10/2.7)^2</f>
        <v>4.9382716049382704</v>
      </c>
      <c r="Q24" s="3">
        <f t="shared" si="1"/>
        <v>2.2222222222222219</v>
      </c>
      <c r="R24" s="3">
        <f t="shared" si="3"/>
        <v>0.55555555555555558</v>
      </c>
      <c r="S24" s="3"/>
      <c r="T24" s="3"/>
      <c r="U24" s="3">
        <f t="shared" si="7"/>
        <v>5.1592745008382873E-2</v>
      </c>
      <c r="V24" s="3">
        <f t="shared" si="8"/>
        <v>0.40885265539942445</v>
      </c>
      <c r="W24">
        <v>0</v>
      </c>
      <c r="X24" t="s">
        <v>308</v>
      </c>
      <c r="Y24" t="s">
        <v>2</v>
      </c>
      <c r="Z24" t="s">
        <v>3</v>
      </c>
      <c r="AA24" s="10" t="s">
        <v>2</v>
      </c>
    </row>
    <row r="25" spans="1:27" x14ac:dyDescent="0.3">
      <c r="A25" t="s">
        <v>307</v>
      </c>
      <c r="B25" s="10" t="s">
        <v>300</v>
      </c>
      <c r="C25" s="10" t="s">
        <v>301</v>
      </c>
      <c r="E25">
        <v>2015</v>
      </c>
      <c r="F25" t="s">
        <v>2660</v>
      </c>
      <c r="H25" s="10" t="s">
        <v>316</v>
      </c>
      <c r="I25" s="10" t="s">
        <v>309</v>
      </c>
      <c r="J25" s="10" t="s">
        <v>276</v>
      </c>
      <c r="K25" s="10">
        <v>4</v>
      </c>
      <c r="L25" s="3">
        <v>18.148148148148145</v>
      </c>
      <c r="M25" s="3">
        <v>6.584362139917693</v>
      </c>
      <c r="N25" s="3">
        <f t="shared" si="2"/>
        <v>2.5660011963983362</v>
      </c>
      <c r="O25" s="3">
        <f>3*10/2.7</f>
        <v>11.111111111111111</v>
      </c>
      <c r="P25" s="19">
        <f>(0.3*SQRT(K25)*10/2.7)^2</f>
        <v>4.9382716049382704</v>
      </c>
      <c r="Q25" s="3">
        <f t="shared" si="1"/>
        <v>2.2222222222222219</v>
      </c>
      <c r="R25" s="3">
        <f t="shared" si="3"/>
        <v>0.6122448979591838</v>
      </c>
      <c r="S25" s="3"/>
      <c r="T25" s="3"/>
      <c r="U25" s="3">
        <f t="shared" si="7"/>
        <v>2.2487506507163042E-2</v>
      </c>
      <c r="V25" s="3">
        <f t="shared" si="8"/>
        <v>0.24493197042738765</v>
      </c>
      <c r="W25">
        <v>0</v>
      </c>
      <c r="X25" t="s">
        <v>308</v>
      </c>
      <c r="Y25" t="s">
        <v>2</v>
      </c>
      <c r="Z25" t="s">
        <v>3</v>
      </c>
      <c r="AA25" s="10" t="s">
        <v>2</v>
      </c>
    </row>
    <row r="26" spans="1:27" x14ac:dyDescent="0.3">
      <c r="A26" t="s">
        <v>307</v>
      </c>
      <c r="B26" s="10" t="s">
        <v>300</v>
      </c>
      <c r="C26" s="10" t="s">
        <v>301</v>
      </c>
      <c r="E26">
        <v>2013</v>
      </c>
      <c r="F26" t="s">
        <v>2660</v>
      </c>
      <c r="H26" s="10" t="s">
        <v>316</v>
      </c>
      <c r="I26" s="10" t="s">
        <v>310</v>
      </c>
      <c r="J26" s="10" t="s">
        <v>276</v>
      </c>
      <c r="K26" s="10">
        <v>4</v>
      </c>
      <c r="L26" s="3">
        <v>21.111111111111111</v>
      </c>
      <c r="M26" s="3">
        <v>19.753086419753082</v>
      </c>
      <c r="N26" s="3">
        <f t="shared" si="2"/>
        <v>4.4444444444444438</v>
      </c>
      <c r="O26" s="3">
        <f>5.7*10/2.7</f>
        <v>21.111111111111111</v>
      </c>
      <c r="P26" s="19">
        <f>(0.6*SQRT(K27)*10/2.7)^2</f>
        <v>19.753086419753082</v>
      </c>
      <c r="Q26" s="3">
        <f t="shared" si="1"/>
        <v>4.4444444444444438</v>
      </c>
      <c r="R26" s="3">
        <f t="shared" si="3"/>
        <v>1</v>
      </c>
      <c r="S26" s="3"/>
      <c r="T26" s="3"/>
      <c r="U26" s="3">
        <f t="shared" si="7"/>
        <v>8.864265927977838E-2</v>
      </c>
      <c r="V26" s="3">
        <f t="shared" si="8"/>
        <v>0.29772917102591473</v>
      </c>
      <c r="W26">
        <v>0</v>
      </c>
      <c r="X26" t="s">
        <v>308</v>
      </c>
      <c r="Y26" t="s">
        <v>2</v>
      </c>
      <c r="Z26" t="s">
        <v>3</v>
      </c>
      <c r="AA26" s="10" t="s">
        <v>2</v>
      </c>
    </row>
    <row r="27" spans="1:27" x14ac:dyDescent="0.3">
      <c r="A27" t="s">
        <v>307</v>
      </c>
      <c r="B27" s="10" t="s">
        <v>300</v>
      </c>
      <c r="C27" s="10" t="s">
        <v>301</v>
      </c>
      <c r="E27">
        <v>2014</v>
      </c>
      <c r="F27" t="s">
        <v>2660</v>
      </c>
      <c r="H27" s="10" t="s">
        <v>316</v>
      </c>
      <c r="I27" s="10" t="s">
        <v>310</v>
      </c>
      <c r="J27" s="10" t="s">
        <v>276</v>
      </c>
      <c r="K27" s="10">
        <v>4</v>
      </c>
      <c r="L27" s="3">
        <v>13.333333333333332</v>
      </c>
      <c r="M27" s="3">
        <v>13.71742112482853</v>
      </c>
      <c r="N27" s="3">
        <f t="shared" si="2"/>
        <v>3.7037037037037033</v>
      </c>
      <c r="O27" s="3">
        <f>2.6*10/2.7</f>
        <v>9.6296296296296298</v>
      </c>
      <c r="P27" s="19">
        <f>(0.7*SQRT(K26)*10/2.7)^2</f>
        <v>26.886145404663921</v>
      </c>
      <c r="Q27" s="3">
        <f t="shared" si="1"/>
        <v>5.1851851851851851</v>
      </c>
      <c r="R27" s="3">
        <f t="shared" si="3"/>
        <v>0.72222222222222232</v>
      </c>
      <c r="S27" s="3"/>
      <c r="T27" s="3"/>
      <c r="U27" s="3">
        <f t="shared" si="7"/>
        <v>0.1914818625209572</v>
      </c>
      <c r="V27" s="3">
        <f t="shared" si="8"/>
        <v>0.60588886953758059</v>
      </c>
      <c r="W27">
        <v>0</v>
      </c>
      <c r="X27" t="s">
        <v>308</v>
      </c>
      <c r="Y27" t="s">
        <v>2</v>
      </c>
      <c r="Z27" t="s">
        <v>3</v>
      </c>
      <c r="AA27" s="10" t="s">
        <v>2</v>
      </c>
    </row>
    <row r="28" spans="1:27" x14ac:dyDescent="0.3">
      <c r="A28" t="s">
        <v>307</v>
      </c>
      <c r="B28" s="10" t="s">
        <v>300</v>
      </c>
      <c r="C28" s="10" t="s">
        <v>301</v>
      </c>
      <c r="E28">
        <v>2015</v>
      </c>
      <c r="F28" t="s">
        <v>2660</v>
      </c>
      <c r="H28" s="10" t="s">
        <v>316</v>
      </c>
      <c r="I28" s="10" t="s">
        <v>310</v>
      </c>
      <c r="J28" s="10" t="s">
        <v>276</v>
      </c>
      <c r="K28" s="10">
        <v>4</v>
      </c>
      <c r="L28" s="3">
        <v>18.148148148148145</v>
      </c>
      <c r="M28" s="3">
        <v>6.584362139917693</v>
      </c>
      <c r="N28" s="3">
        <f t="shared" si="2"/>
        <v>2.5660011963983362</v>
      </c>
      <c r="O28" s="3">
        <f>3.6*10/2.7</f>
        <v>13.333333333333332</v>
      </c>
      <c r="P28" s="19">
        <f>(0.4*SQRT(K27)*10/2.7)^2</f>
        <v>8.7791495198902592</v>
      </c>
      <c r="Q28" s="3">
        <f t="shared" si="1"/>
        <v>2.9629629629629628</v>
      </c>
      <c r="R28" s="3">
        <f t="shared" si="3"/>
        <v>0.73469387755102045</v>
      </c>
      <c r="S28" s="3"/>
      <c r="T28" s="3"/>
      <c r="U28" s="3">
        <f t="shared" si="7"/>
        <v>3.7446565805133607E-2</v>
      </c>
      <c r="V28" s="3">
        <f t="shared" si="8"/>
        <v>0.26339017860737601</v>
      </c>
      <c r="W28">
        <v>0</v>
      </c>
      <c r="X28" t="s">
        <v>308</v>
      </c>
      <c r="Y28" t="s">
        <v>2</v>
      </c>
      <c r="Z28" t="s">
        <v>3</v>
      </c>
      <c r="AA28" s="10" t="s">
        <v>2</v>
      </c>
    </row>
    <row r="29" spans="1:27" x14ac:dyDescent="0.3">
      <c r="A29" t="s">
        <v>311</v>
      </c>
      <c r="B29" s="10" t="s">
        <v>123</v>
      </c>
      <c r="C29" s="10" t="s">
        <v>313</v>
      </c>
      <c r="D29" t="s">
        <v>312</v>
      </c>
      <c r="F29" t="s">
        <v>2660</v>
      </c>
      <c r="G29" t="s">
        <v>314</v>
      </c>
      <c r="I29" s="10" t="s">
        <v>315</v>
      </c>
      <c r="J29" s="10" t="s">
        <v>276</v>
      </c>
      <c r="K29" s="10">
        <v>3</v>
      </c>
      <c r="L29" s="3">
        <f>((10+11.4+25.42+15)/4)*10/7.92</f>
        <v>19.513888888888889</v>
      </c>
      <c r="N29" s="3"/>
      <c r="O29" s="3">
        <f>((9.55+10.57+17.07+10.48)/4)*10/7.92</f>
        <v>15.047348484848486</v>
      </c>
      <c r="Q29" s="3"/>
      <c r="R29" s="3">
        <f t="shared" si="3"/>
        <v>0.77110967324490465</v>
      </c>
      <c r="S29" s="3"/>
      <c r="T29" s="3"/>
      <c r="U29" s="3"/>
      <c r="V29" s="3"/>
      <c r="W29" s="6">
        <v>280</v>
      </c>
      <c r="X29" t="s">
        <v>1</v>
      </c>
      <c r="Y29" t="s">
        <v>2</v>
      </c>
      <c r="Z29" t="s">
        <v>3</v>
      </c>
      <c r="AA29" s="10" t="s">
        <v>2</v>
      </c>
    </row>
    <row r="30" spans="1:27" x14ac:dyDescent="0.3">
      <c r="A30" t="s">
        <v>317</v>
      </c>
      <c r="B30" s="10" t="s">
        <v>320</v>
      </c>
      <c r="C30" s="10" t="s">
        <v>319</v>
      </c>
      <c r="D30" t="s">
        <v>318</v>
      </c>
      <c r="E30" t="s">
        <v>1318</v>
      </c>
      <c r="F30" t="s">
        <v>2660</v>
      </c>
      <c r="H30" s="10" t="s">
        <v>17</v>
      </c>
      <c r="I30" s="10" t="s">
        <v>321</v>
      </c>
      <c r="J30" s="10" t="s">
        <v>276</v>
      </c>
      <c r="K30" s="10">
        <v>4</v>
      </c>
      <c r="L30" s="3">
        <v>7.3680000000000003</v>
      </c>
      <c r="M30" s="3">
        <v>0.57153600000000004</v>
      </c>
      <c r="N30" s="3">
        <f t="shared" si="2"/>
        <v>0.75600000000000001</v>
      </c>
      <c r="O30" s="3">
        <v>4.7279999999999998</v>
      </c>
      <c r="P30" s="3">
        <f>K30*0.274^2</f>
        <v>0.30030400000000007</v>
      </c>
      <c r="Q30" s="3">
        <f t="shared" si="1"/>
        <v>0.54800000000000004</v>
      </c>
      <c r="R30" s="3">
        <f t="shared" si="3"/>
        <v>0.64169381107491852</v>
      </c>
      <c r="S30" s="3"/>
      <c r="T30" s="3"/>
      <c r="U30" s="3">
        <f>P30/(L30^2)+M30*(O30^2)/(L30^4)</f>
        <v>9.8668509314940485E-3</v>
      </c>
      <c r="V30" s="3">
        <f t="shared" ref="V30:V33" si="9">SQRT(U30)/R30</f>
        <v>0.15479660545480617</v>
      </c>
      <c r="W30">
        <v>112</v>
      </c>
      <c r="X30" t="s">
        <v>1</v>
      </c>
      <c r="Z30" t="s">
        <v>3</v>
      </c>
      <c r="AA30" s="10" t="s">
        <v>2</v>
      </c>
    </row>
    <row r="31" spans="1:27" x14ac:dyDescent="0.3">
      <c r="A31" t="s">
        <v>317</v>
      </c>
      <c r="B31" s="10" t="s">
        <v>320</v>
      </c>
      <c r="C31" s="10" t="s">
        <v>319</v>
      </c>
      <c r="D31" t="s">
        <v>318</v>
      </c>
      <c r="E31" t="s">
        <v>1319</v>
      </c>
      <c r="F31" t="s">
        <v>2660</v>
      </c>
      <c r="H31" s="10" t="s">
        <v>17</v>
      </c>
      <c r="I31" s="10" t="s">
        <v>321</v>
      </c>
      <c r="J31" s="10" t="s">
        <v>276</v>
      </c>
      <c r="K31" s="10">
        <v>4</v>
      </c>
      <c r="L31" s="3">
        <v>5.952</v>
      </c>
      <c r="M31" s="3">
        <v>0.33408399999999994</v>
      </c>
      <c r="N31" s="3">
        <f t="shared" si="2"/>
        <v>0.57799999999999996</v>
      </c>
      <c r="O31" s="3">
        <v>8.8239999999999998</v>
      </c>
      <c r="P31" s="3">
        <f>K31*0.474^2</f>
        <v>0.89870399999999995</v>
      </c>
      <c r="Q31" s="3">
        <f t="shared" si="1"/>
        <v>0.94799999999999995</v>
      </c>
      <c r="R31" s="3">
        <f t="shared" si="3"/>
        <v>1.48252688172043</v>
      </c>
      <c r="S31" s="3"/>
      <c r="T31" s="3"/>
      <c r="U31" s="3">
        <f>P31/(L31^2)+M31*(O31^2)/(L31^4)</f>
        <v>4.6095198962842365E-2</v>
      </c>
      <c r="V31" s="3">
        <f t="shared" si="9"/>
        <v>0.14481890855559504</v>
      </c>
      <c r="W31">
        <v>112</v>
      </c>
      <c r="X31" t="s">
        <v>1</v>
      </c>
      <c r="Z31" t="s">
        <v>3</v>
      </c>
      <c r="AA31" s="10" t="s">
        <v>2</v>
      </c>
    </row>
    <row r="32" spans="1:27" x14ac:dyDescent="0.3">
      <c r="A32" t="s">
        <v>317</v>
      </c>
      <c r="B32" s="10" t="s">
        <v>320</v>
      </c>
      <c r="C32" s="10" t="s">
        <v>319</v>
      </c>
      <c r="D32" t="s">
        <v>318</v>
      </c>
      <c r="E32" t="s">
        <v>1318</v>
      </c>
      <c r="F32" t="s">
        <v>2660</v>
      </c>
      <c r="H32" s="10" t="s">
        <v>17</v>
      </c>
      <c r="I32" s="10" t="s">
        <v>322</v>
      </c>
      <c r="J32" s="10" t="s">
        <v>276</v>
      </c>
      <c r="K32" s="10">
        <v>4</v>
      </c>
      <c r="L32" s="3">
        <v>7.3680000000000003</v>
      </c>
      <c r="M32" s="3">
        <v>0.57153600000000004</v>
      </c>
      <c r="N32" s="3">
        <f t="shared" si="2"/>
        <v>0.75600000000000001</v>
      </c>
      <c r="O32" s="3">
        <v>6.7359999999999998</v>
      </c>
      <c r="P32" s="3">
        <f>K32*0.293^2</f>
        <v>0.34339599999999998</v>
      </c>
      <c r="Q32" s="3">
        <f t="shared" si="1"/>
        <v>0.58599999999999997</v>
      </c>
      <c r="R32" s="3">
        <f t="shared" si="3"/>
        <v>0.91422366992399562</v>
      </c>
      <c r="S32" s="3"/>
      <c r="T32" s="3"/>
      <c r="U32" s="3">
        <f>P32/(L32^2)+M32*(O32^2)/(L32^4)</f>
        <v>1.5124839962661439E-2</v>
      </c>
      <c r="V32" s="3">
        <f t="shared" si="9"/>
        <v>0.1345218814195504</v>
      </c>
      <c r="W32">
        <v>161</v>
      </c>
      <c r="X32" t="s">
        <v>1</v>
      </c>
      <c r="Z32" t="s">
        <v>3</v>
      </c>
      <c r="AA32" s="10" t="s">
        <v>2</v>
      </c>
    </row>
    <row r="33" spans="1:28" x14ac:dyDescent="0.3">
      <c r="A33" t="s">
        <v>317</v>
      </c>
      <c r="B33" s="10" t="s">
        <v>320</v>
      </c>
      <c r="C33" s="10" t="s">
        <v>319</v>
      </c>
      <c r="D33" t="s">
        <v>318</v>
      </c>
      <c r="E33" t="s">
        <v>1319</v>
      </c>
      <c r="F33" t="s">
        <v>2660</v>
      </c>
      <c r="H33" s="10" t="s">
        <v>17</v>
      </c>
      <c r="I33" s="10" t="s">
        <v>322</v>
      </c>
      <c r="J33" s="10" t="s">
        <v>276</v>
      </c>
      <c r="K33" s="10">
        <v>4</v>
      </c>
      <c r="L33" s="3">
        <v>5.952</v>
      </c>
      <c r="M33" s="3">
        <v>0.33408399999999994</v>
      </c>
      <c r="N33" s="3">
        <f t="shared" si="2"/>
        <v>0.57799999999999996</v>
      </c>
      <c r="O33" s="3">
        <v>9.56</v>
      </c>
      <c r="P33" s="3">
        <f>K33*0.348^2</f>
        <v>0.48441599999999996</v>
      </c>
      <c r="Q33" s="3">
        <f t="shared" si="1"/>
        <v>0.69599999999999995</v>
      </c>
      <c r="R33" s="3">
        <f t="shared" si="3"/>
        <v>1.6061827956989247</v>
      </c>
      <c r="S33" s="3"/>
      <c r="T33" s="3"/>
      <c r="U33" s="3">
        <f>P33/(L33^2)+M33*(O33^2)/(L33^4)</f>
        <v>3.8002656020653072E-2</v>
      </c>
      <c r="V33" s="3">
        <f t="shared" si="9"/>
        <v>0.12137018267683873</v>
      </c>
      <c r="W33">
        <v>161</v>
      </c>
      <c r="X33" t="s">
        <v>1</v>
      </c>
      <c r="Z33" t="s">
        <v>3</v>
      </c>
      <c r="AA33" s="10" t="s">
        <v>2</v>
      </c>
    </row>
    <row r="34" spans="1:28" x14ac:dyDescent="0.3">
      <c r="A34" t="s">
        <v>325</v>
      </c>
      <c r="B34" s="10" t="s">
        <v>282</v>
      </c>
      <c r="C34" s="10" t="s">
        <v>323</v>
      </c>
      <c r="D34" s="10" t="s">
        <v>324</v>
      </c>
      <c r="E34" s="10"/>
      <c r="F34" t="s">
        <v>2660</v>
      </c>
      <c r="H34" s="10" t="s">
        <v>17</v>
      </c>
      <c r="I34" s="10" t="s">
        <v>326</v>
      </c>
      <c r="J34" s="10" t="s">
        <v>276</v>
      </c>
      <c r="K34" s="10">
        <v>3</v>
      </c>
      <c r="L34" s="37">
        <v>13.931623931623932</v>
      </c>
      <c r="M34" s="37">
        <v>2.0478729880439288</v>
      </c>
      <c r="N34" s="3">
        <f t="shared" si="2"/>
        <v>1.431039128760611</v>
      </c>
      <c r="O34" s="3">
        <f>5.53*10/3.51</f>
        <v>15.754985754985757</v>
      </c>
      <c r="P34" s="3">
        <f>K34*((5.78-5.53)*10/3.51)^2</f>
        <v>1.5219032313049412</v>
      </c>
      <c r="Q34" s="3">
        <f t="shared" si="1"/>
        <v>1.2336544213453544</v>
      </c>
      <c r="R34" s="3">
        <f t="shared" si="3"/>
        <v>1.1308793456032722</v>
      </c>
      <c r="S34" s="3"/>
      <c r="T34" s="3"/>
      <c r="U34" s="3">
        <f>P34/(L34^2)+M34*(O34^2)/(L34^4)</f>
        <v>2.1334950347102061E-2</v>
      </c>
      <c r="V34" s="3">
        <f t="shared" ref="V34" si="10">SQRT(U34)/R34</f>
        <v>0.12916044898977835</v>
      </c>
      <c r="Y34" t="s">
        <v>3</v>
      </c>
      <c r="AA34" s="10" t="s">
        <v>2</v>
      </c>
      <c r="AB34" t="s">
        <v>164</v>
      </c>
    </row>
    <row r="35" spans="1:28" x14ac:dyDescent="0.3">
      <c r="A35" t="s">
        <v>327</v>
      </c>
      <c r="B35" s="10" t="s">
        <v>282</v>
      </c>
      <c r="C35" s="10" t="s">
        <v>323</v>
      </c>
      <c r="D35" s="10" t="s">
        <v>328</v>
      </c>
      <c r="E35" s="10"/>
      <c r="F35" t="s">
        <v>2660</v>
      </c>
      <c r="H35" s="10" t="s">
        <v>17</v>
      </c>
      <c r="I35" s="10" t="s">
        <v>326</v>
      </c>
      <c r="J35" s="10" t="s">
        <v>276</v>
      </c>
      <c r="K35" s="10">
        <v>3</v>
      </c>
      <c r="L35" s="3">
        <f t="shared" ref="L35:L36" si="11">((4.88+5.91+5.12+5.2)/4)*10/3.51</f>
        <v>15.035612535612536</v>
      </c>
      <c r="N35" s="3"/>
      <c r="O35" s="3">
        <f>((5.52+5.73+5.07+4.2)/4)*10/3.51</f>
        <v>14.615384615384615</v>
      </c>
      <c r="Q35" s="3"/>
      <c r="R35" s="3">
        <f t="shared" si="3"/>
        <v>0.97205116058739927</v>
      </c>
      <c r="S35" s="3"/>
      <c r="T35" s="3"/>
      <c r="U35" s="3"/>
      <c r="V35" s="3"/>
      <c r="W35" s="3">
        <v>0</v>
      </c>
      <c r="X35" s="6"/>
      <c r="Y35" t="s">
        <v>3</v>
      </c>
      <c r="Z35" t="s">
        <v>2</v>
      </c>
      <c r="AA35" s="10" t="s">
        <v>2</v>
      </c>
    </row>
    <row r="36" spans="1:28" x14ac:dyDescent="0.3">
      <c r="A36" t="s">
        <v>327</v>
      </c>
      <c r="B36" s="10" t="s">
        <v>282</v>
      </c>
      <c r="C36" s="10" t="s">
        <v>323</v>
      </c>
      <c r="D36" s="10" t="s">
        <v>328</v>
      </c>
      <c r="E36" s="10"/>
      <c r="F36" t="s">
        <v>2660</v>
      </c>
      <c r="H36" t="s">
        <v>17</v>
      </c>
      <c r="I36" s="10" t="s">
        <v>329</v>
      </c>
      <c r="J36" s="10" t="s">
        <v>276</v>
      </c>
      <c r="K36" s="10">
        <v>3</v>
      </c>
      <c r="L36" s="3">
        <f t="shared" si="11"/>
        <v>15.035612535612536</v>
      </c>
      <c r="N36" s="3"/>
      <c r="O36" s="3">
        <f>((5.49+6.22+4.2+5.73)/4)*10/3.51</f>
        <v>15.413105413105415</v>
      </c>
      <c r="Q36" s="3"/>
      <c r="R36" s="3">
        <f t="shared" si="3"/>
        <v>1.0251065845570819</v>
      </c>
      <c r="S36" s="3"/>
      <c r="T36" s="3"/>
      <c r="U36" s="3"/>
      <c r="V36" s="3"/>
      <c r="W36" s="3">
        <v>0</v>
      </c>
      <c r="X36" s="6"/>
      <c r="Y36" t="s">
        <v>3</v>
      </c>
      <c r="Z36" t="s">
        <v>2</v>
      </c>
      <c r="AA36" s="10" t="s">
        <v>2</v>
      </c>
    </row>
    <row r="37" spans="1:28" x14ac:dyDescent="0.3">
      <c r="A37" t="s">
        <v>332</v>
      </c>
      <c r="B37" s="10" t="s">
        <v>282</v>
      </c>
      <c r="C37" s="10" t="s">
        <v>330</v>
      </c>
      <c r="D37" s="10" t="s">
        <v>331</v>
      </c>
      <c r="E37" s="10">
        <v>2006</v>
      </c>
      <c r="F37" t="s">
        <v>2660</v>
      </c>
      <c r="H37" s="10" t="s">
        <v>17</v>
      </c>
      <c r="I37" s="10" t="s">
        <v>333</v>
      </c>
      <c r="J37" s="10" t="s">
        <v>276</v>
      </c>
      <c r="K37" s="10">
        <v>4</v>
      </c>
      <c r="L37" s="3">
        <v>4.5666666666666673</v>
      </c>
      <c r="M37" s="3">
        <v>3.7377777777777776</v>
      </c>
      <c r="N37" s="3">
        <f t="shared" si="2"/>
        <v>1.9333333333333333</v>
      </c>
      <c r="O37" s="3">
        <f>1.03*10/3</f>
        <v>3.4333333333333336</v>
      </c>
      <c r="P37" s="19">
        <f>K37*(0.2*10/3)^2</f>
        <v>1.7777777777777777</v>
      </c>
      <c r="Q37" s="3">
        <f t="shared" si="1"/>
        <v>1.3333333333333333</v>
      </c>
      <c r="R37" s="3">
        <f t="shared" si="3"/>
        <v>0.75182481751824815</v>
      </c>
      <c r="S37" s="3"/>
      <c r="T37" s="3"/>
      <c r="U37" s="3">
        <f t="shared" ref="U37:U42" si="12">P37/(L37^2)+M37*(O37^2)/(L37^4)</f>
        <v>0.18655598226751935</v>
      </c>
      <c r="V37" s="3">
        <f t="shared" ref="V37:V42" si="13">SQRT(U37)/R37</f>
        <v>0.57449722133941639</v>
      </c>
      <c r="W37">
        <v>0</v>
      </c>
      <c r="X37" s="6"/>
      <c r="Y37" t="s">
        <v>2</v>
      </c>
      <c r="Z37" t="s">
        <v>3</v>
      </c>
      <c r="AA37" s="10" t="s">
        <v>2</v>
      </c>
    </row>
    <row r="38" spans="1:28" x14ac:dyDescent="0.3">
      <c r="A38" t="s">
        <v>332</v>
      </c>
      <c r="B38" s="10" t="s">
        <v>282</v>
      </c>
      <c r="C38" s="10" t="s">
        <v>330</v>
      </c>
      <c r="D38" s="10" t="s">
        <v>331</v>
      </c>
      <c r="E38" s="10">
        <v>2007</v>
      </c>
      <c r="F38" t="s">
        <v>2660</v>
      </c>
      <c r="H38" s="10" t="s">
        <v>17</v>
      </c>
      <c r="I38" s="10" t="s">
        <v>333</v>
      </c>
      <c r="J38" s="10" t="s">
        <v>276</v>
      </c>
      <c r="K38" s="10">
        <v>4</v>
      </c>
      <c r="L38" s="3">
        <v>10.366666666666665</v>
      </c>
      <c r="M38" s="3">
        <v>10.671111111111113</v>
      </c>
      <c r="N38" s="3">
        <f t="shared" si="2"/>
        <v>3.2666666666666671</v>
      </c>
      <c r="O38" s="3">
        <f>1.12*10/3</f>
        <v>3.7333333333333338</v>
      </c>
      <c r="P38" s="19">
        <f>K38*(0.31*10/3)^2</f>
        <v>4.2711111111111117</v>
      </c>
      <c r="Q38" s="3">
        <f t="shared" si="1"/>
        <v>2.0666666666666669</v>
      </c>
      <c r="R38" s="3">
        <f t="shared" si="3"/>
        <v>0.36012861736334417</v>
      </c>
      <c r="S38" s="3"/>
      <c r="T38" s="3"/>
      <c r="U38" s="3">
        <f t="shared" si="12"/>
        <v>5.2621126048189158E-2</v>
      </c>
      <c r="V38" s="3">
        <f t="shared" si="13"/>
        <v>0.63697506977702867</v>
      </c>
      <c r="W38">
        <v>0</v>
      </c>
      <c r="X38" s="6"/>
      <c r="Y38" t="s">
        <v>2</v>
      </c>
      <c r="Z38" t="s">
        <v>3</v>
      </c>
      <c r="AA38" s="10" t="s">
        <v>2</v>
      </c>
    </row>
    <row r="39" spans="1:28" x14ac:dyDescent="0.3">
      <c r="A39" t="s">
        <v>332</v>
      </c>
      <c r="B39" s="10" t="s">
        <v>282</v>
      </c>
      <c r="C39" s="10" t="s">
        <v>330</v>
      </c>
      <c r="D39" s="10" t="s">
        <v>331</v>
      </c>
      <c r="E39" s="10">
        <v>2008</v>
      </c>
      <c r="F39" t="s">
        <v>2660</v>
      </c>
      <c r="H39" s="10" t="s">
        <v>17</v>
      </c>
      <c r="I39" s="10" t="s">
        <v>333</v>
      </c>
      <c r="J39" s="10" t="s">
        <v>276</v>
      </c>
      <c r="K39" s="10">
        <v>4</v>
      </c>
      <c r="L39" s="3">
        <v>9.7333333333333325</v>
      </c>
      <c r="M39" s="3">
        <v>20.551111111111119</v>
      </c>
      <c r="N39" s="3">
        <f t="shared" si="2"/>
        <v>4.5333333333333341</v>
      </c>
      <c r="O39" s="3">
        <f>2.64*10/3</f>
        <v>8.8000000000000007</v>
      </c>
      <c r="P39" s="19">
        <f>K39*(0.46*10/3)^2</f>
        <v>9.4044444444444455</v>
      </c>
      <c r="Q39" s="3">
        <f t="shared" si="1"/>
        <v>3.0666666666666669</v>
      </c>
      <c r="R39" s="3">
        <f t="shared" si="3"/>
        <v>0.90410958904109606</v>
      </c>
      <c r="S39" s="3"/>
      <c r="T39" s="3"/>
      <c r="U39" s="3">
        <f t="shared" si="12"/>
        <v>0.27658674352400925</v>
      </c>
      <c r="V39" s="3">
        <f t="shared" si="13"/>
        <v>0.5816940279938666</v>
      </c>
      <c r="W39">
        <v>0</v>
      </c>
      <c r="X39" s="6"/>
      <c r="Y39" t="s">
        <v>2</v>
      </c>
      <c r="Z39" t="s">
        <v>3</v>
      </c>
      <c r="AA39" s="10" t="s">
        <v>2</v>
      </c>
    </row>
    <row r="40" spans="1:28" x14ac:dyDescent="0.3">
      <c r="A40" t="s">
        <v>332</v>
      </c>
      <c r="B40" s="10" t="s">
        <v>282</v>
      </c>
      <c r="C40" s="10" t="s">
        <v>330</v>
      </c>
      <c r="D40" s="10" t="s">
        <v>331</v>
      </c>
      <c r="E40" s="10">
        <v>2006</v>
      </c>
      <c r="F40" t="s">
        <v>2660</v>
      </c>
      <c r="H40" t="s">
        <v>17</v>
      </c>
      <c r="I40" s="10" t="s">
        <v>334</v>
      </c>
      <c r="J40" s="10" t="s">
        <v>276</v>
      </c>
      <c r="K40" s="10">
        <v>4</v>
      </c>
      <c r="L40" s="3">
        <v>4.5666666666666673</v>
      </c>
      <c r="M40" s="3">
        <v>3.7377777777777776</v>
      </c>
      <c r="N40" s="3">
        <f t="shared" si="2"/>
        <v>1.9333333333333333</v>
      </c>
      <c r="O40" s="3">
        <f>1.13*10/3</f>
        <v>3.7666666666666662</v>
      </c>
      <c r="P40" s="19">
        <f>K40*(0.16*10/3)^2</f>
        <v>1.1377777777777778</v>
      </c>
      <c r="Q40" s="3">
        <f t="shared" si="1"/>
        <v>1.0666666666666667</v>
      </c>
      <c r="R40" s="3">
        <f t="shared" si="3"/>
        <v>0.82481751824817495</v>
      </c>
      <c r="S40" s="3"/>
      <c r="T40" s="3"/>
      <c r="U40" s="3">
        <f t="shared" si="12"/>
        <v>0.17649367194885923</v>
      </c>
      <c r="V40" s="3">
        <f t="shared" si="13"/>
        <v>0.50933872054143547</v>
      </c>
      <c r="W40">
        <v>0</v>
      </c>
      <c r="X40" s="6"/>
      <c r="Y40" t="s">
        <v>2</v>
      </c>
      <c r="Z40" t="s">
        <v>3</v>
      </c>
      <c r="AA40" s="10" t="s">
        <v>2</v>
      </c>
    </row>
    <row r="41" spans="1:28" x14ac:dyDescent="0.3">
      <c r="A41" t="s">
        <v>332</v>
      </c>
      <c r="B41" s="10" t="s">
        <v>282</v>
      </c>
      <c r="C41" s="10" t="s">
        <v>330</v>
      </c>
      <c r="D41" s="10" t="s">
        <v>331</v>
      </c>
      <c r="E41" s="10">
        <v>2007</v>
      </c>
      <c r="F41" t="s">
        <v>2660</v>
      </c>
      <c r="H41" t="s">
        <v>17</v>
      </c>
      <c r="I41" s="10" t="s">
        <v>334</v>
      </c>
      <c r="J41" s="10" t="s">
        <v>276</v>
      </c>
      <c r="K41" s="10">
        <v>4</v>
      </c>
      <c r="L41" s="3">
        <v>10.366666666666665</v>
      </c>
      <c r="M41" s="3">
        <v>10.671111111111113</v>
      </c>
      <c r="N41" s="3">
        <f t="shared" si="2"/>
        <v>3.2666666666666671</v>
      </c>
      <c r="O41" s="3">
        <f>1.61*10/3</f>
        <v>5.3666666666666671</v>
      </c>
      <c r="P41" s="19">
        <f>K41*(0.32*10/3)^2</f>
        <v>4.5511111111111111</v>
      </c>
      <c r="Q41" s="3">
        <f t="shared" si="1"/>
        <v>2.1333333333333333</v>
      </c>
      <c r="R41" s="3">
        <f t="shared" si="3"/>
        <v>0.51768488745980723</v>
      </c>
      <c r="S41" s="3"/>
      <c r="T41" s="3"/>
      <c r="U41" s="3">
        <f t="shared" si="12"/>
        <v>6.8959681563795269E-2</v>
      </c>
      <c r="V41" s="3">
        <f t="shared" si="13"/>
        <v>0.5072617745784247</v>
      </c>
      <c r="W41">
        <v>0</v>
      </c>
      <c r="X41" s="6"/>
      <c r="Y41" t="s">
        <v>2</v>
      </c>
      <c r="Z41" t="s">
        <v>3</v>
      </c>
      <c r="AA41" s="10" t="s">
        <v>2</v>
      </c>
    </row>
    <row r="42" spans="1:28" x14ac:dyDescent="0.3">
      <c r="A42" t="s">
        <v>332</v>
      </c>
      <c r="B42" s="10" t="s">
        <v>282</v>
      </c>
      <c r="C42" s="10" t="s">
        <v>330</v>
      </c>
      <c r="D42" s="10" t="s">
        <v>331</v>
      </c>
      <c r="E42" s="10">
        <v>2008</v>
      </c>
      <c r="F42" t="s">
        <v>2660</v>
      </c>
      <c r="H42" t="s">
        <v>17</v>
      </c>
      <c r="I42" s="10" t="s">
        <v>334</v>
      </c>
      <c r="J42" s="10" t="s">
        <v>276</v>
      </c>
      <c r="K42" s="10">
        <v>4</v>
      </c>
      <c r="L42" s="3">
        <v>9.7333333333333325</v>
      </c>
      <c r="M42" s="3">
        <v>20.551111111111119</v>
      </c>
      <c r="N42" s="3">
        <f t="shared" si="2"/>
        <v>4.5333333333333341</v>
      </c>
      <c r="O42" s="3">
        <f>2.57*10/3</f>
        <v>8.5666666666666664</v>
      </c>
      <c r="P42" s="19">
        <f>K42*(0.42*10/3)^2</f>
        <v>7.8400000000000016</v>
      </c>
      <c r="Q42" s="3">
        <f t="shared" si="1"/>
        <v>2.8000000000000003</v>
      </c>
      <c r="R42" s="3">
        <f t="shared" si="3"/>
        <v>0.88013698630136994</v>
      </c>
      <c r="S42" s="3"/>
      <c r="T42" s="3"/>
      <c r="U42" s="3">
        <f t="shared" si="12"/>
        <v>0.25079473232162525</v>
      </c>
      <c r="V42" s="3">
        <f t="shared" si="13"/>
        <v>0.56899563308727807</v>
      </c>
      <c r="W42">
        <v>0</v>
      </c>
      <c r="X42" s="6"/>
      <c r="Y42" t="s">
        <v>2</v>
      </c>
      <c r="Z42" t="s">
        <v>3</v>
      </c>
      <c r="AA42" s="10" t="s">
        <v>2</v>
      </c>
    </row>
    <row r="43" spans="1:28" x14ac:dyDescent="0.3">
      <c r="A43" t="s">
        <v>335</v>
      </c>
      <c r="B43" s="10" t="s">
        <v>29</v>
      </c>
      <c r="C43" s="10" t="s">
        <v>336</v>
      </c>
      <c r="D43" s="10" t="s">
        <v>337</v>
      </c>
      <c r="E43" s="10">
        <v>2011</v>
      </c>
      <c r="F43" t="s">
        <v>2660</v>
      </c>
      <c r="H43" s="10" t="s">
        <v>316</v>
      </c>
      <c r="I43" s="10" t="s">
        <v>338</v>
      </c>
      <c r="J43" s="10" t="s">
        <v>276</v>
      </c>
      <c r="K43" s="10">
        <v>5</v>
      </c>
      <c r="L43" s="3">
        <f>3.11*10/2.1</f>
        <v>14.809523809523808</v>
      </c>
      <c r="N43" s="3"/>
      <c r="O43" s="3">
        <f>1.76*10/2.1</f>
        <v>8.3809523809523814</v>
      </c>
      <c r="Q43" s="3"/>
      <c r="R43" s="3">
        <f t="shared" si="3"/>
        <v>0.56591639871382649</v>
      </c>
      <c r="S43" s="3"/>
      <c r="T43" s="3"/>
      <c r="U43" s="3"/>
      <c r="V43" s="3"/>
      <c r="X43" t="s">
        <v>14</v>
      </c>
      <c r="Y43" t="s">
        <v>3</v>
      </c>
      <c r="Z43" t="s">
        <v>2</v>
      </c>
      <c r="AA43" s="10" t="s">
        <v>2</v>
      </c>
    </row>
    <row r="44" spans="1:28" x14ac:dyDescent="0.3">
      <c r="A44" t="s">
        <v>335</v>
      </c>
      <c r="B44" s="10" t="s">
        <v>29</v>
      </c>
      <c r="C44" s="10" t="s">
        <v>336</v>
      </c>
      <c r="D44" s="10" t="s">
        <v>337</v>
      </c>
      <c r="E44" s="10">
        <v>2012</v>
      </c>
      <c r="F44" t="s">
        <v>2660</v>
      </c>
      <c r="H44" s="10" t="s">
        <v>316</v>
      </c>
      <c r="I44" s="10" t="s">
        <v>338</v>
      </c>
      <c r="J44" s="10" t="s">
        <v>276</v>
      </c>
      <c r="K44" s="10">
        <v>5</v>
      </c>
      <c r="L44" s="3">
        <f>1.62*10/2.1</f>
        <v>7.7142857142857153</v>
      </c>
      <c r="N44" s="3"/>
      <c r="O44" s="3">
        <f>1.62*10/2.1</f>
        <v>7.7142857142857153</v>
      </c>
      <c r="Q44" s="3"/>
      <c r="R44" s="3">
        <f t="shared" si="3"/>
        <v>1</v>
      </c>
      <c r="S44" s="3"/>
      <c r="T44" s="3"/>
      <c r="U44" s="3"/>
      <c r="V44" s="3"/>
      <c r="X44" t="s">
        <v>14</v>
      </c>
      <c r="Y44" t="s">
        <v>3</v>
      </c>
      <c r="Z44" t="s">
        <v>2</v>
      </c>
      <c r="AA44" s="10" t="s">
        <v>2</v>
      </c>
    </row>
    <row r="45" spans="1:28" x14ac:dyDescent="0.3">
      <c r="A45" t="s">
        <v>335</v>
      </c>
      <c r="B45" s="10" t="s">
        <v>29</v>
      </c>
      <c r="C45" s="10" t="s">
        <v>336</v>
      </c>
      <c r="D45" s="10" t="s">
        <v>337</v>
      </c>
      <c r="E45" s="10">
        <v>2013</v>
      </c>
      <c r="F45" t="s">
        <v>2660</v>
      </c>
      <c r="H45" s="10" t="s">
        <v>316</v>
      </c>
      <c r="I45" s="10" t="s">
        <v>338</v>
      </c>
      <c r="J45" s="10" t="s">
        <v>276</v>
      </c>
      <c r="K45" s="10">
        <v>5</v>
      </c>
      <c r="L45" s="3">
        <f>1.35*10/2.1</f>
        <v>6.4285714285714279</v>
      </c>
      <c r="N45" s="3"/>
      <c r="O45" s="3">
        <f>1.1*10/2.1</f>
        <v>5.2380952380952381</v>
      </c>
      <c r="Q45" s="3"/>
      <c r="R45" s="3">
        <f t="shared" si="3"/>
        <v>0.81481481481481488</v>
      </c>
      <c r="S45" s="3"/>
      <c r="T45" s="3"/>
      <c r="U45" s="3"/>
      <c r="V45" s="3"/>
      <c r="X45" t="s">
        <v>14</v>
      </c>
      <c r="Y45" t="s">
        <v>3</v>
      </c>
      <c r="Z45" t="s">
        <v>2</v>
      </c>
      <c r="AA45" s="10" t="s">
        <v>2</v>
      </c>
    </row>
    <row r="46" spans="1:28" x14ac:dyDescent="0.3">
      <c r="A46" t="s">
        <v>339</v>
      </c>
      <c r="F46" t="s">
        <v>2660</v>
      </c>
      <c r="H46" s="10" t="s">
        <v>316</v>
      </c>
      <c r="I46" s="10" t="s">
        <v>338</v>
      </c>
      <c r="J46" s="10" t="s">
        <v>276</v>
      </c>
      <c r="K46" s="10">
        <v>10</v>
      </c>
      <c r="N46" s="3"/>
      <c r="Q46" s="3"/>
      <c r="R46" s="3">
        <f>EXP(-0.56497)</f>
        <v>0.56837719781770779</v>
      </c>
      <c r="S46" s="3"/>
      <c r="T46" s="3"/>
      <c r="U46" s="3"/>
      <c r="V46" s="3"/>
      <c r="AA46" s="10" t="s">
        <v>2</v>
      </c>
    </row>
    <row r="47" spans="1:28" x14ac:dyDescent="0.3">
      <c r="A47" t="s">
        <v>340</v>
      </c>
      <c r="B47" s="10" t="s">
        <v>282</v>
      </c>
      <c r="C47" s="10" t="s">
        <v>298</v>
      </c>
      <c r="D47" s="10" t="s">
        <v>341</v>
      </c>
      <c r="E47" s="10">
        <v>2008</v>
      </c>
      <c r="F47" t="s">
        <v>2660</v>
      </c>
      <c r="H47" s="10" t="s">
        <v>17</v>
      </c>
      <c r="I47" s="10" t="s">
        <v>345</v>
      </c>
      <c r="J47" s="10" t="s">
        <v>276</v>
      </c>
      <c r="K47" s="10">
        <v>3</v>
      </c>
      <c r="L47" s="3">
        <v>1.9523809523809521</v>
      </c>
      <c r="M47" s="3">
        <v>0.17361111111111108</v>
      </c>
      <c r="N47" s="3">
        <f t="shared" si="2"/>
        <v>0.41666666666666663</v>
      </c>
      <c r="O47" s="3">
        <f>1.19*10/8.4</f>
        <v>1.4166666666666665</v>
      </c>
      <c r="P47">
        <f>(0.12*10/8.4)^2</f>
        <v>2.0408163265306121E-2</v>
      </c>
      <c r="Q47" s="3">
        <f t="shared" si="1"/>
        <v>0.14285714285714285</v>
      </c>
      <c r="R47" s="3">
        <f t="shared" ref="R47:R58" si="14">O47/L47</f>
        <v>0.72560975609756095</v>
      </c>
      <c r="S47" s="3"/>
      <c r="T47" s="3"/>
      <c r="U47" s="3">
        <f t="shared" ref="U47:U58" si="15">P47/(L47^2)+M47*(O47^2)/(L47^4)</f>
        <v>2.9334256384828731E-2</v>
      </c>
      <c r="V47" s="3">
        <f t="shared" ref="V47:V58" si="16">SQRT(U47)/R47</f>
        <v>0.23603935997948819</v>
      </c>
      <c r="W47">
        <v>0</v>
      </c>
      <c r="Y47" t="s">
        <v>2</v>
      </c>
      <c r="Z47" t="s">
        <v>2</v>
      </c>
      <c r="AA47" s="10" t="s">
        <v>2</v>
      </c>
    </row>
    <row r="48" spans="1:28" x14ac:dyDescent="0.3">
      <c r="A48" t="s">
        <v>340</v>
      </c>
      <c r="B48" s="10" t="s">
        <v>282</v>
      </c>
      <c r="C48" s="10" t="s">
        <v>298</v>
      </c>
      <c r="D48" s="10" t="s">
        <v>341</v>
      </c>
      <c r="E48" s="10">
        <v>2009</v>
      </c>
      <c r="F48" t="s">
        <v>2660</v>
      </c>
      <c r="H48" s="10" t="s">
        <v>17</v>
      </c>
      <c r="I48" s="10" t="s">
        <v>345</v>
      </c>
      <c r="J48" s="10" t="s">
        <v>276</v>
      </c>
      <c r="K48" s="10">
        <v>3</v>
      </c>
      <c r="L48" s="3">
        <v>1</v>
      </c>
      <c r="M48" s="3">
        <v>2.7777777777777783E-2</v>
      </c>
      <c r="N48" s="3">
        <f t="shared" si="2"/>
        <v>0.16666666666666669</v>
      </c>
      <c r="O48" s="3">
        <f>0.09*10/8.4</f>
        <v>0.10714285714285712</v>
      </c>
      <c r="P48">
        <f>(0.03*10/8.4)^2</f>
        <v>1.2755102040816326E-3</v>
      </c>
      <c r="Q48" s="3">
        <f t="shared" si="1"/>
        <v>3.5714285714285712E-2</v>
      </c>
      <c r="R48" s="3">
        <f t="shared" si="14"/>
        <v>0.10714285714285712</v>
      </c>
      <c r="S48" s="3"/>
      <c r="T48" s="3"/>
      <c r="U48" s="3">
        <f t="shared" si="15"/>
        <v>1.5943877551020406E-3</v>
      </c>
      <c r="V48" s="3">
        <f t="shared" si="16"/>
        <v>0.37267799624996495</v>
      </c>
      <c r="W48">
        <v>0</v>
      </c>
      <c r="Y48" t="s">
        <v>2</v>
      </c>
      <c r="Z48" t="s">
        <v>2</v>
      </c>
      <c r="AA48" s="10" t="s">
        <v>2</v>
      </c>
    </row>
    <row r="49" spans="1:27" x14ac:dyDescent="0.3">
      <c r="A49" t="s">
        <v>340</v>
      </c>
      <c r="B49" s="10" t="s">
        <v>282</v>
      </c>
      <c r="C49" s="10" t="s">
        <v>298</v>
      </c>
      <c r="D49" s="10" t="s">
        <v>341</v>
      </c>
      <c r="E49" s="10">
        <v>2008</v>
      </c>
      <c r="F49" t="s">
        <v>2660</v>
      </c>
      <c r="H49" s="10" t="s">
        <v>17</v>
      </c>
      <c r="I49" s="10" t="s">
        <v>343</v>
      </c>
      <c r="J49" s="10" t="s">
        <v>276</v>
      </c>
      <c r="K49" s="10">
        <v>3</v>
      </c>
      <c r="L49" s="3">
        <v>1.9523809523809521</v>
      </c>
      <c r="M49" s="3">
        <v>0.17361111111111108</v>
      </c>
      <c r="N49" s="3">
        <f t="shared" si="2"/>
        <v>0.41666666666666663</v>
      </c>
      <c r="O49" s="3">
        <f>1.14*10/8.4</f>
        <v>1.357142857142857</v>
      </c>
      <c r="P49">
        <f>(0.27*10/8.4)^2</f>
        <v>0.10331632653061226</v>
      </c>
      <c r="Q49" s="3">
        <f t="shared" si="1"/>
        <v>0.32142857142857145</v>
      </c>
      <c r="R49" s="3">
        <f t="shared" si="14"/>
        <v>0.69512195121951226</v>
      </c>
      <c r="S49" s="3"/>
      <c r="T49" s="3"/>
      <c r="U49" s="3">
        <f t="shared" si="15"/>
        <v>4.9111886364416539E-2</v>
      </c>
      <c r="V49" s="3">
        <f t="shared" si="16"/>
        <v>0.31881027099718973</v>
      </c>
      <c r="W49">
        <v>0</v>
      </c>
      <c r="Y49" t="s">
        <v>2</v>
      </c>
      <c r="Z49" t="s">
        <v>2</v>
      </c>
      <c r="AA49" s="10" t="s">
        <v>2</v>
      </c>
    </row>
    <row r="50" spans="1:27" x14ac:dyDescent="0.3">
      <c r="A50" t="s">
        <v>340</v>
      </c>
      <c r="B50" s="10" t="s">
        <v>282</v>
      </c>
      <c r="C50" s="10" t="s">
        <v>298</v>
      </c>
      <c r="D50" s="10" t="s">
        <v>341</v>
      </c>
      <c r="E50" s="10">
        <v>2009</v>
      </c>
      <c r="F50" t="s">
        <v>2660</v>
      </c>
      <c r="H50" s="10" t="s">
        <v>17</v>
      </c>
      <c r="I50" s="10" t="s">
        <v>343</v>
      </c>
      <c r="J50" s="10" t="s">
        <v>276</v>
      </c>
      <c r="K50" s="10">
        <v>3</v>
      </c>
      <c r="L50" s="3">
        <v>1</v>
      </c>
      <c r="M50" s="3">
        <v>2.7777777777777783E-2</v>
      </c>
      <c r="N50" s="3">
        <f t="shared" si="2"/>
        <v>0.16666666666666669</v>
      </c>
      <c r="O50" s="3">
        <f>0.35*10/8.7</f>
        <v>0.40229885057471265</v>
      </c>
      <c r="P50">
        <f>(0.09*10/8.4)^2</f>
        <v>1.1479591836734689E-2</v>
      </c>
      <c r="Q50" s="3">
        <f t="shared" si="1"/>
        <v>0.10714285714285712</v>
      </c>
      <c r="R50" s="3">
        <f t="shared" si="14"/>
        <v>0.40229885057471265</v>
      </c>
      <c r="S50" s="3"/>
      <c r="T50" s="3"/>
      <c r="U50" s="3">
        <f t="shared" si="15"/>
        <v>1.5975268647116216E-2</v>
      </c>
      <c r="V50" s="3">
        <f t="shared" si="16"/>
        <v>0.3141776546569357</v>
      </c>
      <c r="W50">
        <v>0</v>
      </c>
      <c r="Y50" t="s">
        <v>2</v>
      </c>
      <c r="Z50" t="s">
        <v>2</v>
      </c>
      <c r="AA50" s="10" t="s">
        <v>2</v>
      </c>
    </row>
    <row r="51" spans="1:27" x14ac:dyDescent="0.3">
      <c r="A51" t="s">
        <v>340</v>
      </c>
      <c r="B51" s="10" t="s">
        <v>282</v>
      </c>
      <c r="C51" s="10" t="s">
        <v>298</v>
      </c>
      <c r="D51" s="10" t="s">
        <v>297</v>
      </c>
      <c r="E51" s="10">
        <v>2008</v>
      </c>
      <c r="F51" t="s">
        <v>2660</v>
      </c>
      <c r="H51" s="10" t="s">
        <v>17</v>
      </c>
      <c r="I51" s="10" t="s">
        <v>345</v>
      </c>
      <c r="J51" s="10" t="s">
        <v>276</v>
      </c>
      <c r="K51" s="10">
        <v>3</v>
      </c>
      <c r="L51" s="14">
        <v>2.3448275862068968</v>
      </c>
      <c r="M51" s="14">
        <v>0.80380499405469696</v>
      </c>
      <c r="N51" s="3">
        <f t="shared" si="2"/>
        <v>0.89655172413793116</v>
      </c>
      <c r="O51" s="3">
        <f>0.63*10/4.35</f>
        <v>1.4482758620689655</v>
      </c>
      <c r="P51">
        <f>(0.16*10/4.35)^2</f>
        <v>0.13528867750033033</v>
      </c>
      <c r="Q51" s="3">
        <f t="shared" si="1"/>
        <v>0.36781609195402304</v>
      </c>
      <c r="R51" s="3">
        <f t="shared" si="14"/>
        <v>0.61764705882352933</v>
      </c>
      <c r="S51" s="3"/>
      <c r="T51" s="3"/>
      <c r="U51" s="3">
        <f t="shared" si="15"/>
        <v>8.0377074162319775E-2</v>
      </c>
      <c r="V51" s="3">
        <f t="shared" si="16"/>
        <v>0.45901377501114404</v>
      </c>
      <c r="W51">
        <v>0</v>
      </c>
      <c r="Y51" t="s">
        <v>2</v>
      </c>
      <c r="Z51" t="s">
        <v>2</v>
      </c>
      <c r="AA51" s="10" t="s">
        <v>2</v>
      </c>
    </row>
    <row r="52" spans="1:27" x14ac:dyDescent="0.3">
      <c r="A52" t="s">
        <v>340</v>
      </c>
      <c r="B52" s="10" t="s">
        <v>282</v>
      </c>
      <c r="C52" s="10" t="s">
        <v>298</v>
      </c>
      <c r="D52" s="10" t="s">
        <v>297</v>
      </c>
      <c r="E52" s="10">
        <v>2009</v>
      </c>
      <c r="F52" t="s">
        <v>2660</v>
      </c>
      <c r="H52" s="10" t="s">
        <v>17</v>
      </c>
      <c r="I52" s="10" t="s">
        <v>345</v>
      </c>
      <c r="J52" s="10" t="s">
        <v>276</v>
      </c>
      <c r="K52" s="10">
        <v>3</v>
      </c>
      <c r="L52" s="14">
        <v>2.5747126436781613</v>
      </c>
      <c r="M52" s="14">
        <v>0.57550535077288956</v>
      </c>
      <c r="N52" s="3">
        <f t="shared" si="2"/>
        <v>0.75862068965517249</v>
      </c>
      <c r="O52" s="3">
        <f>0.43*10/4.35</f>
        <v>0.9885057471264368</v>
      </c>
      <c r="P52">
        <f>(0.33*10/4.35)^2</f>
        <v>0.57550535077288956</v>
      </c>
      <c r="Q52" s="3">
        <f t="shared" ref="Q52:Q83" si="17">SQRT(P52)</f>
        <v>0.75862068965517249</v>
      </c>
      <c r="R52" s="3">
        <f t="shared" si="14"/>
        <v>0.3839285714285714</v>
      </c>
      <c r="S52" s="3"/>
      <c r="T52" s="3"/>
      <c r="U52" s="3">
        <f t="shared" si="15"/>
        <v>9.9610957440015219E-2</v>
      </c>
      <c r="V52" s="3">
        <f t="shared" si="16"/>
        <v>0.82205925726766504</v>
      </c>
      <c r="W52">
        <v>0</v>
      </c>
      <c r="Y52" t="s">
        <v>2</v>
      </c>
      <c r="Z52" t="s">
        <v>2</v>
      </c>
      <c r="AA52" s="10" t="s">
        <v>2</v>
      </c>
    </row>
    <row r="53" spans="1:27" x14ac:dyDescent="0.3">
      <c r="A53" t="s">
        <v>340</v>
      </c>
      <c r="B53" s="10" t="s">
        <v>282</v>
      </c>
      <c r="C53" s="10" t="s">
        <v>298</v>
      </c>
      <c r="D53" s="10" t="s">
        <v>297</v>
      </c>
      <c r="E53" s="10">
        <v>2008</v>
      </c>
      <c r="F53" t="s">
        <v>2660</v>
      </c>
      <c r="H53" s="10" t="s">
        <v>17</v>
      </c>
      <c r="I53" s="10" t="s">
        <v>344</v>
      </c>
      <c r="J53" s="10" t="s">
        <v>276</v>
      </c>
      <c r="K53" s="10">
        <v>3</v>
      </c>
      <c r="L53" s="14">
        <v>2.3448275862068968</v>
      </c>
      <c r="M53" s="14">
        <v>0.80380499405469696</v>
      </c>
      <c r="N53" s="3">
        <f t="shared" si="2"/>
        <v>0.89655172413793116</v>
      </c>
      <c r="O53" s="3">
        <f>1.22*10/4.35</f>
        <v>2.8045977011494254</v>
      </c>
      <c r="P53">
        <f>(0.12*10/4.35)^2</f>
        <v>7.6099881093935784E-2</v>
      </c>
      <c r="Q53" s="3">
        <f t="shared" si="17"/>
        <v>0.27586206896551724</v>
      </c>
      <c r="R53" s="3">
        <f t="shared" si="14"/>
        <v>1.196078431372549</v>
      </c>
      <c r="S53" s="3"/>
      <c r="T53" s="3"/>
      <c r="U53" s="3">
        <f t="shared" si="15"/>
        <v>0.22298616848191202</v>
      </c>
      <c r="V53" s="3">
        <f t="shared" si="16"/>
        <v>0.39480196329735856</v>
      </c>
      <c r="W53">
        <v>0</v>
      </c>
      <c r="Y53" t="s">
        <v>2</v>
      </c>
      <c r="Z53" t="s">
        <v>2</v>
      </c>
      <c r="AA53" s="10" t="s">
        <v>2</v>
      </c>
    </row>
    <row r="54" spans="1:27" x14ac:dyDescent="0.3">
      <c r="A54" t="s">
        <v>340</v>
      </c>
      <c r="B54" s="10" t="s">
        <v>282</v>
      </c>
      <c r="C54" s="10" t="s">
        <v>298</v>
      </c>
      <c r="D54" s="10" t="s">
        <v>297</v>
      </c>
      <c r="E54" s="10">
        <v>2009</v>
      </c>
      <c r="F54" t="s">
        <v>2660</v>
      </c>
      <c r="H54" s="10" t="s">
        <v>17</v>
      </c>
      <c r="I54" s="10" t="s">
        <v>344</v>
      </c>
      <c r="J54" s="10" t="s">
        <v>276</v>
      </c>
      <c r="K54" s="10">
        <v>3</v>
      </c>
      <c r="L54" s="14">
        <v>2.5747126436781613</v>
      </c>
      <c r="M54" s="14">
        <v>0.57550535077288956</v>
      </c>
      <c r="N54" s="3">
        <f t="shared" ref="N54:N83" si="18">SQRT(M54)</f>
        <v>0.75862068965517249</v>
      </c>
      <c r="O54" s="3">
        <f>1.14*10/4.35</f>
        <v>2.6206896551724137</v>
      </c>
      <c r="P54">
        <f>(0.42*10/4.35)^2</f>
        <v>0.93222354340071378</v>
      </c>
      <c r="Q54" s="3">
        <f t="shared" si="17"/>
        <v>0.9655172413793105</v>
      </c>
      <c r="R54" s="3">
        <f t="shared" si="14"/>
        <v>1.0178571428571426</v>
      </c>
      <c r="S54" s="3"/>
      <c r="T54" s="3"/>
      <c r="U54" s="3">
        <f t="shared" si="15"/>
        <v>0.23056761119227659</v>
      </c>
      <c r="V54" s="3">
        <f t="shared" si="16"/>
        <v>0.47175044810521044</v>
      </c>
      <c r="W54">
        <v>0</v>
      </c>
      <c r="Y54" t="s">
        <v>2</v>
      </c>
      <c r="Z54" t="s">
        <v>2</v>
      </c>
      <c r="AA54" s="10" t="s">
        <v>2</v>
      </c>
    </row>
    <row r="55" spans="1:27" x14ac:dyDescent="0.3">
      <c r="A55" t="s">
        <v>340</v>
      </c>
      <c r="B55" s="10" t="s">
        <v>282</v>
      </c>
      <c r="C55" s="10" t="s">
        <v>298</v>
      </c>
      <c r="D55" s="10" t="s">
        <v>342</v>
      </c>
      <c r="E55" s="10">
        <v>2008</v>
      </c>
      <c r="F55" t="s">
        <v>2660</v>
      </c>
      <c r="H55" s="10" t="s">
        <v>316</v>
      </c>
      <c r="I55" s="10" t="s">
        <v>345</v>
      </c>
      <c r="J55" s="10" t="s">
        <v>276</v>
      </c>
      <c r="K55" s="10">
        <v>3</v>
      </c>
      <c r="L55" s="3">
        <v>8.9553752535496951</v>
      </c>
      <c r="M55" s="3">
        <v>4.4930240404198338</v>
      </c>
      <c r="N55" s="3">
        <f t="shared" si="18"/>
        <v>2.1196754563894524</v>
      </c>
      <c r="O55" s="3">
        <f>7.53*10/9.86</f>
        <v>7.6369168356997976</v>
      </c>
      <c r="P55">
        <f>(1.19*10/9.86)^2</f>
        <v>1.4565992865636146</v>
      </c>
      <c r="Q55" s="3">
        <f t="shared" si="17"/>
        <v>1.2068965517241379</v>
      </c>
      <c r="R55" s="3">
        <f t="shared" si="14"/>
        <v>0.85277463193657999</v>
      </c>
      <c r="S55" s="3"/>
      <c r="T55" s="3"/>
      <c r="U55" s="3">
        <f t="shared" si="15"/>
        <v>5.8904122756296515E-2</v>
      </c>
      <c r="V55" s="3">
        <f t="shared" si="16"/>
        <v>0.28460241019498678</v>
      </c>
      <c r="W55">
        <v>0</v>
      </c>
      <c r="Y55" t="s">
        <v>3</v>
      </c>
      <c r="Z55" t="s">
        <v>2</v>
      </c>
      <c r="AA55" s="10" t="s">
        <v>2</v>
      </c>
    </row>
    <row r="56" spans="1:27" x14ac:dyDescent="0.3">
      <c r="A56" t="s">
        <v>340</v>
      </c>
      <c r="B56" s="10" t="s">
        <v>282</v>
      </c>
      <c r="C56" s="10" t="s">
        <v>298</v>
      </c>
      <c r="D56" s="10" t="s">
        <v>342</v>
      </c>
      <c r="E56" s="10">
        <v>2009</v>
      </c>
      <c r="F56" t="s">
        <v>2660</v>
      </c>
      <c r="H56" s="10" t="s">
        <v>316</v>
      </c>
      <c r="I56" s="10" t="s">
        <v>345</v>
      </c>
      <c r="J56" s="10" t="s">
        <v>276</v>
      </c>
      <c r="K56" s="10">
        <v>3</v>
      </c>
      <c r="L56" s="3">
        <v>2.6267748478701827</v>
      </c>
      <c r="M56" s="3">
        <v>0.43458314989981445</v>
      </c>
      <c r="N56" s="3">
        <f t="shared" si="18"/>
        <v>0.65922920892494929</v>
      </c>
      <c r="O56" s="3">
        <f>2.37*10/9.86</f>
        <v>2.4036511156186617</v>
      </c>
      <c r="P56">
        <f>(0.74*10/9.86)^2</f>
        <v>0.56326090623701408</v>
      </c>
      <c r="Q56" s="3">
        <f t="shared" si="17"/>
        <v>0.75050709939148086</v>
      </c>
      <c r="R56" s="3">
        <f t="shared" si="14"/>
        <v>0.91505791505791523</v>
      </c>
      <c r="S56" s="3"/>
      <c r="T56" s="3"/>
      <c r="U56" s="3">
        <f t="shared" si="15"/>
        <v>0.1343707372269396</v>
      </c>
      <c r="V56" s="3">
        <f t="shared" si="16"/>
        <v>0.40059337995220851</v>
      </c>
      <c r="W56">
        <v>0</v>
      </c>
      <c r="Y56" t="s">
        <v>3</v>
      </c>
      <c r="Z56" t="s">
        <v>2</v>
      </c>
      <c r="AA56" s="10" t="s">
        <v>2</v>
      </c>
    </row>
    <row r="57" spans="1:27" x14ac:dyDescent="0.3">
      <c r="A57" t="s">
        <v>340</v>
      </c>
      <c r="B57" s="10" t="s">
        <v>282</v>
      </c>
      <c r="C57" s="10" t="s">
        <v>298</v>
      </c>
      <c r="D57" s="10" t="s">
        <v>342</v>
      </c>
      <c r="E57" s="10">
        <v>2008</v>
      </c>
      <c r="F57" t="s">
        <v>2660</v>
      </c>
      <c r="H57" s="10" t="s">
        <v>316</v>
      </c>
      <c r="I57" s="10" t="s">
        <v>326</v>
      </c>
      <c r="J57" s="10" t="s">
        <v>276</v>
      </c>
      <c r="K57" s="10">
        <v>3</v>
      </c>
      <c r="L57" s="3">
        <v>8.9553752535496951</v>
      </c>
      <c r="M57" s="3">
        <v>4.4930240404198338</v>
      </c>
      <c r="N57" s="3">
        <f t="shared" si="18"/>
        <v>2.1196754563894524</v>
      </c>
      <c r="O57" s="3">
        <f>7.59*10/9.86</f>
        <v>7.6977687626774856</v>
      </c>
      <c r="P57">
        <f>(2.43*10/9.86)^2</f>
        <v>6.0737752469666626</v>
      </c>
      <c r="Q57" s="3">
        <f t="shared" si="17"/>
        <v>2.4645030425963492</v>
      </c>
      <c r="R57" s="3">
        <f t="shared" si="14"/>
        <v>0.85956964892412246</v>
      </c>
      <c r="S57" s="3"/>
      <c r="T57" s="3"/>
      <c r="U57" s="3">
        <f t="shared" si="15"/>
        <v>0.11712765326356613</v>
      </c>
      <c r="V57" s="3">
        <f t="shared" si="16"/>
        <v>0.39815176810009784</v>
      </c>
      <c r="W57">
        <v>0</v>
      </c>
      <c r="Y57" t="s">
        <v>3</v>
      </c>
      <c r="Z57" t="s">
        <v>2</v>
      </c>
      <c r="AA57" s="10" t="s">
        <v>2</v>
      </c>
    </row>
    <row r="58" spans="1:27" x14ac:dyDescent="0.3">
      <c r="A58" t="s">
        <v>340</v>
      </c>
      <c r="B58" s="10" t="s">
        <v>282</v>
      </c>
      <c r="C58" s="10" t="s">
        <v>298</v>
      </c>
      <c r="D58" s="10" t="s">
        <v>342</v>
      </c>
      <c r="E58" s="10">
        <v>2009</v>
      </c>
      <c r="F58" t="s">
        <v>2660</v>
      </c>
      <c r="H58" s="10" t="s">
        <v>316</v>
      </c>
      <c r="I58" s="10" t="s">
        <v>326</v>
      </c>
      <c r="J58" s="10" t="s">
        <v>276</v>
      </c>
      <c r="K58" s="10">
        <v>3</v>
      </c>
      <c r="L58" s="3">
        <v>2.6267748478701827</v>
      </c>
      <c r="M58" s="3">
        <v>0.43458314989981445</v>
      </c>
      <c r="N58" s="3">
        <f t="shared" si="18"/>
        <v>0.65922920892494929</v>
      </c>
      <c r="O58" s="3">
        <f>1.44*10/9.86</f>
        <v>1.460446247464503</v>
      </c>
      <c r="P58">
        <f>(0.21*10/9.86)^2</f>
        <v>4.536122345699839E-2</v>
      </c>
      <c r="Q58" s="3">
        <f t="shared" si="17"/>
        <v>0.2129817444219067</v>
      </c>
      <c r="R58" s="3">
        <f t="shared" si="14"/>
        <v>0.55598455598455598</v>
      </c>
      <c r="S58" s="3"/>
      <c r="T58" s="3"/>
      <c r="U58" s="3">
        <f t="shared" si="15"/>
        <v>2.6043544996860176E-2</v>
      </c>
      <c r="V58" s="3">
        <f t="shared" si="16"/>
        <v>0.29026008734092684</v>
      </c>
      <c r="W58">
        <v>0</v>
      </c>
      <c r="Y58" t="s">
        <v>3</v>
      </c>
      <c r="Z58" t="s">
        <v>2</v>
      </c>
      <c r="AA58" s="10" t="s">
        <v>2</v>
      </c>
    </row>
    <row r="59" spans="1:27" x14ac:dyDescent="0.3">
      <c r="A59" t="s">
        <v>346</v>
      </c>
      <c r="B59" s="10" t="s">
        <v>29</v>
      </c>
      <c r="C59" s="10" t="s">
        <v>336</v>
      </c>
      <c r="D59" s="10" t="s">
        <v>347</v>
      </c>
      <c r="E59" s="10"/>
      <c r="F59" t="s">
        <v>2660</v>
      </c>
      <c r="G59" s="10"/>
      <c r="H59" s="10" t="s">
        <v>316</v>
      </c>
      <c r="I59" s="10" t="s">
        <v>8</v>
      </c>
      <c r="J59" s="10" t="s">
        <v>276</v>
      </c>
      <c r="K59" s="10">
        <v>8</v>
      </c>
      <c r="N59" s="3"/>
      <c r="Q59" s="3"/>
      <c r="R59" s="3">
        <f>EXP(0.02575)</f>
        <v>1.0260843953068057</v>
      </c>
      <c r="S59" s="3"/>
      <c r="T59" s="3"/>
      <c r="U59" s="3"/>
      <c r="V59" s="3"/>
      <c r="Z59" t="s">
        <v>2</v>
      </c>
      <c r="AA59" s="10" t="s">
        <v>2</v>
      </c>
    </row>
    <row r="60" spans="1:27" x14ac:dyDescent="0.3">
      <c r="A60" t="s">
        <v>350</v>
      </c>
      <c r="B60" s="10" t="s">
        <v>282</v>
      </c>
      <c r="C60" s="10" t="s">
        <v>349</v>
      </c>
      <c r="D60" s="10" t="s">
        <v>348</v>
      </c>
      <c r="E60" s="10">
        <v>2012</v>
      </c>
      <c r="F60" t="s">
        <v>2660</v>
      </c>
      <c r="G60" s="10"/>
      <c r="H60" s="10" t="s">
        <v>316</v>
      </c>
      <c r="I60" s="10" t="s">
        <v>351</v>
      </c>
      <c r="J60" s="10" t="s">
        <v>276</v>
      </c>
      <c r="K60" s="10">
        <v>3</v>
      </c>
      <c r="L60" s="3">
        <v>8.8695652173913047</v>
      </c>
      <c r="N60" s="3"/>
      <c r="O60" s="3">
        <f>2.17*10/2.875</f>
        <v>7.5478260869565217</v>
      </c>
      <c r="Q60" s="3"/>
      <c r="R60" s="3">
        <f t="shared" ref="R60:R68" si="19">O60/L60</f>
        <v>0.85098039215686272</v>
      </c>
      <c r="S60" s="3"/>
      <c r="T60" s="3"/>
      <c r="U60" s="3"/>
      <c r="V60" s="3"/>
      <c r="Z60" t="s">
        <v>2</v>
      </c>
      <c r="AA60" s="10" t="s">
        <v>2</v>
      </c>
    </row>
    <row r="61" spans="1:27" x14ac:dyDescent="0.3">
      <c r="A61" t="s">
        <v>350</v>
      </c>
      <c r="B61" s="10" t="s">
        <v>282</v>
      </c>
      <c r="C61" s="10" t="s">
        <v>349</v>
      </c>
      <c r="D61" s="10" t="s">
        <v>348</v>
      </c>
      <c r="E61" s="10">
        <v>2013</v>
      </c>
      <c r="F61" t="s">
        <v>2660</v>
      </c>
      <c r="G61" s="10"/>
      <c r="H61" s="10" t="s">
        <v>316</v>
      </c>
      <c r="I61" s="10" t="s">
        <v>351</v>
      </c>
      <c r="J61" s="10" t="s">
        <v>276</v>
      </c>
      <c r="K61" s="10">
        <v>3</v>
      </c>
      <c r="L61" s="3">
        <v>4.9739130434782606</v>
      </c>
      <c r="N61" s="3"/>
      <c r="O61" s="3">
        <f>1.4*10/2.875</f>
        <v>4.8695652173913047</v>
      </c>
      <c r="Q61" s="3"/>
      <c r="R61" s="3">
        <f t="shared" si="19"/>
        <v>0.97902097902097918</v>
      </c>
      <c r="S61" s="3"/>
      <c r="T61" s="3"/>
      <c r="U61" s="3"/>
      <c r="V61" s="3"/>
      <c r="Z61" t="s">
        <v>2</v>
      </c>
      <c r="AA61" s="10" t="s">
        <v>2</v>
      </c>
    </row>
    <row r="62" spans="1:27" x14ac:dyDescent="0.3">
      <c r="A62" t="s">
        <v>350</v>
      </c>
      <c r="B62" s="10" t="s">
        <v>282</v>
      </c>
      <c r="C62" s="10" t="s">
        <v>349</v>
      </c>
      <c r="D62" s="10" t="s">
        <v>348</v>
      </c>
      <c r="E62" s="10">
        <v>2014</v>
      </c>
      <c r="F62" t="s">
        <v>2660</v>
      </c>
      <c r="G62" s="10"/>
      <c r="H62" s="10" t="s">
        <v>316</v>
      </c>
      <c r="I62" s="10" t="s">
        <v>351</v>
      </c>
      <c r="J62" s="10" t="s">
        <v>276</v>
      </c>
      <c r="K62" s="10">
        <v>3</v>
      </c>
      <c r="L62" s="3">
        <v>6.8521739130434778</v>
      </c>
      <c r="N62" s="3"/>
      <c r="O62" s="3">
        <f>1.52*10/2.875</f>
        <v>5.2869565217391301</v>
      </c>
      <c r="Q62" s="3"/>
      <c r="R62" s="3">
        <f t="shared" si="19"/>
        <v>0.77157360406091369</v>
      </c>
      <c r="S62" s="3"/>
      <c r="T62" s="3"/>
      <c r="U62" s="3"/>
      <c r="V62" s="3"/>
      <c r="Z62" t="s">
        <v>2</v>
      </c>
      <c r="AA62" s="10" t="s">
        <v>2</v>
      </c>
    </row>
    <row r="63" spans="1:27" x14ac:dyDescent="0.3">
      <c r="A63" t="s">
        <v>350</v>
      </c>
      <c r="B63" s="10" t="s">
        <v>282</v>
      </c>
      <c r="C63" s="10" t="s">
        <v>349</v>
      </c>
      <c r="D63" s="10" t="s">
        <v>348</v>
      </c>
      <c r="E63" s="10">
        <v>2012</v>
      </c>
      <c r="F63" t="s">
        <v>2660</v>
      </c>
      <c r="G63" s="10"/>
      <c r="H63" s="10" t="s">
        <v>316</v>
      </c>
      <c r="I63" s="10" t="s">
        <v>352</v>
      </c>
      <c r="J63" s="10" t="s">
        <v>276</v>
      </c>
      <c r="K63" s="10">
        <v>3</v>
      </c>
      <c r="L63" s="3">
        <v>8.8695652173913047</v>
      </c>
      <c r="N63" s="3"/>
      <c r="O63" s="3">
        <f>2.37*10/2.875</f>
        <v>8.2434782608695656</v>
      </c>
      <c r="Q63" s="3"/>
      <c r="R63" s="3">
        <f t="shared" si="19"/>
        <v>0.92941176470588238</v>
      </c>
      <c r="S63" s="3"/>
      <c r="T63" s="3"/>
      <c r="U63" s="3"/>
      <c r="V63" s="3"/>
      <c r="Z63" t="s">
        <v>2</v>
      </c>
      <c r="AA63" s="10" t="s">
        <v>2</v>
      </c>
    </row>
    <row r="64" spans="1:27" x14ac:dyDescent="0.3">
      <c r="A64" t="s">
        <v>350</v>
      </c>
      <c r="B64" s="10" t="s">
        <v>282</v>
      </c>
      <c r="C64" s="10" t="s">
        <v>349</v>
      </c>
      <c r="D64" s="10" t="s">
        <v>348</v>
      </c>
      <c r="E64" s="10">
        <v>2013</v>
      </c>
      <c r="F64" t="s">
        <v>2660</v>
      </c>
      <c r="G64" s="10"/>
      <c r="H64" s="10" t="s">
        <v>316</v>
      </c>
      <c r="I64" s="10" t="s">
        <v>352</v>
      </c>
      <c r="J64" s="10" t="s">
        <v>276</v>
      </c>
      <c r="K64" s="10">
        <v>3</v>
      </c>
      <c r="L64" s="3">
        <v>4.9739130434782606</v>
      </c>
      <c r="N64" s="3"/>
      <c r="O64" s="3">
        <f>1.66*10/2.875</f>
        <v>5.7739130434782604</v>
      </c>
      <c r="Q64" s="3"/>
      <c r="R64" s="3">
        <f t="shared" si="19"/>
        <v>1.1608391608391608</v>
      </c>
      <c r="S64" s="3"/>
      <c r="T64" s="3"/>
      <c r="U64" s="3"/>
      <c r="V64" s="3"/>
      <c r="Z64" t="s">
        <v>2</v>
      </c>
      <c r="AA64" s="10" t="s">
        <v>2</v>
      </c>
    </row>
    <row r="65" spans="1:32" x14ac:dyDescent="0.3">
      <c r="A65" t="s">
        <v>350</v>
      </c>
      <c r="B65" s="10" t="s">
        <v>282</v>
      </c>
      <c r="C65" s="10" t="s">
        <v>349</v>
      </c>
      <c r="D65" s="10" t="s">
        <v>348</v>
      </c>
      <c r="E65" s="10">
        <v>2014</v>
      </c>
      <c r="F65" t="s">
        <v>2660</v>
      </c>
      <c r="G65" s="10"/>
      <c r="H65" s="10" t="s">
        <v>316</v>
      </c>
      <c r="I65" s="10" t="s">
        <v>352</v>
      </c>
      <c r="J65" s="10" t="s">
        <v>276</v>
      </c>
      <c r="K65" s="10">
        <v>3</v>
      </c>
      <c r="L65" s="3">
        <v>6.8521739130434778</v>
      </c>
      <c r="N65" s="3"/>
      <c r="O65" s="3">
        <f>1.68*10/2.875</f>
        <v>5.8434782608695652</v>
      </c>
      <c r="Q65" s="3"/>
      <c r="R65" s="3">
        <f t="shared" si="19"/>
        <v>0.85279187817258895</v>
      </c>
      <c r="S65" s="3"/>
      <c r="T65" s="3"/>
      <c r="U65" s="3"/>
      <c r="V65" s="3"/>
      <c r="Z65" t="s">
        <v>2</v>
      </c>
      <c r="AA65" s="10" t="s">
        <v>2</v>
      </c>
    </row>
    <row r="66" spans="1:32" x14ac:dyDescent="0.3">
      <c r="A66" t="s">
        <v>350</v>
      </c>
      <c r="B66" s="10" t="s">
        <v>282</v>
      </c>
      <c r="C66" s="10" t="s">
        <v>349</v>
      </c>
      <c r="D66" s="10" t="s">
        <v>348</v>
      </c>
      <c r="E66" s="10">
        <v>2012</v>
      </c>
      <c r="F66" t="s">
        <v>2660</v>
      </c>
      <c r="G66" s="10"/>
      <c r="H66" s="10" t="s">
        <v>316</v>
      </c>
      <c r="I66" s="10" t="s">
        <v>353</v>
      </c>
      <c r="J66" s="10" t="s">
        <v>276</v>
      </c>
      <c r="K66" s="10">
        <v>3</v>
      </c>
      <c r="L66" s="3">
        <v>8.8695652173913047</v>
      </c>
      <c r="N66" s="3"/>
      <c r="O66" s="3">
        <f>1.95*10/2.875</f>
        <v>6.7826086956521738</v>
      </c>
      <c r="Q66" s="3"/>
      <c r="R66" s="3">
        <f t="shared" si="19"/>
        <v>0.76470588235294112</v>
      </c>
      <c r="S66" s="3"/>
      <c r="T66" s="3"/>
      <c r="U66" s="3"/>
      <c r="V66" s="3"/>
      <c r="Z66" t="s">
        <v>2</v>
      </c>
      <c r="AA66" s="10" t="s">
        <v>2</v>
      </c>
    </row>
    <row r="67" spans="1:32" x14ac:dyDescent="0.3">
      <c r="A67" s="10" t="s">
        <v>350</v>
      </c>
      <c r="B67" s="10" t="s">
        <v>282</v>
      </c>
      <c r="C67" s="10" t="s">
        <v>349</v>
      </c>
      <c r="D67" s="10" t="s">
        <v>348</v>
      </c>
      <c r="E67" s="10">
        <v>2013</v>
      </c>
      <c r="F67" t="s">
        <v>2660</v>
      </c>
      <c r="G67" s="10"/>
      <c r="H67" s="10" t="s">
        <v>316</v>
      </c>
      <c r="I67" s="10" t="s">
        <v>353</v>
      </c>
      <c r="J67" s="10" t="s">
        <v>276</v>
      </c>
      <c r="K67" s="10">
        <v>3</v>
      </c>
      <c r="L67" s="14">
        <v>4.9739130434782606</v>
      </c>
      <c r="M67" s="10"/>
      <c r="N67" s="14"/>
      <c r="O67" s="14">
        <f>1.08*10/2.875</f>
        <v>3.7565217391304349</v>
      </c>
      <c r="P67" s="10"/>
      <c r="Q67" s="14"/>
      <c r="R67" s="14">
        <f t="shared" si="19"/>
        <v>0.75524475524475532</v>
      </c>
      <c r="S67" s="14"/>
      <c r="T67" s="14"/>
      <c r="U67" s="14"/>
      <c r="V67" s="14"/>
      <c r="W67" s="10"/>
      <c r="X67" s="10"/>
      <c r="Y67" s="10"/>
      <c r="Z67" s="10" t="s">
        <v>2</v>
      </c>
      <c r="AA67" s="10" t="s">
        <v>2</v>
      </c>
      <c r="AB67" s="10"/>
      <c r="AC67" s="10"/>
      <c r="AD67" s="10"/>
      <c r="AE67" s="10"/>
      <c r="AF67" s="10"/>
    </row>
    <row r="68" spans="1:32" x14ac:dyDescent="0.3">
      <c r="A68" s="10" t="s">
        <v>350</v>
      </c>
      <c r="B68" s="10" t="s">
        <v>282</v>
      </c>
      <c r="C68" s="10" t="s">
        <v>349</v>
      </c>
      <c r="D68" s="10" t="s">
        <v>348</v>
      </c>
      <c r="E68" s="10">
        <v>2014</v>
      </c>
      <c r="F68" t="s">
        <v>2660</v>
      </c>
      <c r="G68" s="10"/>
      <c r="H68" s="10" t="s">
        <v>316</v>
      </c>
      <c r="I68" s="10" t="s">
        <v>353</v>
      </c>
      <c r="J68" s="10" t="s">
        <v>276</v>
      </c>
      <c r="K68" s="10">
        <v>3</v>
      </c>
      <c r="L68" s="14">
        <v>6.8521739130434778</v>
      </c>
      <c r="M68" s="10"/>
      <c r="N68" s="14"/>
      <c r="O68" s="14">
        <f>1.85*10/2.875</f>
        <v>6.4347826086956523</v>
      </c>
      <c r="P68" s="10"/>
      <c r="Q68" s="14"/>
      <c r="R68" s="14">
        <f t="shared" si="19"/>
        <v>0.93908629441624369</v>
      </c>
      <c r="S68" s="14"/>
      <c r="T68" s="14"/>
      <c r="U68" s="14"/>
      <c r="V68" s="14"/>
      <c r="W68" s="10"/>
      <c r="X68" s="10"/>
      <c r="Y68" s="10"/>
      <c r="Z68" s="10" t="s">
        <v>2</v>
      </c>
      <c r="AA68" s="10" t="s">
        <v>2</v>
      </c>
      <c r="AB68" s="10"/>
      <c r="AC68" s="10"/>
      <c r="AD68" s="10"/>
      <c r="AE68" s="10"/>
      <c r="AF68" s="10"/>
    </row>
    <row r="69" spans="1:32" s="12" customFormat="1" x14ac:dyDescent="0.3">
      <c r="A69" s="10" t="s">
        <v>705</v>
      </c>
      <c r="B69" s="16" t="s">
        <v>706</v>
      </c>
      <c r="C69" s="10" t="s">
        <v>707</v>
      </c>
      <c r="D69" s="10"/>
      <c r="E69" s="10"/>
      <c r="F69" t="s">
        <v>2660</v>
      </c>
      <c r="G69" s="10"/>
      <c r="H69" s="10" t="s">
        <v>316</v>
      </c>
      <c r="I69" s="10" t="s">
        <v>709</v>
      </c>
      <c r="J69" s="16" t="s">
        <v>708</v>
      </c>
      <c r="K69" s="10">
        <v>11</v>
      </c>
      <c r="L69" s="10"/>
      <c r="M69" s="10"/>
      <c r="N69" s="14"/>
      <c r="O69" s="10"/>
      <c r="P69" s="10"/>
      <c r="Q69" s="14"/>
      <c r="R69" s="14">
        <f>EXP(0.102573055926386)</f>
        <v>1.1080182462524693</v>
      </c>
      <c r="S69" s="14">
        <f>EXP(-0.190737522122627)</f>
        <v>0.82634945813990246</v>
      </c>
      <c r="T69" s="14">
        <f>EXP(0.478216189043578)</f>
        <v>1.6131942005991773</v>
      </c>
      <c r="U69" s="14"/>
      <c r="V69" s="14"/>
      <c r="W69" s="10"/>
      <c r="X69" s="10"/>
      <c r="Y69" s="10"/>
      <c r="Z69" s="10"/>
      <c r="AA69" s="10" t="s">
        <v>3</v>
      </c>
      <c r="AB69" s="10" t="s">
        <v>164</v>
      </c>
      <c r="AC69" s="10"/>
      <c r="AD69" s="10"/>
      <c r="AE69" s="10"/>
      <c r="AF69" s="10"/>
    </row>
    <row r="70" spans="1:32" s="12" customFormat="1" x14ac:dyDescent="0.3">
      <c r="A70" s="10" t="s">
        <v>705</v>
      </c>
      <c r="B70" s="16" t="s">
        <v>706</v>
      </c>
      <c r="C70" s="10" t="s">
        <v>707</v>
      </c>
      <c r="D70" s="10"/>
      <c r="E70" s="10"/>
      <c r="F70" t="s">
        <v>2660</v>
      </c>
      <c r="G70" s="10"/>
      <c r="H70" s="10" t="s">
        <v>316</v>
      </c>
      <c r="I70" s="16" t="s">
        <v>2393</v>
      </c>
      <c r="J70" s="16" t="s">
        <v>708</v>
      </c>
      <c r="K70" s="10">
        <v>12</v>
      </c>
      <c r="L70" s="10"/>
      <c r="M70" s="10"/>
      <c r="N70" s="14"/>
      <c r="O70" s="10"/>
      <c r="P70" s="10"/>
      <c r="Q70" s="14"/>
      <c r="R70" s="14">
        <f>EXP(0.11286458168844)</f>
        <v>1.1194803245481659</v>
      </c>
      <c r="S70" s="14">
        <f>EXP(-0.238765020398271)</f>
        <v>0.78759993054856525</v>
      </c>
      <c r="T70" s="14">
        <f>EXP(0.515951899828358)</f>
        <v>1.6752323964938136</v>
      </c>
      <c r="U70" s="14"/>
      <c r="V70" s="14"/>
      <c r="W70" s="10"/>
      <c r="X70" s="10"/>
      <c r="Y70" s="10"/>
      <c r="Z70" s="10"/>
      <c r="AA70" s="10" t="s">
        <v>3</v>
      </c>
      <c r="AB70" s="10" t="s">
        <v>164</v>
      </c>
      <c r="AC70" s="10"/>
      <c r="AD70" s="10"/>
      <c r="AE70" s="10"/>
      <c r="AF70" s="10"/>
    </row>
    <row r="71" spans="1:32" x14ac:dyDescent="0.3">
      <c r="A71" s="10" t="s">
        <v>1213</v>
      </c>
      <c r="B71" s="10" t="s">
        <v>300</v>
      </c>
      <c r="C71" s="10" t="s">
        <v>1214</v>
      </c>
      <c r="D71" s="10" t="s">
        <v>1215</v>
      </c>
      <c r="E71" s="10">
        <v>1987</v>
      </c>
      <c r="F71" t="s">
        <v>2660</v>
      </c>
      <c r="G71" s="10" t="s">
        <v>1058</v>
      </c>
      <c r="H71" s="10" t="s">
        <v>1217</v>
      </c>
      <c r="I71" s="10" t="s">
        <v>1218</v>
      </c>
      <c r="J71" s="10" t="s">
        <v>276</v>
      </c>
      <c r="K71" s="10">
        <v>3</v>
      </c>
      <c r="L71" s="10">
        <v>2.2959999999999998</v>
      </c>
      <c r="M71" s="10"/>
      <c r="N71" s="14"/>
      <c r="O71" s="10">
        <v>1.4690000000000001</v>
      </c>
      <c r="P71" s="10"/>
      <c r="Q71" s="14"/>
      <c r="R71" s="14">
        <f t="shared" ref="R71:R93" si="20">O71/L71</f>
        <v>0.63980836236933802</v>
      </c>
      <c r="S71" s="14"/>
      <c r="T71" s="14"/>
      <c r="U71" s="14"/>
      <c r="V71" s="10"/>
      <c r="W71" s="10">
        <v>90</v>
      </c>
      <c r="X71" s="10" t="s">
        <v>14</v>
      </c>
      <c r="Y71" s="26" t="s">
        <v>3</v>
      </c>
      <c r="Z71" s="10"/>
      <c r="AA71" s="10" t="s">
        <v>2</v>
      </c>
      <c r="AB71" s="10" t="s">
        <v>1216</v>
      </c>
      <c r="AC71" s="10"/>
      <c r="AD71" s="10"/>
      <c r="AE71" s="10"/>
      <c r="AF71" s="10"/>
    </row>
    <row r="72" spans="1:32" x14ac:dyDescent="0.3">
      <c r="A72" s="10" t="s">
        <v>1213</v>
      </c>
      <c r="B72" s="10" t="s">
        <v>300</v>
      </c>
      <c r="C72" s="10" t="s">
        <v>1214</v>
      </c>
      <c r="D72" s="10" t="s">
        <v>1215</v>
      </c>
      <c r="E72" s="10">
        <v>1987</v>
      </c>
      <c r="F72" t="s">
        <v>2660</v>
      </c>
      <c r="G72" s="10" t="s">
        <v>1009</v>
      </c>
      <c r="H72" s="10" t="s">
        <v>1217</v>
      </c>
      <c r="I72" s="10" t="s">
        <v>1218</v>
      </c>
      <c r="J72" s="10" t="s">
        <v>276</v>
      </c>
      <c r="K72" s="10">
        <v>3</v>
      </c>
      <c r="L72" s="10">
        <v>2.2690000000000001</v>
      </c>
      <c r="M72" s="10"/>
      <c r="N72" s="14"/>
      <c r="O72" s="10">
        <v>1.4039999999999999</v>
      </c>
      <c r="P72" s="10"/>
      <c r="Q72" s="14"/>
      <c r="R72" s="14">
        <f t="shared" si="20"/>
        <v>0.61877479065667684</v>
      </c>
      <c r="S72" s="14"/>
      <c r="T72" s="14"/>
      <c r="U72" s="14"/>
      <c r="V72" s="10"/>
      <c r="W72" s="10">
        <v>0</v>
      </c>
      <c r="X72" s="10"/>
      <c r="Y72" s="26" t="s">
        <v>3</v>
      </c>
      <c r="Z72" s="10"/>
      <c r="AA72" s="10" t="s">
        <v>2</v>
      </c>
      <c r="AB72" s="10" t="s">
        <v>1216</v>
      </c>
      <c r="AC72" s="10"/>
      <c r="AD72" s="10"/>
      <c r="AE72" s="10"/>
      <c r="AF72" s="10"/>
    </row>
    <row r="73" spans="1:32" x14ac:dyDescent="0.3">
      <c r="A73" s="10" t="s">
        <v>1213</v>
      </c>
      <c r="B73" s="10" t="s">
        <v>300</v>
      </c>
      <c r="C73" s="10" t="s">
        <v>1214</v>
      </c>
      <c r="D73" s="10" t="s">
        <v>1215</v>
      </c>
      <c r="E73" s="10">
        <v>1988</v>
      </c>
      <c r="F73" t="s">
        <v>2660</v>
      </c>
      <c r="G73" s="10" t="s">
        <v>1058</v>
      </c>
      <c r="H73" s="10" t="s">
        <v>1217</v>
      </c>
      <c r="I73" s="10" t="s">
        <v>1218</v>
      </c>
      <c r="J73" s="10" t="s">
        <v>276</v>
      </c>
      <c r="K73" s="10">
        <v>3</v>
      </c>
      <c r="L73" s="10">
        <v>1.246</v>
      </c>
      <c r="M73" s="10"/>
      <c r="N73" s="14"/>
      <c r="O73" s="10">
        <v>0.45100000000000001</v>
      </c>
      <c r="P73" s="10"/>
      <c r="Q73" s="14"/>
      <c r="R73" s="14">
        <f t="shared" si="20"/>
        <v>0.3619582664526485</v>
      </c>
      <c r="S73" s="14"/>
      <c r="T73" s="14"/>
      <c r="U73" s="14"/>
      <c r="V73" s="10"/>
      <c r="W73" s="10">
        <v>75</v>
      </c>
      <c r="X73" s="10" t="s">
        <v>14</v>
      </c>
      <c r="Y73" s="26" t="s">
        <v>3</v>
      </c>
      <c r="Z73" s="10"/>
      <c r="AA73" s="10" t="s">
        <v>2</v>
      </c>
      <c r="AB73" s="10" t="s">
        <v>1216</v>
      </c>
      <c r="AC73" s="10"/>
      <c r="AD73" s="10"/>
      <c r="AE73" s="10"/>
      <c r="AF73" s="10"/>
    </row>
    <row r="74" spans="1:32" x14ac:dyDescent="0.3">
      <c r="A74" s="10" t="s">
        <v>1213</v>
      </c>
      <c r="B74" s="10" t="s">
        <v>300</v>
      </c>
      <c r="C74" s="10" t="s">
        <v>1214</v>
      </c>
      <c r="D74" s="10" t="s">
        <v>1215</v>
      </c>
      <c r="E74" s="10">
        <v>1988</v>
      </c>
      <c r="F74" t="s">
        <v>2660</v>
      </c>
      <c r="G74" s="10" t="s">
        <v>1009</v>
      </c>
      <c r="H74" s="10" t="s">
        <v>1217</v>
      </c>
      <c r="I74" s="10" t="s">
        <v>1218</v>
      </c>
      <c r="J74" s="10" t="s">
        <v>276</v>
      </c>
      <c r="K74" s="10">
        <v>3</v>
      </c>
      <c r="L74" s="10">
        <v>1.194</v>
      </c>
      <c r="M74" s="10"/>
      <c r="N74" s="14"/>
      <c r="O74" s="10">
        <v>0.52600000000000002</v>
      </c>
      <c r="P74" s="10"/>
      <c r="Q74" s="14"/>
      <c r="R74" s="14">
        <f t="shared" si="20"/>
        <v>0.44053601340033505</v>
      </c>
      <c r="S74" s="14"/>
      <c r="T74" s="14"/>
      <c r="U74" s="14"/>
      <c r="V74" s="10"/>
      <c r="W74" s="10">
        <v>0</v>
      </c>
      <c r="X74" s="10"/>
      <c r="Y74" s="26" t="s">
        <v>3</v>
      </c>
      <c r="Z74" s="10"/>
      <c r="AA74" s="10" t="s">
        <v>2</v>
      </c>
      <c r="AB74" s="10" t="s">
        <v>1216</v>
      </c>
      <c r="AC74" s="10"/>
      <c r="AD74" s="10"/>
      <c r="AE74" s="10"/>
      <c r="AF74" s="10"/>
    </row>
    <row r="75" spans="1:32" x14ac:dyDescent="0.3">
      <c r="A75" s="10" t="s">
        <v>1213</v>
      </c>
      <c r="B75" s="10" t="s">
        <v>300</v>
      </c>
      <c r="C75" s="10" t="s">
        <v>1214</v>
      </c>
      <c r="D75" s="10" t="s">
        <v>1215</v>
      </c>
      <c r="E75" s="10">
        <v>1990</v>
      </c>
      <c r="F75" t="s">
        <v>2660</v>
      </c>
      <c r="G75" s="10" t="s">
        <v>1058</v>
      </c>
      <c r="H75" s="10" t="s">
        <v>1217</v>
      </c>
      <c r="I75" s="10" t="s">
        <v>1218</v>
      </c>
      <c r="J75" s="10" t="s">
        <v>276</v>
      </c>
      <c r="K75" s="10">
        <v>3</v>
      </c>
      <c r="L75" s="10">
        <v>1.347</v>
      </c>
      <c r="M75" s="10"/>
      <c r="N75" s="14"/>
      <c r="O75" s="10">
        <v>0.64</v>
      </c>
      <c r="P75" s="10"/>
      <c r="Q75" s="14"/>
      <c r="R75" s="14">
        <f t="shared" si="20"/>
        <v>0.47512991833704532</v>
      </c>
      <c r="S75" s="14"/>
      <c r="T75" s="14"/>
      <c r="U75" s="14"/>
      <c r="V75" s="10"/>
      <c r="W75" s="10">
        <v>90</v>
      </c>
      <c r="X75" s="10" t="s">
        <v>14</v>
      </c>
      <c r="Y75" s="26" t="s">
        <v>3</v>
      </c>
      <c r="Z75" s="10"/>
      <c r="AA75" s="10" t="s">
        <v>2</v>
      </c>
      <c r="AB75" s="10" t="s">
        <v>1216</v>
      </c>
      <c r="AC75" s="10"/>
      <c r="AD75" s="10"/>
      <c r="AE75" s="10"/>
      <c r="AF75" s="10"/>
    </row>
    <row r="76" spans="1:32" x14ac:dyDescent="0.3">
      <c r="A76" s="10" t="s">
        <v>1213</v>
      </c>
      <c r="B76" s="10" t="s">
        <v>300</v>
      </c>
      <c r="C76" s="10" t="s">
        <v>1214</v>
      </c>
      <c r="D76" s="10" t="s">
        <v>1215</v>
      </c>
      <c r="E76" s="10">
        <v>1990</v>
      </c>
      <c r="F76" t="s">
        <v>2660</v>
      </c>
      <c r="G76" s="10" t="s">
        <v>1009</v>
      </c>
      <c r="H76" s="10" t="s">
        <v>1217</v>
      </c>
      <c r="I76" s="10" t="s">
        <v>1218</v>
      </c>
      <c r="J76" s="10" t="s">
        <v>276</v>
      </c>
      <c r="K76" s="10">
        <v>3</v>
      </c>
      <c r="L76" s="10">
        <v>1.1479999999999999</v>
      </c>
      <c r="M76" s="10"/>
      <c r="N76" s="14"/>
      <c r="O76" s="10">
        <v>0.63500000000000001</v>
      </c>
      <c r="P76" s="10"/>
      <c r="Q76" s="14"/>
      <c r="R76" s="14">
        <f t="shared" si="20"/>
        <v>0.55313588850174222</v>
      </c>
      <c r="S76" s="14"/>
      <c r="T76" s="14"/>
      <c r="U76" s="14"/>
      <c r="V76" s="10"/>
      <c r="W76" s="10">
        <v>0</v>
      </c>
      <c r="X76" s="10"/>
      <c r="Y76" s="26" t="s">
        <v>3</v>
      </c>
      <c r="Z76" s="10"/>
      <c r="AA76" s="10" t="s">
        <v>2</v>
      </c>
      <c r="AB76" s="10" t="s">
        <v>1216</v>
      </c>
      <c r="AC76" s="10"/>
      <c r="AD76" s="10"/>
      <c r="AE76" s="10"/>
      <c r="AF76" s="10"/>
    </row>
    <row r="77" spans="1:32" x14ac:dyDescent="0.3">
      <c r="A77" s="10" t="s">
        <v>1219</v>
      </c>
      <c r="B77" s="10" t="s">
        <v>29</v>
      </c>
      <c r="C77" s="10" t="s">
        <v>277</v>
      </c>
      <c r="D77" s="10" t="s">
        <v>1220</v>
      </c>
      <c r="E77" s="10" t="s">
        <v>1224</v>
      </c>
      <c r="F77" t="s">
        <v>2660</v>
      </c>
      <c r="G77" s="10"/>
      <c r="H77" s="10" t="s">
        <v>316</v>
      </c>
      <c r="I77" s="10" t="s">
        <v>1222</v>
      </c>
      <c r="J77" s="10" t="s">
        <v>276</v>
      </c>
      <c r="K77" s="10">
        <v>3</v>
      </c>
      <c r="L77" s="14">
        <f>6.14*2242/1000</f>
        <v>13.765879999999999</v>
      </c>
      <c r="M77" s="14"/>
      <c r="N77" s="14"/>
      <c r="O77" s="14">
        <f>6.48*2242/1000</f>
        <v>14.528160000000002</v>
      </c>
      <c r="P77" s="14"/>
      <c r="Q77" s="14"/>
      <c r="R77" s="14">
        <f t="shared" si="20"/>
        <v>1.0553745928338765</v>
      </c>
      <c r="S77" s="14"/>
      <c r="T77" s="14"/>
      <c r="U77" s="14"/>
      <c r="V77" s="10"/>
      <c r="W77" s="10"/>
      <c r="X77" s="10"/>
      <c r="Y77" s="10"/>
      <c r="Z77" s="10" t="s">
        <v>3</v>
      </c>
      <c r="AA77" s="10" t="s">
        <v>2</v>
      </c>
      <c r="AB77" s="10" t="s">
        <v>1221</v>
      </c>
      <c r="AC77" s="10"/>
      <c r="AD77" s="10"/>
      <c r="AE77" s="10"/>
      <c r="AF77" s="10"/>
    </row>
    <row r="78" spans="1:32" x14ac:dyDescent="0.3">
      <c r="A78" s="10" t="s">
        <v>1219</v>
      </c>
      <c r="B78" s="10" t="s">
        <v>29</v>
      </c>
      <c r="C78" s="10" t="s">
        <v>277</v>
      </c>
      <c r="D78" s="10" t="s">
        <v>1220</v>
      </c>
      <c r="E78" s="10" t="s">
        <v>1224</v>
      </c>
      <c r="F78" t="s">
        <v>2660</v>
      </c>
      <c r="G78" s="10"/>
      <c r="H78" s="10" t="s">
        <v>316</v>
      </c>
      <c r="I78" s="10" t="s">
        <v>1223</v>
      </c>
      <c r="J78" s="10" t="s">
        <v>276</v>
      </c>
      <c r="K78" s="10">
        <v>3</v>
      </c>
      <c r="L78" s="14">
        <f>6.14*2242/1000</f>
        <v>13.765879999999999</v>
      </c>
      <c r="M78" s="14"/>
      <c r="N78" s="14"/>
      <c r="O78" s="14">
        <f>5.98*2242/1000</f>
        <v>13.407160000000001</v>
      </c>
      <c r="P78" s="14"/>
      <c r="Q78" s="14"/>
      <c r="R78" s="14">
        <f t="shared" si="20"/>
        <v>0.973941368078176</v>
      </c>
      <c r="S78" s="14"/>
      <c r="T78" s="14"/>
      <c r="U78" s="14"/>
      <c r="V78" s="10"/>
      <c r="W78" s="10"/>
      <c r="X78" s="10"/>
      <c r="Y78" s="10"/>
      <c r="Z78" s="10" t="s">
        <v>3</v>
      </c>
      <c r="AA78" s="10" t="s">
        <v>2</v>
      </c>
      <c r="AB78" s="10" t="s">
        <v>1221</v>
      </c>
      <c r="AC78" s="10"/>
      <c r="AD78" s="10"/>
      <c r="AE78" s="10"/>
      <c r="AF78" s="10"/>
    </row>
    <row r="79" spans="1:32" x14ac:dyDescent="0.3">
      <c r="A79" s="10" t="s">
        <v>1231</v>
      </c>
      <c r="B79" s="10" t="s">
        <v>1055</v>
      </c>
      <c r="C79" s="10" t="s">
        <v>1232</v>
      </c>
      <c r="D79" s="10" t="s">
        <v>1233</v>
      </c>
      <c r="E79" s="10" t="s">
        <v>1234</v>
      </c>
      <c r="F79" t="s">
        <v>2660</v>
      </c>
      <c r="G79" s="10"/>
      <c r="H79" s="10" t="s">
        <v>1236</v>
      </c>
      <c r="I79" s="10" t="s">
        <v>1237</v>
      </c>
      <c r="J79" s="10" t="s">
        <v>276</v>
      </c>
      <c r="K79" s="10">
        <v>1</v>
      </c>
      <c r="L79" s="14">
        <f>4155*3330/1000000</f>
        <v>13.83615</v>
      </c>
      <c r="M79" s="14">
        <f>((4390*3330/1000000)-L79)^2</f>
        <v>0.61238450250000087</v>
      </c>
      <c r="N79" s="14">
        <f t="shared" si="18"/>
        <v>0.78255000000000052</v>
      </c>
      <c r="O79" s="14">
        <f>2435*3330/1000000</f>
        <v>8.1085499999999993</v>
      </c>
      <c r="P79" s="14">
        <f>((2685*3330/1000000)-O79)^2</f>
        <v>0.69305625000000226</v>
      </c>
      <c r="Q79" s="14">
        <f t="shared" si="17"/>
        <v>0.83250000000000135</v>
      </c>
      <c r="R79" s="14">
        <f t="shared" si="20"/>
        <v>0.58604091456077012</v>
      </c>
      <c r="S79" s="14"/>
      <c r="T79" s="14"/>
      <c r="U79" s="44">
        <f>P79/(L79^2)+M79*(O79^2)/(L79^4)</f>
        <v>4.7188701553782433E-3</v>
      </c>
      <c r="V79" s="14">
        <f t="shared" ref="V79:V80" si="21">SQRT(U79)/R79</f>
        <v>0.11721712799946274</v>
      </c>
      <c r="W79" s="10">
        <v>0</v>
      </c>
      <c r="X79" s="10" t="s">
        <v>308</v>
      </c>
      <c r="Y79" s="10"/>
      <c r="Z79" s="10" t="s">
        <v>2</v>
      </c>
      <c r="AA79" s="10" t="s">
        <v>2</v>
      </c>
      <c r="AB79" s="10" t="s">
        <v>1235</v>
      </c>
      <c r="AC79" s="10"/>
      <c r="AD79" s="10"/>
      <c r="AE79" s="10"/>
      <c r="AF79" s="10"/>
    </row>
    <row r="80" spans="1:32" x14ac:dyDescent="0.3">
      <c r="A80" s="10" t="s">
        <v>1231</v>
      </c>
      <c r="B80" s="10" t="s">
        <v>1055</v>
      </c>
      <c r="C80" s="10" t="s">
        <v>1232</v>
      </c>
      <c r="D80" s="10" t="s">
        <v>1233</v>
      </c>
      <c r="E80" s="10" t="s">
        <v>1234</v>
      </c>
      <c r="F80" t="s">
        <v>2660</v>
      </c>
      <c r="G80" s="10"/>
      <c r="H80" s="10" t="s">
        <v>1236</v>
      </c>
      <c r="I80" s="10" t="s">
        <v>1238</v>
      </c>
      <c r="J80" s="10" t="s">
        <v>276</v>
      </c>
      <c r="K80" s="10">
        <v>1</v>
      </c>
      <c r="L80" s="14">
        <f>4155*3330/1000000</f>
        <v>13.83615</v>
      </c>
      <c r="M80" s="14">
        <f>((4390*3330/1000000)-L80)^2</f>
        <v>0.61238450250000087</v>
      </c>
      <c r="N80" s="14">
        <f t="shared" si="18"/>
        <v>0.78255000000000052</v>
      </c>
      <c r="O80" s="14">
        <f>3860*3330/1000000</f>
        <v>12.8538</v>
      </c>
      <c r="P80" s="14">
        <f>((4150*3330/1000000)-O80)^2</f>
        <v>0.93257648999999998</v>
      </c>
      <c r="Q80" s="14">
        <f t="shared" si="17"/>
        <v>0.9657</v>
      </c>
      <c r="R80" s="14">
        <f t="shared" si="20"/>
        <v>0.92900120336943437</v>
      </c>
      <c r="S80" s="14"/>
      <c r="T80" s="14"/>
      <c r="U80" s="14">
        <f>P80/(L80^2)+M80*(O80^2)/(L80^4)</f>
        <v>7.6321461942085436E-3</v>
      </c>
      <c r="V80" s="14">
        <f t="shared" si="21"/>
        <v>9.4038796798243007E-2</v>
      </c>
      <c r="W80" s="10">
        <v>0</v>
      </c>
      <c r="X80" s="10" t="s">
        <v>308</v>
      </c>
      <c r="Y80" s="10"/>
      <c r="Z80" s="10" t="s">
        <v>2</v>
      </c>
      <c r="AA80" s="10" t="s">
        <v>2</v>
      </c>
      <c r="AB80" s="10" t="s">
        <v>1235</v>
      </c>
      <c r="AC80" s="10"/>
      <c r="AD80" s="10"/>
      <c r="AE80" s="10"/>
      <c r="AF80" s="10"/>
    </row>
    <row r="81" spans="1:43" s="12" customFormat="1" x14ac:dyDescent="0.3">
      <c r="A81" s="10" t="s">
        <v>1301</v>
      </c>
      <c r="B81" s="10" t="s">
        <v>29</v>
      </c>
      <c r="C81" s="10" t="s">
        <v>1302</v>
      </c>
      <c r="D81" s="10" t="s">
        <v>1303</v>
      </c>
      <c r="E81" s="10" t="s">
        <v>1308</v>
      </c>
      <c r="F81" t="s">
        <v>2660</v>
      </c>
      <c r="H81" s="10" t="s">
        <v>1309</v>
      </c>
      <c r="I81" s="10" t="s">
        <v>1307</v>
      </c>
      <c r="J81" s="10" t="s">
        <v>1304</v>
      </c>
      <c r="K81" s="10">
        <v>4</v>
      </c>
      <c r="L81" s="10">
        <v>13.738</v>
      </c>
      <c r="M81" s="14">
        <f>(0.809^2)*K81</f>
        <v>2.6179240000000004</v>
      </c>
      <c r="N81" s="14">
        <f t="shared" si="18"/>
        <v>1.6180000000000001</v>
      </c>
      <c r="O81" s="10">
        <v>14.49</v>
      </c>
      <c r="P81" s="14">
        <f>(1.368^2)*K81</f>
        <v>7.4856960000000008</v>
      </c>
      <c r="Q81" s="14">
        <f t="shared" si="17"/>
        <v>2.7360000000000002</v>
      </c>
      <c r="R81" s="14">
        <f t="shared" si="20"/>
        <v>1.0547386810307178</v>
      </c>
      <c r="S81" s="14"/>
      <c r="T81" s="14"/>
      <c r="U81" s="14">
        <f>P81/(L81^2)+M81*(O81^2)/(L81^4)</f>
        <v>5.5094165691955931E-2</v>
      </c>
      <c r="V81" s="14">
        <f t="shared" ref="V81:V93" si="22">SQRT(U81)/R81</f>
        <v>0.22253992224291017</v>
      </c>
      <c r="W81" s="10">
        <v>73.5</v>
      </c>
      <c r="X81" s="10" t="s">
        <v>14</v>
      </c>
      <c r="Y81" s="10" t="s">
        <v>3</v>
      </c>
      <c r="Z81" s="10" t="s">
        <v>3</v>
      </c>
      <c r="AA81" s="10" t="s">
        <v>2</v>
      </c>
      <c r="AB81" s="10" t="s">
        <v>2394</v>
      </c>
      <c r="AC81" s="10"/>
      <c r="AD81" s="10"/>
      <c r="AE81" s="10"/>
      <c r="AF81" s="10"/>
    </row>
    <row r="82" spans="1:43" s="12" customFormat="1" x14ac:dyDescent="0.3">
      <c r="A82" s="10" t="s">
        <v>1301</v>
      </c>
      <c r="B82" s="10" t="s">
        <v>29</v>
      </c>
      <c r="C82" s="10" t="s">
        <v>1302</v>
      </c>
      <c r="D82" s="10" t="s">
        <v>1303</v>
      </c>
      <c r="E82" s="10" t="s">
        <v>1308</v>
      </c>
      <c r="F82" t="s">
        <v>2660</v>
      </c>
      <c r="H82" s="10" t="s">
        <v>1309</v>
      </c>
      <c r="I82" s="10" t="s">
        <v>1306</v>
      </c>
      <c r="J82" s="10" t="s">
        <v>1304</v>
      </c>
      <c r="K82" s="10">
        <v>4</v>
      </c>
      <c r="L82" s="10">
        <v>13.738</v>
      </c>
      <c r="M82" s="14">
        <f>(0.809^2)*K82</f>
        <v>2.6179240000000004</v>
      </c>
      <c r="N82" s="14">
        <f t="shared" si="18"/>
        <v>1.6180000000000001</v>
      </c>
      <c r="O82" s="10">
        <v>14.127000000000001</v>
      </c>
      <c r="P82" s="14">
        <f>(1.018^2)*K82</f>
        <v>4.1452960000000001</v>
      </c>
      <c r="Q82" s="14">
        <f t="shared" si="17"/>
        <v>2.036</v>
      </c>
      <c r="R82" s="14">
        <f t="shared" si="20"/>
        <v>1.0283156209055175</v>
      </c>
      <c r="S82" s="14"/>
      <c r="T82" s="14"/>
      <c r="U82" s="14">
        <f>P82/(L82^2)+M82*(O82^2)/(L82^4)</f>
        <v>3.6631581717775967E-2</v>
      </c>
      <c r="V82" s="14">
        <f t="shared" si="22"/>
        <v>0.18612358224428133</v>
      </c>
      <c r="W82" s="10">
        <v>73.5</v>
      </c>
      <c r="X82" s="10" t="s">
        <v>14</v>
      </c>
      <c r="Y82" s="10" t="s">
        <v>3</v>
      </c>
      <c r="Z82" s="10" t="s">
        <v>3</v>
      </c>
      <c r="AA82" s="10" t="s">
        <v>2</v>
      </c>
      <c r="AB82" s="10" t="s">
        <v>2394</v>
      </c>
      <c r="AC82" s="10"/>
      <c r="AD82" s="10"/>
      <c r="AE82" s="10"/>
      <c r="AF82" s="10"/>
    </row>
    <row r="83" spans="1:43" s="12" customFormat="1" x14ac:dyDescent="0.3">
      <c r="A83" s="10" t="s">
        <v>1301</v>
      </c>
      <c r="B83" s="10" t="s">
        <v>29</v>
      </c>
      <c r="C83" s="10" t="s">
        <v>1302</v>
      </c>
      <c r="D83" s="10" t="s">
        <v>1303</v>
      </c>
      <c r="E83" s="10" t="s">
        <v>1308</v>
      </c>
      <c r="F83" t="s">
        <v>2660</v>
      </c>
      <c r="H83" s="10" t="s">
        <v>1309</v>
      </c>
      <c r="I83" s="10" t="s">
        <v>1305</v>
      </c>
      <c r="J83" s="10" t="s">
        <v>1304</v>
      </c>
      <c r="K83" s="10">
        <v>4</v>
      </c>
      <c r="L83" s="10">
        <v>13.738</v>
      </c>
      <c r="M83" s="14">
        <f>(0.809^2)*K83</f>
        <v>2.6179240000000004</v>
      </c>
      <c r="N83" s="14">
        <f t="shared" si="18"/>
        <v>1.6180000000000001</v>
      </c>
      <c r="O83" s="10">
        <v>17.129000000000001</v>
      </c>
      <c r="P83" s="14">
        <f>(0.995^2)*K83</f>
        <v>3.9601000000000002</v>
      </c>
      <c r="Q83" s="14">
        <f t="shared" si="17"/>
        <v>1.99</v>
      </c>
      <c r="R83" s="14">
        <f t="shared" si="20"/>
        <v>1.2468336002329308</v>
      </c>
      <c r="S83" s="14"/>
      <c r="T83" s="14"/>
      <c r="U83" s="14">
        <f>P83/(L83^2)+M83*(O83^2)/(L83^4)</f>
        <v>4.2546476552702467E-2</v>
      </c>
      <c r="V83" s="14">
        <f t="shared" si="22"/>
        <v>0.16543344086932726</v>
      </c>
      <c r="W83" s="10">
        <v>73.5</v>
      </c>
      <c r="X83" s="10" t="s">
        <v>14</v>
      </c>
      <c r="Y83" s="10" t="s">
        <v>3</v>
      </c>
      <c r="Z83" s="10" t="s">
        <v>3</v>
      </c>
      <c r="AA83" s="10" t="s">
        <v>2</v>
      </c>
      <c r="AB83" s="10" t="s">
        <v>2394</v>
      </c>
      <c r="AC83" s="10"/>
      <c r="AD83" s="10"/>
      <c r="AE83" s="10"/>
      <c r="AF83" s="10"/>
    </row>
    <row r="84" spans="1:43" x14ac:dyDescent="0.3">
      <c r="A84" s="26" t="s">
        <v>2024</v>
      </c>
      <c r="B84" s="10" t="s">
        <v>2025</v>
      </c>
      <c r="C84" s="10" t="s">
        <v>2026</v>
      </c>
      <c r="D84" s="10"/>
      <c r="E84" s="10">
        <v>2006</v>
      </c>
      <c r="F84" t="s">
        <v>2660</v>
      </c>
      <c r="H84" s="10" t="s">
        <v>1217</v>
      </c>
      <c r="I84" s="10" t="s">
        <v>2029</v>
      </c>
      <c r="J84" s="10" t="s">
        <v>1142</v>
      </c>
      <c r="K84" s="10">
        <v>5</v>
      </c>
      <c r="L84" s="10">
        <f>31.2*200/1000</f>
        <v>6.24</v>
      </c>
      <c r="M84" s="10"/>
      <c r="N84" s="10"/>
      <c r="O84" s="10">
        <f>23.8*200/1000</f>
        <v>4.76</v>
      </c>
      <c r="P84" s="10"/>
      <c r="Q84" s="10"/>
      <c r="R84" s="14">
        <f t="shared" si="20"/>
        <v>0.76282051282051277</v>
      </c>
      <c r="S84" s="14"/>
      <c r="T84" s="14"/>
      <c r="U84" s="14"/>
      <c r="V84" s="14"/>
      <c r="W84" s="10"/>
      <c r="X84" s="10"/>
      <c r="Y84" s="10" t="s">
        <v>3</v>
      </c>
      <c r="Z84" s="10" t="s">
        <v>2</v>
      </c>
      <c r="AA84" s="10" t="s">
        <v>2</v>
      </c>
      <c r="AB84" s="10" t="s">
        <v>2030</v>
      </c>
      <c r="AC84" s="10"/>
      <c r="AD84" s="10"/>
      <c r="AE84" s="10"/>
      <c r="AF84" s="10"/>
    </row>
    <row r="85" spans="1:43" x14ac:dyDescent="0.3">
      <c r="A85" s="26" t="s">
        <v>2024</v>
      </c>
      <c r="B85" s="10" t="s">
        <v>2025</v>
      </c>
      <c r="C85" s="10" t="s">
        <v>2026</v>
      </c>
      <c r="D85" s="10"/>
      <c r="E85" s="10">
        <v>2007</v>
      </c>
      <c r="F85" t="s">
        <v>2660</v>
      </c>
      <c r="H85" s="10" t="s">
        <v>1217</v>
      </c>
      <c r="I85" s="10" t="s">
        <v>2029</v>
      </c>
      <c r="J85" s="10" t="s">
        <v>1142</v>
      </c>
      <c r="K85" s="10">
        <v>5</v>
      </c>
      <c r="L85" s="10">
        <f>36.6*200/1000</f>
        <v>7.32</v>
      </c>
      <c r="M85" s="10"/>
      <c r="N85" s="10"/>
      <c r="O85" s="10">
        <f>30.4*200/1000</f>
        <v>6.08</v>
      </c>
      <c r="P85" s="10"/>
      <c r="Q85" s="10"/>
      <c r="R85" s="14">
        <f t="shared" si="20"/>
        <v>0.83060109289617479</v>
      </c>
      <c r="S85" s="14"/>
      <c r="T85" s="14"/>
      <c r="U85" s="14"/>
      <c r="V85" s="14"/>
      <c r="W85" s="10"/>
      <c r="X85" s="10"/>
      <c r="Y85" s="10" t="s">
        <v>3</v>
      </c>
      <c r="Z85" s="10" t="s">
        <v>2</v>
      </c>
      <c r="AA85" s="10" t="s">
        <v>2</v>
      </c>
      <c r="AB85" s="10" t="s">
        <v>2030</v>
      </c>
      <c r="AC85" s="10"/>
      <c r="AD85" s="10"/>
      <c r="AE85" s="10"/>
      <c r="AF85" s="10"/>
    </row>
    <row r="86" spans="1:43" x14ac:dyDescent="0.3">
      <c r="A86" s="26" t="s">
        <v>2024</v>
      </c>
      <c r="B86" s="10" t="s">
        <v>2025</v>
      </c>
      <c r="C86" s="10" t="s">
        <v>2026</v>
      </c>
      <c r="D86" s="10"/>
      <c r="E86" s="10">
        <v>2008</v>
      </c>
      <c r="F86" t="s">
        <v>2660</v>
      </c>
      <c r="H86" s="10" t="s">
        <v>1217</v>
      </c>
      <c r="I86" s="10" t="s">
        <v>2029</v>
      </c>
      <c r="J86" s="10" t="s">
        <v>1142</v>
      </c>
      <c r="K86" s="10">
        <v>5</v>
      </c>
      <c r="L86" s="10">
        <f>38.7*200/1000</f>
        <v>7.7400000000000011</v>
      </c>
      <c r="M86" s="10"/>
      <c r="N86" s="10"/>
      <c r="O86" s="10">
        <f>31*200/1000</f>
        <v>6.2</v>
      </c>
      <c r="P86" s="10"/>
      <c r="Q86" s="10"/>
      <c r="R86" s="14">
        <f t="shared" si="20"/>
        <v>0.80103359173126609</v>
      </c>
      <c r="S86" s="14"/>
      <c r="T86" s="14"/>
      <c r="U86" s="14"/>
      <c r="V86" s="14"/>
      <c r="W86" s="10"/>
      <c r="X86" s="10"/>
      <c r="Y86" s="10" t="s">
        <v>3</v>
      </c>
      <c r="Z86" s="10" t="s">
        <v>2</v>
      </c>
      <c r="AA86" s="10" t="s">
        <v>2</v>
      </c>
      <c r="AB86" s="10" t="s">
        <v>2030</v>
      </c>
      <c r="AC86" s="10"/>
      <c r="AD86" s="10"/>
      <c r="AE86" s="10"/>
      <c r="AF86" s="10"/>
    </row>
    <row r="87" spans="1:43" x14ac:dyDescent="0.3">
      <c r="A87" s="26" t="s">
        <v>2024</v>
      </c>
      <c r="B87" s="10" t="s">
        <v>2025</v>
      </c>
      <c r="C87" s="10" t="s">
        <v>2026</v>
      </c>
      <c r="D87" s="10"/>
      <c r="E87" s="10">
        <v>2006</v>
      </c>
      <c r="F87" t="s">
        <v>2660</v>
      </c>
      <c r="H87" s="10" t="s">
        <v>2027</v>
      </c>
      <c r="I87" s="10" t="s">
        <v>2029</v>
      </c>
      <c r="J87" s="10" t="s">
        <v>1142</v>
      </c>
      <c r="K87" s="10">
        <v>5</v>
      </c>
      <c r="L87" s="10">
        <f>24.2*200/1000</f>
        <v>4.84</v>
      </c>
      <c r="M87" s="10"/>
      <c r="N87" s="10"/>
      <c r="O87" s="10">
        <f>23.8*200/1000</f>
        <v>4.76</v>
      </c>
      <c r="P87" s="10"/>
      <c r="Q87" s="10"/>
      <c r="R87" s="14">
        <f t="shared" si="20"/>
        <v>0.98347107438016523</v>
      </c>
      <c r="S87" s="14"/>
      <c r="T87" s="14"/>
      <c r="U87" s="14"/>
      <c r="V87" s="14"/>
      <c r="W87" s="10"/>
      <c r="X87" s="10"/>
      <c r="Y87" s="10" t="s">
        <v>3</v>
      </c>
      <c r="Z87" s="10" t="s">
        <v>2</v>
      </c>
      <c r="AA87" s="10" t="s">
        <v>2</v>
      </c>
      <c r="AB87" s="10" t="s">
        <v>2030</v>
      </c>
      <c r="AC87" s="10"/>
      <c r="AD87" s="10"/>
      <c r="AE87" s="10"/>
      <c r="AF87" s="10"/>
    </row>
    <row r="88" spans="1:43" x14ac:dyDescent="0.3">
      <c r="A88" s="26" t="s">
        <v>2024</v>
      </c>
      <c r="B88" s="10" t="s">
        <v>2025</v>
      </c>
      <c r="C88" s="10" t="s">
        <v>2026</v>
      </c>
      <c r="D88" s="10"/>
      <c r="E88" s="10">
        <v>2007</v>
      </c>
      <c r="F88" t="s">
        <v>2660</v>
      </c>
      <c r="H88" s="10" t="s">
        <v>2027</v>
      </c>
      <c r="I88" s="10" t="s">
        <v>2029</v>
      </c>
      <c r="J88" s="10" t="s">
        <v>1142</v>
      </c>
      <c r="K88" s="10">
        <v>5</v>
      </c>
      <c r="L88" s="10">
        <f>32.5*200/1000</f>
        <v>6.5</v>
      </c>
      <c r="M88" s="10"/>
      <c r="N88" s="10"/>
      <c r="O88" s="10">
        <f>30.4*200/1000</f>
        <v>6.08</v>
      </c>
      <c r="P88" s="10"/>
      <c r="Q88" s="10"/>
      <c r="R88" s="14">
        <f t="shared" si="20"/>
        <v>0.93538461538461537</v>
      </c>
      <c r="S88" s="14"/>
      <c r="T88" s="14"/>
      <c r="U88" s="14"/>
      <c r="V88" s="14"/>
      <c r="W88" s="10"/>
      <c r="X88" s="10"/>
      <c r="Y88" s="10" t="s">
        <v>3</v>
      </c>
      <c r="Z88" s="10" t="s">
        <v>2</v>
      </c>
      <c r="AA88" s="10" t="s">
        <v>2</v>
      </c>
      <c r="AB88" s="10" t="s">
        <v>2030</v>
      </c>
      <c r="AC88" s="10"/>
      <c r="AD88" s="10"/>
      <c r="AE88" s="10"/>
      <c r="AF88" s="10"/>
    </row>
    <row r="89" spans="1:43" x14ac:dyDescent="0.3">
      <c r="A89" s="26" t="s">
        <v>2024</v>
      </c>
      <c r="B89" s="10" t="s">
        <v>2025</v>
      </c>
      <c r="C89" s="10" t="s">
        <v>2026</v>
      </c>
      <c r="D89" s="10"/>
      <c r="E89" s="10">
        <v>2008</v>
      </c>
      <c r="F89" t="s">
        <v>2660</v>
      </c>
      <c r="H89" s="10" t="s">
        <v>2027</v>
      </c>
      <c r="I89" s="10" t="s">
        <v>2029</v>
      </c>
      <c r="J89" s="10" t="s">
        <v>1142</v>
      </c>
      <c r="K89" s="10">
        <v>5</v>
      </c>
      <c r="L89" s="10">
        <f>35.4*200/1000</f>
        <v>7.08</v>
      </c>
      <c r="M89" s="10"/>
      <c r="N89" s="10"/>
      <c r="O89" s="10">
        <f>31*200/1000</f>
        <v>6.2</v>
      </c>
      <c r="P89" s="10"/>
      <c r="Q89" s="10"/>
      <c r="R89" s="14">
        <f t="shared" si="20"/>
        <v>0.87570621468926557</v>
      </c>
      <c r="S89" s="14"/>
      <c r="T89" s="14"/>
      <c r="U89" s="14"/>
      <c r="V89" s="14"/>
      <c r="W89" s="10"/>
      <c r="X89" s="10"/>
      <c r="Y89" s="10" t="s">
        <v>3</v>
      </c>
      <c r="Z89" s="10" t="s">
        <v>2</v>
      </c>
      <c r="AA89" s="10" t="s">
        <v>2</v>
      </c>
      <c r="AB89" s="10" t="s">
        <v>2030</v>
      </c>
      <c r="AC89" s="10"/>
      <c r="AD89" s="10"/>
      <c r="AE89" s="10"/>
      <c r="AF89" s="10"/>
    </row>
    <row r="90" spans="1:43" x14ac:dyDescent="0.3">
      <c r="A90" s="26" t="s">
        <v>2024</v>
      </c>
      <c r="B90" s="10" t="s">
        <v>2025</v>
      </c>
      <c r="C90" s="10" t="s">
        <v>2026</v>
      </c>
      <c r="D90" s="10"/>
      <c r="E90" s="10">
        <v>2006</v>
      </c>
      <c r="F90" t="s">
        <v>2660</v>
      </c>
      <c r="H90" s="10" t="s">
        <v>2028</v>
      </c>
      <c r="I90" s="10" t="s">
        <v>2029</v>
      </c>
      <c r="J90" s="10" t="s">
        <v>1142</v>
      </c>
      <c r="K90" s="10">
        <v>5</v>
      </c>
      <c r="L90" s="10">
        <f>21.9*200/1000</f>
        <v>4.38</v>
      </c>
      <c r="M90" s="10"/>
      <c r="N90" s="10"/>
      <c r="O90" s="10">
        <f>23.8*200/1000</f>
        <v>4.76</v>
      </c>
      <c r="P90" s="10"/>
      <c r="Q90" s="10"/>
      <c r="R90" s="14">
        <f t="shared" si="20"/>
        <v>1.08675799086758</v>
      </c>
      <c r="S90" s="14"/>
      <c r="T90" s="14"/>
      <c r="U90" s="14"/>
      <c r="V90" s="14"/>
      <c r="W90" s="10"/>
      <c r="X90" s="10"/>
      <c r="Y90" s="10" t="s">
        <v>3</v>
      </c>
      <c r="Z90" s="10" t="s">
        <v>2</v>
      </c>
      <c r="AA90" s="10" t="s">
        <v>2</v>
      </c>
      <c r="AB90" s="10" t="s">
        <v>2030</v>
      </c>
      <c r="AC90" s="10"/>
      <c r="AD90" s="10"/>
      <c r="AE90" s="10"/>
      <c r="AF90" s="10"/>
    </row>
    <row r="91" spans="1:43" x14ac:dyDescent="0.3">
      <c r="A91" s="26" t="s">
        <v>2024</v>
      </c>
      <c r="B91" s="10" t="s">
        <v>2025</v>
      </c>
      <c r="C91" s="10" t="s">
        <v>2026</v>
      </c>
      <c r="D91" s="10"/>
      <c r="E91" s="10">
        <v>2007</v>
      </c>
      <c r="F91" t="s">
        <v>2660</v>
      </c>
      <c r="H91" s="10" t="s">
        <v>2028</v>
      </c>
      <c r="I91" s="10" t="s">
        <v>2029</v>
      </c>
      <c r="J91" s="10" t="s">
        <v>1142</v>
      </c>
      <c r="K91" s="10">
        <v>5</v>
      </c>
      <c r="L91" s="10">
        <f>30.8*200/1000</f>
        <v>6.16</v>
      </c>
      <c r="M91" s="10"/>
      <c r="N91" s="10"/>
      <c r="O91" s="10">
        <f>30.4*200/1000</f>
        <v>6.08</v>
      </c>
      <c r="P91" s="10"/>
      <c r="Q91" s="10"/>
      <c r="R91" s="14">
        <f t="shared" si="20"/>
        <v>0.98701298701298701</v>
      </c>
      <c r="S91" s="14"/>
      <c r="T91" s="14"/>
      <c r="U91" s="14"/>
      <c r="V91" s="14"/>
      <c r="W91" s="10"/>
      <c r="X91" s="10"/>
      <c r="Y91" s="10" t="s">
        <v>3</v>
      </c>
      <c r="Z91" s="10" t="s">
        <v>2</v>
      </c>
      <c r="AA91" s="10" t="s">
        <v>2</v>
      </c>
      <c r="AB91" s="10" t="s">
        <v>2030</v>
      </c>
      <c r="AC91" s="10"/>
      <c r="AD91" s="10"/>
      <c r="AE91" s="10"/>
      <c r="AF91" s="10"/>
    </row>
    <row r="92" spans="1:43" x14ac:dyDescent="0.3">
      <c r="A92" s="26" t="s">
        <v>2024</v>
      </c>
      <c r="B92" s="10" t="s">
        <v>2025</v>
      </c>
      <c r="C92" s="10" t="s">
        <v>2026</v>
      </c>
      <c r="D92" s="10"/>
      <c r="E92" s="10">
        <v>2008</v>
      </c>
      <c r="F92" t="s">
        <v>2660</v>
      </c>
      <c r="H92" s="10" t="s">
        <v>2028</v>
      </c>
      <c r="I92" s="10" t="s">
        <v>2029</v>
      </c>
      <c r="J92" s="10" t="s">
        <v>1142</v>
      </c>
      <c r="K92" s="10">
        <v>5</v>
      </c>
      <c r="L92" s="10">
        <f>33.7*200/1000</f>
        <v>6.7400000000000011</v>
      </c>
      <c r="M92" s="10"/>
      <c r="N92" s="10"/>
      <c r="O92" s="10">
        <f>31*200/1000</f>
        <v>6.2</v>
      </c>
      <c r="P92" s="10"/>
      <c r="Q92" s="10"/>
      <c r="R92" s="14">
        <f t="shared" si="20"/>
        <v>0.91988130563798209</v>
      </c>
      <c r="S92" s="14"/>
      <c r="T92" s="14"/>
      <c r="U92" s="14"/>
      <c r="V92" s="14"/>
      <c r="W92" s="10"/>
      <c r="X92" s="10"/>
      <c r="Y92" s="10" t="s">
        <v>3</v>
      </c>
      <c r="Z92" s="10" t="s">
        <v>2</v>
      </c>
      <c r="AA92" s="10" t="s">
        <v>2</v>
      </c>
      <c r="AB92" s="10" t="s">
        <v>2030</v>
      </c>
      <c r="AC92" s="10"/>
      <c r="AD92" s="10"/>
      <c r="AE92" s="10"/>
      <c r="AF92" s="10"/>
    </row>
    <row r="93" spans="1:43" x14ac:dyDescent="0.3">
      <c r="A93" s="26" t="s">
        <v>2364</v>
      </c>
      <c r="B93" s="10" t="s">
        <v>81</v>
      </c>
      <c r="C93" s="10" t="s">
        <v>2374</v>
      </c>
      <c r="D93" s="10" t="s">
        <v>2375</v>
      </c>
      <c r="E93" s="10">
        <v>2021</v>
      </c>
      <c r="F93" t="s">
        <v>2660</v>
      </c>
      <c r="H93" s="10" t="s">
        <v>316</v>
      </c>
      <c r="I93" s="10" t="s">
        <v>2379</v>
      </c>
      <c r="J93" s="51" t="s">
        <v>2376</v>
      </c>
      <c r="K93" s="10">
        <v>3</v>
      </c>
      <c r="L93" s="14">
        <v>6.5954600000000001</v>
      </c>
      <c r="M93" s="14">
        <f>0.18181^2*K93</f>
        <v>9.9164628300000002E-2</v>
      </c>
      <c r="N93" s="52">
        <f>SQRT(M93)</f>
        <v>0.3149041573240976</v>
      </c>
      <c r="O93" s="14">
        <v>4.3204500000000001</v>
      </c>
      <c r="P93" s="14">
        <f>0.08141^2*K93</f>
        <v>1.9882764299999998E-2</v>
      </c>
      <c r="Q93" s="10">
        <f>SQRT(P93)</f>
        <v>0.14100625624418228</v>
      </c>
      <c r="R93" s="14">
        <f t="shared" si="20"/>
        <v>0.65506424115982809</v>
      </c>
      <c r="S93" s="14"/>
      <c r="T93" s="14"/>
      <c r="U93" s="44">
        <f>P93/(L93^2)+M93*(O93^2)/(L93^4)</f>
        <v>1.4352892352111298E-3</v>
      </c>
      <c r="V93" s="14">
        <f t="shared" si="22"/>
        <v>5.7834344968161505E-2</v>
      </c>
      <c r="W93" s="10"/>
      <c r="X93" s="10" t="s">
        <v>1</v>
      </c>
      <c r="Y93" s="10"/>
      <c r="Z93" s="10" t="s">
        <v>3</v>
      </c>
      <c r="AA93" s="10" t="s">
        <v>2</v>
      </c>
      <c r="AB93" s="10" t="s">
        <v>2380</v>
      </c>
      <c r="AC93" s="10"/>
      <c r="AD93" s="10"/>
      <c r="AE93" s="10"/>
      <c r="AF93" s="10"/>
      <c r="AQ93" s="14"/>
    </row>
    <row r="94" spans="1:43" x14ac:dyDescent="0.3">
      <c r="A94" s="6"/>
      <c r="B94" s="10"/>
      <c r="C94" s="10"/>
      <c r="E94" s="10"/>
      <c r="F94" s="10"/>
      <c r="G94" s="10"/>
      <c r="J94" s="10"/>
      <c r="K94" s="10"/>
    </row>
    <row r="95" spans="1:43" x14ac:dyDescent="0.3">
      <c r="A95" s="6"/>
      <c r="B95" s="10"/>
      <c r="C95" s="10"/>
      <c r="E95" s="10"/>
      <c r="F95" s="10"/>
      <c r="G95" s="10"/>
      <c r="J95" s="10"/>
      <c r="K95" s="10"/>
    </row>
    <row r="96" spans="1:43" x14ac:dyDescent="0.3">
      <c r="A96" s="6"/>
      <c r="B96" s="10"/>
      <c r="C96" s="10"/>
      <c r="E96" s="10"/>
      <c r="F96" s="10"/>
      <c r="G96" s="10"/>
      <c r="J96" s="10"/>
      <c r="K96" s="10"/>
    </row>
    <row r="97" spans="1:11" x14ac:dyDescent="0.3">
      <c r="A97" s="6"/>
      <c r="B97" s="10"/>
      <c r="C97" s="10"/>
      <c r="E97" s="10"/>
      <c r="F97" s="10"/>
      <c r="G97" s="10"/>
      <c r="J97" s="10"/>
      <c r="K97" s="10"/>
    </row>
    <row r="98" spans="1:11" x14ac:dyDescent="0.3">
      <c r="A98" s="6"/>
      <c r="B98" s="10"/>
      <c r="C98" s="10"/>
      <c r="E98" s="10"/>
      <c r="F98" s="10"/>
      <c r="G98" s="10"/>
      <c r="J98" s="10"/>
      <c r="K98" s="10"/>
    </row>
    <row r="99" spans="1:11" x14ac:dyDescent="0.3">
      <c r="A99" s="6"/>
      <c r="B99" s="10"/>
      <c r="C99" s="10"/>
      <c r="E99" s="10"/>
      <c r="F99" s="10"/>
      <c r="G99" s="10"/>
      <c r="J99" s="10"/>
      <c r="K99" s="10"/>
    </row>
    <row r="100" spans="1:11" x14ac:dyDescent="0.3">
      <c r="A100" s="6"/>
      <c r="B100" s="10"/>
      <c r="C100" s="10"/>
      <c r="E100" s="10"/>
      <c r="F100" s="10"/>
      <c r="G100" s="10"/>
      <c r="J100" s="10"/>
      <c r="K100" s="10"/>
    </row>
    <row r="101" spans="1:11" x14ac:dyDescent="0.3">
      <c r="A101" s="6"/>
      <c r="B101" s="10"/>
      <c r="C101" s="10"/>
      <c r="E101" s="10"/>
      <c r="F101" s="10"/>
      <c r="G101" s="10"/>
      <c r="J101" s="10"/>
      <c r="K101" s="10"/>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FB76B-4ED9-43E5-8D3A-A2C1F7DD377E}">
  <dimension ref="A1:AN342"/>
  <sheetViews>
    <sheetView zoomScale="90" zoomScaleNormal="90" workbookViewId="0">
      <pane ySplit="1" topLeftCell="A302" activePane="bottomLeft" state="frozen"/>
      <selection pane="bottomLeft" activeCell="C316" sqref="C316"/>
    </sheetView>
  </sheetViews>
  <sheetFormatPr defaultRowHeight="14.4" x14ac:dyDescent="0.3"/>
  <cols>
    <col min="1" max="1" width="15.88671875" bestFit="1" customWidth="1"/>
    <col min="4" max="4" width="14.88671875" bestFit="1" customWidth="1"/>
    <col min="5" max="5" width="10.5546875" bestFit="1" customWidth="1"/>
    <col min="6" max="6" width="14.88671875" customWidth="1"/>
    <col min="7" max="7" width="15.6640625" bestFit="1" customWidth="1"/>
    <col min="8" max="8" width="9.5546875" bestFit="1" customWidth="1"/>
    <col min="9" max="9" width="24.109375" customWidth="1"/>
    <col min="10" max="10" width="10.5546875" bestFit="1" customWidth="1"/>
    <col min="11" max="11" width="15.5546875" bestFit="1" customWidth="1"/>
    <col min="12" max="12" width="9.109375" bestFit="1" customWidth="1"/>
    <col min="13" max="14" width="12.33203125" bestFit="1" customWidth="1"/>
    <col min="15" max="15" width="28.33203125" bestFit="1" customWidth="1"/>
    <col min="19" max="19" width="10.109375" customWidth="1"/>
    <col min="28" max="28" width="10.44140625" bestFit="1" customWidth="1"/>
    <col min="29" max="33" width="10.44140625" customWidth="1"/>
    <col min="35" max="35" width="9.5546875" bestFit="1" customWidth="1"/>
    <col min="40" max="40" width="224.44140625" bestFit="1" customWidth="1"/>
  </cols>
  <sheetData>
    <row r="1" spans="1:40" x14ac:dyDescent="0.3">
      <c r="A1" s="77" t="s">
        <v>9</v>
      </c>
      <c r="B1" s="77" t="s">
        <v>26</v>
      </c>
      <c r="C1" s="77" t="s">
        <v>25</v>
      </c>
      <c r="D1" s="77" t="s">
        <v>27</v>
      </c>
      <c r="E1" s="77" t="s">
        <v>832</v>
      </c>
      <c r="F1" s="77" t="s">
        <v>2659</v>
      </c>
      <c r="G1" s="77" t="s">
        <v>15</v>
      </c>
      <c r="H1" s="77" t="s">
        <v>16</v>
      </c>
      <c r="I1" s="77" t="s">
        <v>2629</v>
      </c>
      <c r="J1" s="77" t="s">
        <v>10</v>
      </c>
      <c r="K1" s="77" t="s">
        <v>97</v>
      </c>
      <c r="L1" s="77" t="s">
        <v>1671</v>
      </c>
      <c r="M1" s="77" t="s">
        <v>1672</v>
      </c>
      <c r="N1" s="77" t="s">
        <v>2395</v>
      </c>
      <c r="O1" s="77" t="s">
        <v>2631</v>
      </c>
      <c r="P1" s="77" t="s">
        <v>2686</v>
      </c>
      <c r="Q1" s="77" t="s">
        <v>44</v>
      </c>
      <c r="R1" s="77" t="s">
        <v>2687</v>
      </c>
      <c r="S1" s="77" t="s">
        <v>2689</v>
      </c>
      <c r="T1" s="77" t="s">
        <v>2708</v>
      </c>
      <c r="U1" s="77" t="s">
        <v>2691</v>
      </c>
      <c r="V1" s="77" t="s">
        <v>2709</v>
      </c>
      <c r="W1" s="77" t="s">
        <v>2692</v>
      </c>
      <c r="X1" s="77" t="s">
        <v>2710</v>
      </c>
      <c r="Y1" s="77" t="s">
        <v>19</v>
      </c>
      <c r="Z1" s="77" t="s">
        <v>20</v>
      </c>
      <c r="AA1" s="77" t="s">
        <v>21</v>
      </c>
      <c r="AB1" s="77" t="s">
        <v>727</v>
      </c>
      <c r="AC1" s="77" t="s">
        <v>728</v>
      </c>
      <c r="AD1" s="77" t="s">
        <v>1999</v>
      </c>
      <c r="AE1" s="77" t="s">
        <v>2000</v>
      </c>
      <c r="AF1" s="77" t="s">
        <v>2002</v>
      </c>
      <c r="AG1" s="77" t="s">
        <v>2004</v>
      </c>
      <c r="AH1" s="77" t="s">
        <v>2033</v>
      </c>
      <c r="AI1" s="77" t="s">
        <v>2032</v>
      </c>
      <c r="AJ1" s="77" t="s">
        <v>2034</v>
      </c>
      <c r="AK1" s="77" t="s">
        <v>12</v>
      </c>
      <c r="AL1" s="77" t="s">
        <v>1991</v>
      </c>
      <c r="AM1" s="77" t="s">
        <v>2414</v>
      </c>
      <c r="AN1" s="77" t="s">
        <v>2392</v>
      </c>
    </row>
    <row r="2" spans="1:40" s="12" customFormat="1" x14ac:dyDescent="0.3">
      <c r="A2" s="10" t="s">
        <v>170</v>
      </c>
      <c r="B2" s="10" t="s">
        <v>131</v>
      </c>
      <c r="C2" s="10" t="s">
        <v>171</v>
      </c>
      <c r="D2" s="16" t="s">
        <v>172</v>
      </c>
      <c r="E2" s="16" t="s">
        <v>877</v>
      </c>
      <c r="F2" s="16" t="s">
        <v>2655</v>
      </c>
      <c r="G2" s="16" t="s">
        <v>174</v>
      </c>
      <c r="H2" s="16" t="s">
        <v>17</v>
      </c>
      <c r="I2" s="10" t="s">
        <v>834</v>
      </c>
      <c r="J2" s="10" t="s">
        <v>47</v>
      </c>
      <c r="K2" s="10" t="s">
        <v>173</v>
      </c>
      <c r="L2" s="10">
        <v>3</v>
      </c>
      <c r="M2" s="10">
        <v>3</v>
      </c>
      <c r="N2" s="10"/>
      <c r="O2" s="10">
        <v>2180</v>
      </c>
      <c r="P2" s="10"/>
      <c r="Q2" s="10"/>
      <c r="R2" s="10"/>
      <c r="S2" s="10">
        <v>2410</v>
      </c>
      <c r="T2" s="10"/>
      <c r="U2" s="10">
        <v>420</v>
      </c>
      <c r="V2" s="10"/>
      <c r="W2" s="10"/>
      <c r="X2" s="10"/>
      <c r="Y2" s="14">
        <f t="shared" ref="Y2:Y44" si="0">S2/O2</f>
        <v>1.1055045871559632</v>
      </c>
      <c r="Z2" s="10"/>
      <c r="AA2" s="14">
        <f t="shared" ref="AA2:AA12" si="1">Y2</f>
        <v>1.1055045871559632</v>
      </c>
      <c r="AB2" s="10"/>
      <c r="AC2" s="10"/>
      <c r="AD2" s="10"/>
      <c r="AE2" s="10"/>
      <c r="AF2" s="10"/>
      <c r="AG2" s="10"/>
      <c r="AH2" s="10">
        <v>0</v>
      </c>
      <c r="AI2" s="26"/>
      <c r="AJ2" s="10" t="s">
        <v>3</v>
      </c>
      <c r="AK2" s="10" t="s">
        <v>2</v>
      </c>
      <c r="AL2" s="10" t="s">
        <v>2</v>
      </c>
      <c r="AM2" s="10" t="s">
        <v>2023</v>
      </c>
      <c r="AN2" s="10" t="s">
        <v>2564</v>
      </c>
    </row>
    <row r="3" spans="1:40" s="12" customFormat="1" x14ac:dyDescent="0.3">
      <c r="A3" s="10" t="s">
        <v>170</v>
      </c>
      <c r="B3" s="10" t="s">
        <v>131</v>
      </c>
      <c r="C3" s="10" t="s">
        <v>171</v>
      </c>
      <c r="D3" s="16" t="s">
        <v>172</v>
      </c>
      <c r="E3" s="16" t="s">
        <v>878</v>
      </c>
      <c r="F3" s="16" t="s">
        <v>2655</v>
      </c>
      <c r="G3" s="16" t="s">
        <v>174</v>
      </c>
      <c r="H3" s="16" t="s">
        <v>17</v>
      </c>
      <c r="I3" s="10" t="s">
        <v>834</v>
      </c>
      <c r="J3" s="10" t="s">
        <v>47</v>
      </c>
      <c r="K3" s="10" t="s">
        <v>173</v>
      </c>
      <c r="L3" s="10">
        <v>3</v>
      </c>
      <c r="M3" s="10">
        <v>3</v>
      </c>
      <c r="N3" s="10"/>
      <c r="O3" s="10">
        <v>1410</v>
      </c>
      <c r="P3" s="10"/>
      <c r="Q3" s="10"/>
      <c r="R3" s="10"/>
      <c r="S3" s="10">
        <v>1910</v>
      </c>
      <c r="T3" s="10"/>
      <c r="U3" s="10">
        <v>1000</v>
      </c>
      <c r="V3" s="10"/>
      <c r="W3" s="10"/>
      <c r="X3" s="10"/>
      <c r="Y3" s="14">
        <f t="shared" si="0"/>
        <v>1.3546099290780143</v>
      </c>
      <c r="Z3" s="10"/>
      <c r="AA3" s="14">
        <f t="shared" si="1"/>
        <v>1.3546099290780143</v>
      </c>
      <c r="AB3" s="10"/>
      <c r="AC3" s="10"/>
      <c r="AD3" s="10"/>
      <c r="AE3" s="10"/>
      <c r="AF3" s="10"/>
      <c r="AG3" s="10"/>
      <c r="AH3" s="10">
        <v>0</v>
      </c>
      <c r="AI3" s="26"/>
      <c r="AJ3" s="10" t="s">
        <v>3</v>
      </c>
      <c r="AK3" s="10" t="s">
        <v>2</v>
      </c>
      <c r="AL3" s="10" t="s">
        <v>2</v>
      </c>
      <c r="AM3" s="10" t="s">
        <v>2023</v>
      </c>
      <c r="AN3" s="10" t="s">
        <v>2564</v>
      </c>
    </row>
    <row r="4" spans="1:40" s="12" customFormat="1" x14ac:dyDescent="0.3">
      <c r="A4" s="10" t="s">
        <v>170</v>
      </c>
      <c r="B4" s="10" t="s">
        <v>131</v>
      </c>
      <c r="C4" s="10" t="s">
        <v>171</v>
      </c>
      <c r="D4" s="16" t="s">
        <v>172</v>
      </c>
      <c r="E4" s="16" t="s">
        <v>879</v>
      </c>
      <c r="F4" s="16" t="s">
        <v>2655</v>
      </c>
      <c r="G4" s="16" t="s">
        <v>174</v>
      </c>
      <c r="H4" s="16" t="s">
        <v>17</v>
      </c>
      <c r="I4" s="10" t="s">
        <v>834</v>
      </c>
      <c r="J4" s="10" t="s">
        <v>47</v>
      </c>
      <c r="K4" s="10" t="s">
        <v>173</v>
      </c>
      <c r="L4" s="10">
        <v>3</v>
      </c>
      <c r="M4" s="10">
        <v>3</v>
      </c>
      <c r="N4" s="10"/>
      <c r="O4" s="10">
        <v>2910</v>
      </c>
      <c r="P4" s="10"/>
      <c r="Q4" s="10"/>
      <c r="R4" s="10"/>
      <c r="S4" s="10">
        <v>2190</v>
      </c>
      <c r="T4" s="10"/>
      <c r="U4" s="10"/>
      <c r="V4" s="10"/>
      <c r="W4" s="10"/>
      <c r="X4" s="10"/>
      <c r="Y4" s="14">
        <f t="shared" si="0"/>
        <v>0.75257731958762886</v>
      </c>
      <c r="Z4" s="10"/>
      <c r="AA4" s="14">
        <f t="shared" ref="AA4" si="2">Y4</f>
        <v>0.75257731958762886</v>
      </c>
      <c r="AB4" s="10"/>
      <c r="AC4" s="10"/>
      <c r="AD4" s="10"/>
      <c r="AE4" s="10"/>
      <c r="AF4" s="10"/>
      <c r="AG4" s="10"/>
      <c r="AH4" s="10">
        <v>0</v>
      </c>
      <c r="AI4" s="26"/>
      <c r="AJ4" s="10" t="s">
        <v>3</v>
      </c>
      <c r="AK4" s="10" t="s">
        <v>2</v>
      </c>
      <c r="AL4" s="10" t="s">
        <v>2</v>
      </c>
      <c r="AM4" s="10" t="s">
        <v>2023</v>
      </c>
      <c r="AN4" s="10" t="s">
        <v>2564</v>
      </c>
    </row>
    <row r="5" spans="1:40" s="12" customFormat="1" x14ac:dyDescent="0.3">
      <c r="A5" s="10" t="s">
        <v>170</v>
      </c>
      <c r="B5" s="10" t="s">
        <v>131</v>
      </c>
      <c r="C5" s="10" t="s">
        <v>171</v>
      </c>
      <c r="D5" s="16" t="s">
        <v>172</v>
      </c>
      <c r="E5" s="16" t="s">
        <v>880</v>
      </c>
      <c r="F5" s="16" t="s">
        <v>2655</v>
      </c>
      <c r="G5" s="16" t="s">
        <v>174</v>
      </c>
      <c r="H5" s="16" t="s">
        <v>17</v>
      </c>
      <c r="I5" s="10" t="s">
        <v>834</v>
      </c>
      <c r="J5" s="10" t="s">
        <v>47</v>
      </c>
      <c r="K5" s="10" t="s">
        <v>173</v>
      </c>
      <c r="L5" s="10">
        <v>3</v>
      </c>
      <c r="M5" s="10">
        <v>3</v>
      </c>
      <c r="N5" s="10"/>
      <c r="O5" s="10">
        <v>2100</v>
      </c>
      <c r="P5" s="10"/>
      <c r="Q5" s="10"/>
      <c r="R5" s="10"/>
      <c r="S5" s="10">
        <v>2200</v>
      </c>
      <c r="T5" s="10"/>
      <c r="U5" s="10">
        <v>690</v>
      </c>
      <c r="V5" s="10"/>
      <c r="W5" s="10"/>
      <c r="X5" s="10"/>
      <c r="Y5" s="14">
        <f t="shared" si="0"/>
        <v>1.0476190476190477</v>
      </c>
      <c r="Z5" s="10"/>
      <c r="AA5" s="14">
        <f t="shared" si="1"/>
        <v>1.0476190476190477</v>
      </c>
      <c r="AB5" s="10"/>
      <c r="AC5" s="10"/>
      <c r="AD5" s="10"/>
      <c r="AE5" s="10"/>
      <c r="AF5" s="10"/>
      <c r="AG5" s="10"/>
      <c r="AH5" s="10">
        <v>0</v>
      </c>
      <c r="AI5" s="26"/>
      <c r="AJ5" s="10" t="s">
        <v>3</v>
      </c>
      <c r="AK5" s="10" t="s">
        <v>2</v>
      </c>
      <c r="AL5" s="10" t="s">
        <v>2</v>
      </c>
      <c r="AM5" s="10" t="s">
        <v>2023</v>
      </c>
      <c r="AN5" s="10" t="s">
        <v>2564</v>
      </c>
    </row>
    <row r="6" spans="1:40" s="12" customFormat="1" x14ac:dyDescent="0.3">
      <c r="A6" s="10" t="s">
        <v>170</v>
      </c>
      <c r="B6" s="10" t="s">
        <v>131</v>
      </c>
      <c r="C6" s="10" t="s">
        <v>171</v>
      </c>
      <c r="D6" s="16" t="s">
        <v>172</v>
      </c>
      <c r="E6" s="16" t="s">
        <v>881</v>
      </c>
      <c r="F6" s="16" t="s">
        <v>2655</v>
      </c>
      <c r="G6" s="16" t="s">
        <v>174</v>
      </c>
      <c r="H6" s="16" t="s">
        <v>17</v>
      </c>
      <c r="I6" s="10" t="s">
        <v>834</v>
      </c>
      <c r="J6" s="10" t="s">
        <v>47</v>
      </c>
      <c r="K6" s="10" t="s">
        <v>173</v>
      </c>
      <c r="L6" s="10">
        <v>3</v>
      </c>
      <c r="M6" s="10">
        <v>3</v>
      </c>
      <c r="N6" s="10"/>
      <c r="O6" s="10">
        <v>2800</v>
      </c>
      <c r="P6" s="10"/>
      <c r="Q6" s="10"/>
      <c r="R6" s="10"/>
      <c r="S6" s="10">
        <v>4450</v>
      </c>
      <c r="T6" s="10"/>
      <c r="U6" s="10">
        <v>230</v>
      </c>
      <c r="V6" s="10"/>
      <c r="W6" s="10"/>
      <c r="X6" s="10"/>
      <c r="Y6" s="14">
        <f t="shared" si="0"/>
        <v>1.5892857142857142</v>
      </c>
      <c r="Z6" s="10"/>
      <c r="AA6" s="14">
        <f t="shared" si="1"/>
        <v>1.5892857142857142</v>
      </c>
      <c r="AB6" s="10"/>
      <c r="AC6" s="10"/>
      <c r="AD6" s="10"/>
      <c r="AE6" s="10"/>
      <c r="AF6" s="10"/>
      <c r="AG6" s="10"/>
      <c r="AH6" s="10">
        <v>0</v>
      </c>
      <c r="AI6" s="26"/>
      <c r="AJ6" s="10" t="s">
        <v>3</v>
      </c>
      <c r="AK6" s="10" t="s">
        <v>2</v>
      </c>
      <c r="AL6" s="10" t="s">
        <v>2</v>
      </c>
      <c r="AM6" s="10" t="s">
        <v>2023</v>
      </c>
      <c r="AN6" s="10" t="s">
        <v>2564</v>
      </c>
    </row>
    <row r="7" spans="1:40" s="12" customFormat="1" x14ac:dyDescent="0.3">
      <c r="A7" s="10" t="s">
        <v>170</v>
      </c>
      <c r="B7" s="10" t="s">
        <v>131</v>
      </c>
      <c r="C7" s="10" t="s">
        <v>171</v>
      </c>
      <c r="D7" s="16" t="s">
        <v>172</v>
      </c>
      <c r="E7" s="16" t="s">
        <v>877</v>
      </c>
      <c r="F7" s="16" t="s">
        <v>2655</v>
      </c>
      <c r="G7" s="16" t="s">
        <v>174</v>
      </c>
      <c r="H7" s="16" t="s">
        <v>17</v>
      </c>
      <c r="I7" s="10" t="s">
        <v>833</v>
      </c>
      <c r="J7" s="10" t="s">
        <v>47</v>
      </c>
      <c r="K7" s="10" t="s">
        <v>173</v>
      </c>
      <c r="L7" s="10">
        <v>3</v>
      </c>
      <c r="M7" s="10">
        <v>3</v>
      </c>
      <c r="N7" s="10"/>
      <c r="O7" s="10">
        <v>3020</v>
      </c>
      <c r="P7" s="10"/>
      <c r="Q7" s="10"/>
      <c r="R7" s="10"/>
      <c r="S7" s="10">
        <v>3500</v>
      </c>
      <c r="T7" s="10"/>
      <c r="U7" s="10">
        <v>1300</v>
      </c>
      <c r="V7" s="10"/>
      <c r="W7" s="10"/>
      <c r="X7" s="10"/>
      <c r="Y7" s="14">
        <f t="shared" si="0"/>
        <v>1.1589403973509933</v>
      </c>
      <c r="Z7" s="10"/>
      <c r="AA7" s="14">
        <f t="shared" si="1"/>
        <v>1.1589403973509933</v>
      </c>
      <c r="AB7" s="10"/>
      <c r="AC7" s="10"/>
      <c r="AD7" s="10"/>
      <c r="AE7" s="10"/>
      <c r="AF7" s="10"/>
      <c r="AG7" s="10"/>
      <c r="AH7" s="10">
        <v>0</v>
      </c>
      <c r="AI7" s="26"/>
      <c r="AJ7" s="10" t="s">
        <v>3</v>
      </c>
      <c r="AK7" s="10" t="s">
        <v>2</v>
      </c>
      <c r="AL7" s="10" t="s">
        <v>2</v>
      </c>
      <c r="AM7" s="10" t="s">
        <v>2023</v>
      </c>
      <c r="AN7" s="10" t="s">
        <v>2564</v>
      </c>
    </row>
    <row r="8" spans="1:40" s="12" customFormat="1" x14ac:dyDescent="0.3">
      <c r="A8" s="10" t="s">
        <v>170</v>
      </c>
      <c r="B8" s="10" t="s">
        <v>131</v>
      </c>
      <c r="C8" s="10" t="s">
        <v>171</v>
      </c>
      <c r="D8" s="16" t="s">
        <v>172</v>
      </c>
      <c r="E8" s="16" t="s">
        <v>878</v>
      </c>
      <c r="F8" s="16" t="s">
        <v>2655</v>
      </c>
      <c r="G8" s="16" t="s">
        <v>174</v>
      </c>
      <c r="H8" s="16" t="s">
        <v>17</v>
      </c>
      <c r="I8" s="10" t="s">
        <v>833</v>
      </c>
      <c r="J8" s="10" t="s">
        <v>47</v>
      </c>
      <c r="K8" s="10" t="s">
        <v>173</v>
      </c>
      <c r="L8" s="10">
        <v>3</v>
      </c>
      <c r="M8" s="10">
        <v>3</v>
      </c>
      <c r="N8" s="10"/>
      <c r="O8" s="10">
        <v>2950</v>
      </c>
      <c r="P8" s="10"/>
      <c r="Q8" s="10"/>
      <c r="R8" s="10"/>
      <c r="S8" s="10">
        <v>3010</v>
      </c>
      <c r="T8" s="10"/>
      <c r="U8" s="10">
        <v>880</v>
      </c>
      <c r="V8" s="10"/>
      <c r="W8" s="10"/>
      <c r="X8" s="10"/>
      <c r="Y8" s="14">
        <f t="shared" si="0"/>
        <v>1.0203389830508474</v>
      </c>
      <c r="Z8" s="10"/>
      <c r="AA8" s="14">
        <f t="shared" si="1"/>
        <v>1.0203389830508474</v>
      </c>
      <c r="AB8" s="10"/>
      <c r="AC8" s="10"/>
      <c r="AD8" s="10"/>
      <c r="AE8" s="10"/>
      <c r="AF8" s="10"/>
      <c r="AG8" s="10"/>
      <c r="AH8" s="10">
        <v>0</v>
      </c>
      <c r="AI8" s="26"/>
      <c r="AJ8" s="10" t="s">
        <v>3</v>
      </c>
      <c r="AK8" s="10" t="s">
        <v>2</v>
      </c>
      <c r="AL8" s="10" t="s">
        <v>2</v>
      </c>
      <c r="AM8" s="10" t="s">
        <v>2023</v>
      </c>
      <c r="AN8" s="10" t="s">
        <v>2564</v>
      </c>
    </row>
    <row r="9" spans="1:40" s="12" customFormat="1" x14ac:dyDescent="0.3">
      <c r="A9" s="10" t="s">
        <v>170</v>
      </c>
      <c r="B9" s="10" t="s">
        <v>131</v>
      </c>
      <c r="C9" s="10" t="s">
        <v>171</v>
      </c>
      <c r="D9" s="16" t="s">
        <v>172</v>
      </c>
      <c r="E9" s="16" t="s">
        <v>879</v>
      </c>
      <c r="F9" s="16" t="s">
        <v>2655</v>
      </c>
      <c r="G9" s="16" t="s">
        <v>174</v>
      </c>
      <c r="H9" s="16" t="s">
        <v>17</v>
      </c>
      <c r="I9" s="10" t="s">
        <v>833</v>
      </c>
      <c r="J9" s="10" t="s">
        <v>47</v>
      </c>
      <c r="K9" s="10" t="s">
        <v>173</v>
      </c>
      <c r="L9" s="10">
        <v>3</v>
      </c>
      <c r="M9" s="10">
        <v>3</v>
      </c>
      <c r="N9" s="10"/>
      <c r="O9" s="10">
        <v>3190</v>
      </c>
      <c r="P9" s="10"/>
      <c r="Q9" s="10"/>
      <c r="R9" s="10"/>
      <c r="S9" s="10">
        <v>3280</v>
      </c>
      <c r="T9" s="10"/>
      <c r="U9" s="10">
        <v>830</v>
      </c>
      <c r="V9" s="10"/>
      <c r="W9" s="10"/>
      <c r="X9" s="10"/>
      <c r="Y9" s="14">
        <f t="shared" si="0"/>
        <v>1.0282131661442007</v>
      </c>
      <c r="Z9" s="10"/>
      <c r="AA9" s="14">
        <f t="shared" si="1"/>
        <v>1.0282131661442007</v>
      </c>
      <c r="AB9" s="10"/>
      <c r="AC9" s="10"/>
      <c r="AD9" s="10"/>
      <c r="AE9" s="10"/>
      <c r="AF9" s="10"/>
      <c r="AG9" s="10"/>
      <c r="AH9" s="10">
        <v>0</v>
      </c>
      <c r="AI9" s="26"/>
      <c r="AJ9" s="10" t="s">
        <v>3</v>
      </c>
      <c r="AK9" s="10" t="s">
        <v>2</v>
      </c>
      <c r="AL9" s="10" t="s">
        <v>2</v>
      </c>
      <c r="AM9" s="10" t="s">
        <v>2023</v>
      </c>
      <c r="AN9" s="10" t="s">
        <v>2564</v>
      </c>
    </row>
    <row r="10" spans="1:40" s="12" customFormat="1" x14ac:dyDescent="0.3">
      <c r="A10" s="10" t="s">
        <v>170</v>
      </c>
      <c r="B10" s="10" t="s">
        <v>131</v>
      </c>
      <c r="C10" s="10" t="s">
        <v>171</v>
      </c>
      <c r="D10" s="16" t="s">
        <v>172</v>
      </c>
      <c r="E10" s="16" t="s">
        <v>882</v>
      </c>
      <c r="F10" s="16" t="s">
        <v>2655</v>
      </c>
      <c r="G10" s="16" t="s">
        <v>174</v>
      </c>
      <c r="H10" s="16" t="s">
        <v>17</v>
      </c>
      <c r="I10" s="10" t="s">
        <v>833</v>
      </c>
      <c r="J10" s="10" t="s">
        <v>47</v>
      </c>
      <c r="K10" s="10" t="s">
        <v>173</v>
      </c>
      <c r="L10" s="10">
        <v>3</v>
      </c>
      <c r="M10" s="10">
        <v>3</v>
      </c>
      <c r="N10" s="10"/>
      <c r="O10" s="10">
        <v>3400</v>
      </c>
      <c r="P10" s="10"/>
      <c r="Q10" s="10"/>
      <c r="R10" s="10"/>
      <c r="S10" s="10">
        <v>4810</v>
      </c>
      <c r="T10" s="10"/>
      <c r="U10" s="10">
        <v>1660</v>
      </c>
      <c r="V10" s="10"/>
      <c r="W10" s="10"/>
      <c r="X10" s="10"/>
      <c r="Y10" s="14">
        <f t="shared" si="0"/>
        <v>1.4147058823529413</v>
      </c>
      <c r="Z10" s="10"/>
      <c r="AA10" s="14">
        <f t="shared" si="1"/>
        <v>1.4147058823529413</v>
      </c>
      <c r="AB10" s="10"/>
      <c r="AC10" s="10"/>
      <c r="AD10" s="10"/>
      <c r="AE10" s="10"/>
      <c r="AF10" s="10"/>
      <c r="AG10" s="10"/>
      <c r="AH10" s="10">
        <v>0</v>
      </c>
      <c r="AI10" s="26"/>
      <c r="AJ10" s="10" t="s">
        <v>3</v>
      </c>
      <c r="AK10" s="10" t="s">
        <v>2</v>
      </c>
      <c r="AL10" s="10" t="s">
        <v>2</v>
      </c>
      <c r="AM10" s="10" t="s">
        <v>2023</v>
      </c>
      <c r="AN10" s="10" t="s">
        <v>2564</v>
      </c>
    </row>
    <row r="11" spans="1:40" s="12" customFormat="1" x14ac:dyDescent="0.3">
      <c r="A11" s="10" t="s">
        <v>170</v>
      </c>
      <c r="B11" s="10" t="s">
        <v>131</v>
      </c>
      <c r="C11" s="10" t="s">
        <v>171</v>
      </c>
      <c r="D11" s="16" t="s">
        <v>172</v>
      </c>
      <c r="E11" s="16" t="s">
        <v>880</v>
      </c>
      <c r="F11" s="16" t="s">
        <v>2655</v>
      </c>
      <c r="G11" s="16" t="s">
        <v>174</v>
      </c>
      <c r="H11" s="16" t="s">
        <v>17</v>
      </c>
      <c r="I11" s="10" t="s">
        <v>833</v>
      </c>
      <c r="J11" s="10" t="s">
        <v>47</v>
      </c>
      <c r="K11" s="10" t="s">
        <v>173</v>
      </c>
      <c r="L11" s="10">
        <v>3</v>
      </c>
      <c r="M11" s="10">
        <v>3</v>
      </c>
      <c r="N11" s="10"/>
      <c r="O11" s="10">
        <v>2950</v>
      </c>
      <c r="P11" s="10"/>
      <c r="Q11" s="10"/>
      <c r="R11" s="10"/>
      <c r="S11" s="10">
        <v>2550</v>
      </c>
      <c r="T11" s="10"/>
      <c r="U11" s="10"/>
      <c r="V11" s="10"/>
      <c r="W11" s="10"/>
      <c r="X11" s="10"/>
      <c r="Y11" s="14">
        <f t="shared" si="0"/>
        <v>0.86440677966101698</v>
      </c>
      <c r="Z11" s="10"/>
      <c r="AA11" s="14">
        <f t="shared" si="1"/>
        <v>0.86440677966101698</v>
      </c>
      <c r="AB11" s="10"/>
      <c r="AC11" s="10"/>
      <c r="AD11" s="10"/>
      <c r="AE11" s="10"/>
      <c r="AF11" s="10"/>
      <c r="AG11" s="10"/>
      <c r="AH11" s="10">
        <v>0</v>
      </c>
      <c r="AI11" s="26"/>
      <c r="AJ11" s="10" t="s">
        <v>3</v>
      </c>
      <c r="AK11" s="10" t="s">
        <v>2</v>
      </c>
      <c r="AL11" s="10" t="s">
        <v>2</v>
      </c>
      <c r="AM11" s="10" t="s">
        <v>2023</v>
      </c>
      <c r="AN11" s="10" t="s">
        <v>2564</v>
      </c>
    </row>
    <row r="12" spans="1:40" s="12" customFormat="1" x14ac:dyDescent="0.3">
      <c r="A12" s="10" t="s">
        <v>170</v>
      </c>
      <c r="B12" s="10" t="s">
        <v>131</v>
      </c>
      <c r="C12" s="10" t="s">
        <v>171</v>
      </c>
      <c r="D12" s="16" t="s">
        <v>172</v>
      </c>
      <c r="E12" s="16" t="s">
        <v>881</v>
      </c>
      <c r="F12" s="16" t="s">
        <v>2655</v>
      </c>
      <c r="G12" s="16" t="s">
        <v>174</v>
      </c>
      <c r="H12" s="16" t="s">
        <v>17</v>
      </c>
      <c r="I12" s="10" t="s">
        <v>833</v>
      </c>
      <c r="J12" s="10" t="s">
        <v>47</v>
      </c>
      <c r="K12" s="10" t="s">
        <v>173</v>
      </c>
      <c r="L12" s="10">
        <v>3</v>
      </c>
      <c r="M12" s="10">
        <v>3</v>
      </c>
      <c r="N12" s="10"/>
      <c r="O12" s="10">
        <v>2920</v>
      </c>
      <c r="P12" s="10"/>
      <c r="Q12" s="10"/>
      <c r="R12" s="10"/>
      <c r="S12" s="10">
        <v>4520</v>
      </c>
      <c r="T12" s="10"/>
      <c r="U12" s="10">
        <v>1030</v>
      </c>
      <c r="V12" s="10"/>
      <c r="W12" s="10"/>
      <c r="X12" s="10"/>
      <c r="Y12" s="14">
        <f t="shared" si="0"/>
        <v>1.547945205479452</v>
      </c>
      <c r="Z12" s="10"/>
      <c r="AA12" s="14">
        <f t="shared" si="1"/>
        <v>1.547945205479452</v>
      </c>
      <c r="AB12" s="10"/>
      <c r="AC12" s="10"/>
      <c r="AD12" s="10"/>
      <c r="AE12" s="10"/>
      <c r="AF12" s="10"/>
      <c r="AG12" s="10"/>
      <c r="AH12" s="10">
        <v>0</v>
      </c>
      <c r="AI12" s="26"/>
      <c r="AJ12" s="10" t="s">
        <v>3</v>
      </c>
      <c r="AK12" s="10" t="s">
        <v>2</v>
      </c>
      <c r="AL12" s="10" t="s">
        <v>2</v>
      </c>
      <c r="AM12" s="10" t="s">
        <v>2023</v>
      </c>
      <c r="AN12" s="10" t="s">
        <v>2564</v>
      </c>
    </row>
    <row r="13" spans="1:40" s="10" customFormat="1" x14ac:dyDescent="0.3">
      <c r="A13" s="10" t="s">
        <v>236</v>
      </c>
      <c r="B13" s="10" t="s">
        <v>237</v>
      </c>
      <c r="C13" s="10" t="s">
        <v>238</v>
      </c>
      <c r="D13" s="16" t="s">
        <v>239</v>
      </c>
      <c r="E13" s="16" t="s">
        <v>835</v>
      </c>
      <c r="F13" s="16" t="s">
        <v>2654</v>
      </c>
      <c r="G13" s="10" t="s">
        <v>242</v>
      </c>
      <c r="H13" s="10" t="s">
        <v>17</v>
      </c>
      <c r="I13" s="10" t="s">
        <v>240</v>
      </c>
      <c r="J13" s="10" t="s">
        <v>63</v>
      </c>
      <c r="K13" s="10" t="s">
        <v>235</v>
      </c>
      <c r="L13" s="10">
        <v>3</v>
      </c>
      <c r="M13" s="10">
        <v>3</v>
      </c>
      <c r="O13" s="21">
        <v>4940</v>
      </c>
      <c r="P13" s="21"/>
      <c r="Q13" s="21"/>
      <c r="R13" s="21"/>
      <c r="S13" s="21">
        <v>4950</v>
      </c>
      <c r="T13" s="21"/>
      <c r="U13" s="10">
        <v>482</v>
      </c>
      <c r="Y13" s="20">
        <f t="shared" si="0"/>
        <v>1.0020242914979758</v>
      </c>
      <c r="AA13" s="14">
        <f>Y13+Z13</f>
        <v>1.0020242914979758</v>
      </c>
      <c r="AB13" s="14"/>
      <c r="AC13" s="14"/>
      <c r="AD13"/>
      <c r="AE13"/>
      <c r="AF13" s="14"/>
      <c r="AG13" s="14"/>
      <c r="AH13" s="10">
        <v>75</v>
      </c>
      <c r="AI13" s="10" t="s">
        <v>14</v>
      </c>
      <c r="AL13" s="10" t="s">
        <v>2</v>
      </c>
      <c r="AM13" s="10" t="s">
        <v>3</v>
      </c>
      <c r="AN13" s="10" t="s">
        <v>2565</v>
      </c>
    </row>
    <row r="14" spans="1:40" s="10" customFormat="1" x14ac:dyDescent="0.3">
      <c r="A14" s="10" t="s">
        <v>236</v>
      </c>
      <c r="B14" s="10" t="s">
        <v>237</v>
      </c>
      <c r="C14" s="10" t="s">
        <v>238</v>
      </c>
      <c r="D14" s="16" t="s">
        <v>239</v>
      </c>
      <c r="E14" s="16" t="s">
        <v>835</v>
      </c>
      <c r="F14" s="16" t="s">
        <v>2654</v>
      </c>
      <c r="G14" s="10" t="s">
        <v>242</v>
      </c>
      <c r="H14" s="10" t="s">
        <v>17</v>
      </c>
      <c r="I14" s="10" t="s">
        <v>1311</v>
      </c>
      <c r="J14" s="10" t="s">
        <v>63</v>
      </c>
      <c r="K14" s="10" t="s">
        <v>235</v>
      </c>
      <c r="L14" s="10">
        <v>3</v>
      </c>
      <c r="M14" s="10">
        <v>3</v>
      </c>
      <c r="O14" s="21">
        <v>4000</v>
      </c>
      <c r="P14" s="21"/>
      <c r="Q14" s="21"/>
      <c r="R14" s="21"/>
      <c r="S14" s="21">
        <v>6140</v>
      </c>
      <c r="T14" s="21"/>
      <c r="U14" s="10">
        <v>482</v>
      </c>
      <c r="Y14" s="20">
        <f t="shared" si="0"/>
        <v>1.5349999999999999</v>
      </c>
      <c r="AA14" s="14">
        <f t="shared" ref="AA14:AA24" si="3">Y14+Z14</f>
        <v>1.5349999999999999</v>
      </c>
      <c r="AB14" s="14"/>
      <c r="AC14" s="14"/>
      <c r="AD14"/>
      <c r="AE14"/>
      <c r="AF14" s="14"/>
      <c r="AG14" s="14"/>
      <c r="AH14" s="10">
        <v>0</v>
      </c>
      <c r="AL14" s="10" t="s">
        <v>2</v>
      </c>
      <c r="AM14" s="10" t="s">
        <v>3</v>
      </c>
      <c r="AN14" s="10" t="s">
        <v>2565</v>
      </c>
    </row>
    <row r="15" spans="1:40" s="10" customFormat="1" x14ac:dyDescent="0.3">
      <c r="A15" s="10" t="s">
        <v>236</v>
      </c>
      <c r="B15" s="10" t="s">
        <v>237</v>
      </c>
      <c r="C15" s="10" t="s">
        <v>238</v>
      </c>
      <c r="D15" s="16" t="s">
        <v>239</v>
      </c>
      <c r="E15" s="16" t="s">
        <v>835</v>
      </c>
      <c r="F15" s="16" t="s">
        <v>2654</v>
      </c>
      <c r="G15" s="10" t="s">
        <v>243</v>
      </c>
      <c r="H15" s="10" t="s">
        <v>17</v>
      </c>
      <c r="I15" s="10" t="s">
        <v>240</v>
      </c>
      <c r="J15" s="10" t="s">
        <v>63</v>
      </c>
      <c r="K15" s="10" t="s">
        <v>244</v>
      </c>
      <c r="L15" s="10">
        <v>3</v>
      </c>
      <c r="M15" s="10">
        <v>3</v>
      </c>
      <c r="O15" s="21">
        <v>4940</v>
      </c>
      <c r="P15" s="21"/>
      <c r="Q15" s="21"/>
      <c r="R15" s="21"/>
      <c r="S15" s="21">
        <v>6352</v>
      </c>
      <c r="T15" s="21"/>
      <c r="U15" s="10">
        <v>642</v>
      </c>
      <c r="Y15" s="20">
        <f t="shared" si="0"/>
        <v>1.28582995951417</v>
      </c>
      <c r="AA15" s="14">
        <f t="shared" si="3"/>
        <v>1.28582995951417</v>
      </c>
      <c r="AB15" s="14"/>
      <c r="AC15" s="14"/>
      <c r="AD15"/>
      <c r="AE15"/>
      <c r="AF15" s="14"/>
      <c r="AG15" s="14"/>
      <c r="AH15" s="10">
        <v>75</v>
      </c>
      <c r="AI15" s="10" t="s">
        <v>14</v>
      </c>
      <c r="AL15" s="10" t="s">
        <v>2</v>
      </c>
      <c r="AM15" s="10" t="s">
        <v>3</v>
      </c>
      <c r="AN15" s="10" t="s">
        <v>2565</v>
      </c>
    </row>
    <row r="16" spans="1:40" s="10" customFormat="1" x14ac:dyDescent="0.3">
      <c r="A16" s="10" t="s">
        <v>236</v>
      </c>
      <c r="B16" s="10" t="s">
        <v>237</v>
      </c>
      <c r="C16" s="10" t="s">
        <v>238</v>
      </c>
      <c r="D16" s="16" t="s">
        <v>239</v>
      </c>
      <c r="E16" s="16" t="s">
        <v>835</v>
      </c>
      <c r="F16" s="16" t="s">
        <v>2654</v>
      </c>
      <c r="G16" s="10" t="s">
        <v>243</v>
      </c>
      <c r="H16" s="10" t="s">
        <v>17</v>
      </c>
      <c r="I16" s="10" t="s">
        <v>1311</v>
      </c>
      <c r="J16" s="10" t="s">
        <v>63</v>
      </c>
      <c r="K16" s="10" t="s">
        <v>244</v>
      </c>
      <c r="L16" s="10">
        <v>3</v>
      </c>
      <c r="M16" s="10">
        <v>3</v>
      </c>
      <c r="O16" s="21">
        <v>4000</v>
      </c>
      <c r="P16" s="21"/>
      <c r="Q16" s="21"/>
      <c r="R16" s="21"/>
      <c r="S16" s="21">
        <v>5184</v>
      </c>
      <c r="T16" s="21"/>
      <c r="U16" s="10">
        <v>642</v>
      </c>
      <c r="Y16" s="20">
        <f t="shared" si="0"/>
        <v>1.296</v>
      </c>
      <c r="AA16" s="14">
        <f t="shared" si="3"/>
        <v>1.296</v>
      </c>
      <c r="AB16" s="14"/>
      <c r="AC16" s="14"/>
      <c r="AD16"/>
      <c r="AE16"/>
      <c r="AF16" s="14"/>
      <c r="AG16" s="14"/>
      <c r="AH16" s="10">
        <v>0</v>
      </c>
      <c r="AL16" s="10" t="s">
        <v>2</v>
      </c>
      <c r="AM16" s="10" t="s">
        <v>3</v>
      </c>
      <c r="AN16" s="10" t="s">
        <v>2565</v>
      </c>
    </row>
    <row r="17" spans="1:40" s="10" customFormat="1" x14ac:dyDescent="0.3">
      <c r="A17" s="10" t="s">
        <v>236</v>
      </c>
      <c r="B17" s="10" t="s">
        <v>237</v>
      </c>
      <c r="C17" s="10" t="s">
        <v>238</v>
      </c>
      <c r="D17" s="16" t="s">
        <v>239</v>
      </c>
      <c r="E17" s="16" t="s">
        <v>835</v>
      </c>
      <c r="F17" s="16" t="s">
        <v>2654</v>
      </c>
      <c r="G17" s="10" t="s">
        <v>245</v>
      </c>
      <c r="H17" s="10" t="s">
        <v>17</v>
      </c>
      <c r="I17" s="10" t="s">
        <v>240</v>
      </c>
      <c r="J17" s="10" t="s">
        <v>63</v>
      </c>
      <c r="K17" s="10" t="s">
        <v>234</v>
      </c>
      <c r="L17" s="10">
        <v>3</v>
      </c>
      <c r="M17" s="10">
        <v>3</v>
      </c>
      <c r="O17" s="21">
        <v>4940</v>
      </c>
      <c r="P17" s="21"/>
      <c r="Q17" s="21"/>
      <c r="R17" s="21"/>
      <c r="S17" s="21">
        <v>5100</v>
      </c>
      <c r="T17" s="21"/>
      <c r="U17" s="10">
        <v>313</v>
      </c>
      <c r="Y17" s="20">
        <f t="shared" si="0"/>
        <v>1.0323886639676114</v>
      </c>
      <c r="AA17" s="14">
        <f t="shared" si="3"/>
        <v>1.0323886639676114</v>
      </c>
      <c r="AB17" s="14"/>
      <c r="AC17" s="14"/>
      <c r="AD17"/>
      <c r="AE17"/>
      <c r="AF17" s="14"/>
      <c r="AG17" s="14"/>
      <c r="AH17" s="10">
        <v>75</v>
      </c>
      <c r="AI17" s="10" t="s">
        <v>14</v>
      </c>
      <c r="AL17" s="10" t="s">
        <v>2</v>
      </c>
      <c r="AM17" s="10" t="s">
        <v>3</v>
      </c>
      <c r="AN17" s="10" t="s">
        <v>2565</v>
      </c>
    </row>
    <row r="18" spans="1:40" s="10" customFormat="1" x14ac:dyDescent="0.3">
      <c r="A18" s="10" t="s">
        <v>236</v>
      </c>
      <c r="B18" s="10" t="s">
        <v>237</v>
      </c>
      <c r="C18" s="10" t="s">
        <v>238</v>
      </c>
      <c r="D18" s="16" t="s">
        <v>239</v>
      </c>
      <c r="E18" s="16" t="s">
        <v>835</v>
      </c>
      <c r="F18" s="16" t="s">
        <v>2654</v>
      </c>
      <c r="G18" s="10" t="s">
        <v>245</v>
      </c>
      <c r="H18" s="10" t="s">
        <v>17</v>
      </c>
      <c r="I18" s="10" t="s">
        <v>1311</v>
      </c>
      <c r="J18" s="10" t="s">
        <v>63</v>
      </c>
      <c r="K18" s="10" t="s">
        <v>234</v>
      </c>
      <c r="L18" s="10">
        <v>3</v>
      </c>
      <c r="M18" s="10">
        <v>3</v>
      </c>
      <c r="O18" s="21">
        <v>4000</v>
      </c>
      <c r="P18" s="21"/>
      <c r="Q18" s="21"/>
      <c r="R18" s="21"/>
      <c r="S18" s="21">
        <v>5395</v>
      </c>
      <c r="T18" s="21"/>
      <c r="U18" s="10">
        <v>313</v>
      </c>
      <c r="Y18" s="20">
        <f t="shared" si="0"/>
        <v>1.3487499999999999</v>
      </c>
      <c r="AA18" s="14">
        <f t="shared" si="3"/>
        <v>1.3487499999999999</v>
      </c>
      <c r="AB18" s="14"/>
      <c r="AC18" s="14"/>
      <c r="AD18"/>
      <c r="AE18"/>
      <c r="AF18" s="14"/>
      <c r="AG18" s="14"/>
      <c r="AH18" s="10">
        <v>0</v>
      </c>
      <c r="AL18" s="10" t="s">
        <v>2</v>
      </c>
      <c r="AM18" s="10" t="s">
        <v>3</v>
      </c>
      <c r="AN18" s="10" t="s">
        <v>2565</v>
      </c>
    </row>
    <row r="19" spans="1:40" s="10" customFormat="1" x14ac:dyDescent="0.3">
      <c r="A19" s="10" t="s">
        <v>236</v>
      </c>
      <c r="B19" s="10" t="s">
        <v>237</v>
      </c>
      <c r="C19" s="10" t="s">
        <v>238</v>
      </c>
      <c r="D19" s="16" t="s">
        <v>239</v>
      </c>
      <c r="E19" s="16" t="s">
        <v>836</v>
      </c>
      <c r="F19" s="16" t="s">
        <v>2654</v>
      </c>
      <c r="G19" s="10" t="s">
        <v>242</v>
      </c>
      <c r="H19" s="10" t="s">
        <v>17</v>
      </c>
      <c r="I19" s="10" t="s">
        <v>240</v>
      </c>
      <c r="J19" s="10" t="s">
        <v>63</v>
      </c>
      <c r="K19" s="10" t="s">
        <v>235</v>
      </c>
      <c r="L19" s="10">
        <v>3</v>
      </c>
      <c r="M19" s="10">
        <v>3</v>
      </c>
      <c r="O19" s="21">
        <v>7380</v>
      </c>
      <c r="P19" s="21"/>
      <c r="Q19" s="21"/>
      <c r="R19" s="21"/>
      <c r="S19" s="21">
        <v>8316</v>
      </c>
      <c r="T19" s="21"/>
      <c r="U19" s="10">
        <v>4563</v>
      </c>
      <c r="Y19" s="20">
        <f t="shared" si="0"/>
        <v>1.1268292682926828</v>
      </c>
      <c r="AA19" s="14">
        <f t="shared" si="3"/>
        <v>1.1268292682926828</v>
      </c>
      <c r="AB19" s="14"/>
      <c r="AC19" s="14"/>
      <c r="AD19"/>
      <c r="AE19"/>
      <c r="AF19" s="14"/>
      <c r="AG19" s="14"/>
      <c r="AH19" s="10">
        <v>75</v>
      </c>
      <c r="AI19" s="10" t="s">
        <v>14</v>
      </c>
      <c r="AL19" s="10" t="s">
        <v>2</v>
      </c>
      <c r="AM19" s="10" t="s">
        <v>3</v>
      </c>
      <c r="AN19" s="10" t="s">
        <v>2565</v>
      </c>
    </row>
    <row r="20" spans="1:40" s="10" customFormat="1" x14ac:dyDescent="0.3">
      <c r="A20" s="10" t="s">
        <v>236</v>
      </c>
      <c r="B20" s="10" t="s">
        <v>237</v>
      </c>
      <c r="C20" s="10" t="s">
        <v>238</v>
      </c>
      <c r="D20" s="16" t="s">
        <v>239</v>
      </c>
      <c r="E20" s="16" t="s">
        <v>836</v>
      </c>
      <c r="F20" s="16" t="s">
        <v>2654</v>
      </c>
      <c r="G20" s="10" t="s">
        <v>242</v>
      </c>
      <c r="H20" s="10" t="s">
        <v>17</v>
      </c>
      <c r="I20" s="10" t="s">
        <v>1311</v>
      </c>
      <c r="J20" s="10" t="s">
        <v>63</v>
      </c>
      <c r="K20" s="10" t="s">
        <v>235</v>
      </c>
      <c r="L20" s="10">
        <v>3</v>
      </c>
      <c r="M20" s="10">
        <v>3</v>
      </c>
      <c r="O20" s="21">
        <v>5800</v>
      </c>
      <c r="P20" s="21"/>
      <c r="Q20" s="21"/>
      <c r="R20" s="21"/>
      <c r="S20" s="21">
        <v>6900</v>
      </c>
      <c r="T20" s="21"/>
      <c r="U20" s="10">
        <v>4563</v>
      </c>
      <c r="Y20" s="20">
        <f t="shared" si="0"/>
        <v>1.1896551724137931</v>
      </c>
      <c r="AA20" s="14">
        <f t="shared" si="3"/>
        <v>1.1896551724137931</v>
      </c>
      <c r="AB20" s="14"/>
      <c r="AC20" s="14"/>
      <c r="AD20"/>
      <c r="AE20"/>
      <c r="AF20" s="14"/>
      <c r="AG20" s="14"/>
      <c r="AH20" s="10">
        <v>0</v>
      </c>
      <c r="AL20" s="10" t="s">
        <v>2</v>
      </c>
      <c r="AM20" s="10" t="s">
        <v>3</v>
      </c>
      <c r="AN20" s="10" t="s">
        <v>2565</v>
      </c>
    </row>
    <row r="21" spans="1:40" s="10" customFormat="1" x14ac:dyDescent="0.3">
      <c r="A21" s="10" t="s">
        <v>236</v>
      </c>
      <c r="B21" s="10" t="s">
        <v>237</v>
      </c>
      <c r="C21" s="10" t="s">
        <v>238</v>
      </c>
      <c r="D21" s="16" t="s">
        <v>239</v>
      </c>
      <c r="E21" s="16" t="s">
        <v>836</v>
      </c>
      <c r="F21" s="16" t="s">
        <v>2654</v>
      </c>
      <c r="G21" s="10" t="s">
        <v>243</v>
      </c>
      <c r="H21" s="10" t="s">
        <v>17</v>
      </c>
      <c r="I21" s="10" t="s">
        <v>240</v>
      </c>
      <c r="J21" s="10" t="s">
        <v>63</v>
      </c>
      <c r="K21" s="10" t="s">
        <v>244</v>
      </c>
      <c r="L21" s="10">
        <v>3</v>
      </c>
      <c r="M21" s="10">
        <v>3</v>
      </c>
      <c r="O21" s="21">
        <v>7380</v>
      </c>
      <c r="P21" s="21"/>
      <c r="Q21" s="21"/>
      <c r="R21" s="21"/>
      <c r="S21" s="21">
        <v>8040</v>
      </c>
      <c r="T21" s="21"/>
      <c r="U21" s="10">
        <v>5773</v>
      </c>
      <c r="Y21" s="20">
        <f t="shared" si="0"/>
        <v>1.089430894308943</v>
      </c>
      <c r="AA21" s="14">
        <f t="shared" si="3"/>
        <v>1.089430894308943</v>
      </c>
      <c r="AB21" s="14"/>
      <c r="AC21" s="14"/>
      <c r="AD21"/>
      <c r="AE21"/>
      <c r="AF21" s="14"/>
      <c r="AG21" s="14"/>
      <c r="AH21" s="10">
        <v>75</v>
      </c>
      <c r="AI21" s="10" t="s">
        <v>14</v>
      </c>
      <c r="AL21" s="10" t="s">
        <v>2</v>
      </c>
      <c r="AM21" s="10" t="s">
        <v>3</v>
      </c>
      <c r="AN21" s="10" t="s">
        <v>2565</v>
      </c>
    </row>
    <row r="22" spans="1:40" s="10" customFormat="1" x14ac:dyDescent="0.3">
      <c r="A22" s="10" t="s">
        <v>236</v>
      </c>
      <c r="B22" s="10" t="s">
        <v>237</v>
      </c>
      <c r="C22" s="10" t="s">
        <v>238</v>
      </c>
      <c r="D22" s="16" t="s">
        <v>239</v>
      </c>
      <c r="E22" s="16" t="s">
        <v>836</v>
      </c>
      <c r="F22" s="16" t="s">
        <v>2654</v>
      </c>
      <c r="G22" s="10" t="s">
        <v>243</v>
      </c>
      <c r="H22" s="10" t="s">
        <v>17</v>
      </c>
      <c r="I22" s="10" t="s">
        <v>1311</v>
      </c>
      <c r="J22" s="10" t="s">
        <v>63</v>
      </c>
      <c r="K22" s="10" t="s">
        <v>244</v>
      </c>
      <c r="L22" s="10">
        <v>3</v>
      </c>
      <c r="M22" s="10">
        <v>3</v>
      </c>
      <c r="O22" s="21">
        <v>5800</v>
      </c>
      <c r="P22" s="21"/>
      <c r="Q22" s="21"/>
      <c r="R22" s="21"/>
      <c r="S22" s="21">
        <v>8200</v>
      </c>
      <c r="T22" s="21"/>
      <c r="U22" s="10">
        <v>5773</v>
      </c>
      <c r="Y22" s="20">
        <f t="shared" si="0"/>
        <v>1.4137931034482758</v>
      </c>
      <c r="AA22" s="14">
        <f t="shared" si="3"/>
        <v>1.4137931034482758</v>
      </c>
      <c r="AB22" s="14"/>
      <c r="AC22" s="14"/>
      <c r="AD22"/>
      <c r="AE22"/>
      <c r="AF22" s="14"/>
      <c r="AG22" s="14"/>
      <c r="AH22" s="10">
        <v>0</v>
      </c>
      <c r="AL22" s="10" t="s">
        <v>2</v>
      </c>
      <c r="AM22" s="10" t="s">
        <v>3</v>
      </c>
      <c r="AN22" s="10" t="s">
        <v>2565</v>
      </c>
    </row>
    <row r="23" spans="1:40" s="10" customFormat="1" x14ac:dyDescent="0.3">
      <c r="A23" s="10" t="s">
        <v>236</v>
      </c>
      <c r="B23" s="10" t="s">
        <v>237</v>
      </c>
      <c r="C23" s="10" t="s">
        <v>238</v>
      </c>
      <c r="D23" s="16" t="s">
        <v>239</v>
      </c>
      <c r="E23" s="16" t="s">
        <v>836</v>
      </c>
      <c r="F23" s="16" t="s">
        <v>2654</v>
      </c>
      <c r="G23" s="10" t="s">
        <v>245</v>
      </c>
      <c r="H23" s="10" t="s">
        <v>17</v>
      </c>
      <c r="I23" s="10" t="s">
        <v>240</v>
      </c>
      <c r="J23" s="10" t="s">
        <v>63</v>
      </c>
      <c r="K23" s="10" t="s">
        <v>234</v>
      </c>
      <c r="L23" s="10">
        <v>3</v>
      </c>
      <c r="M23" s="10">
        <v>3</v>
      </c>
      <c r="O23" s="21">
        <v>7380</v>
      </c>
      <c r="P23" s="21"/>
      <c r="Q23" s="21"/>
      <c r="R23" s="21"/>
      <c r="S23" s="21">
        <v>6935</v>
      </c>
      <c r="T23" s="21"/>
      <c r="U23" s="10">
        <v>4677</v>
      </c>
      <c r="Y23" s="20">
        <f t="shared" si="0"/>
        <v>0.93970189701897022</v>
      </c>
      <c r="AA23" s="14">
        <f t="shared" si="3"/>
        <v>0.93970189701897022</v>
      </c>
      <c r="AB23" s="14"/>
      <c r="AC23" s="14"/>
      <c r="AD23"/>
      <c r="AE23"/>
      <c r="AF23" s="14"/>
      <c r="AG23" s="14"/>
      <c r="AH23" s="10">
        <v>75</v>
      </c>
      <c r="AI23" s="10" t="s">
        <v>14</v>
      </c>
      <c r="AL23" s="10" t="s">
        <v>2</v>
      </c>
      <c r="AM23" s="10" t="s">
        <v>3</v>
      </c>
      <c r="AN23" s="10" t="s">
        <v>2565</v>
      </c>
    </row>
    <row r="24" spans="1:40" s="10" customFormat="1" x14ac:dyDescent="0.3">
      <c r="A24" s="10" t="s">
        <v>236</v>
      </c>
      <c r="B24" s="10" t="s">
        <v>237</v>
      </c>
      <c r="C24" s="10" t="s">
        <v>238</v>
      </c>
      <c r="D24" s="16" t="s">
        <v>239</v>
      </c>
      <c r="E24" s="16" t="s">
        <v>836</v>
      </c>
      <c r="F24" s="16" t="s">
        <v>2654</v>
      </c>
      <c r="G24" s="10" t="s">
        <v>245</v>
      </c>
      <c r="H24" s="10" t="s">
        <v>17</v>
      </c>
      <c r="I24" s="10" t="s">
        <v>1311</v>
      </c>
      <c r="J24" s="10" t="s">
        <v>63</v>
      </c>
      <c r="K24" s="10" t="s">
        <v>234</v>
      </c>
      <c r="L24" s="10">
        <v>3</v>
      </c>
      <c r="M24" s="10">
        <v>3</v>
      </c>
      <c r="O24" s="21">
        <v>5800</v>
      </c>
      <c r="P24" s="21"/>
      <c r="Q24" s="21"/>
      <c r="R24" s="21"/>
      <c r="S24" s="21">
        <v>8200</v>
      </c>
      <c r="T24" s="21"/>
      <c r="U24" s="10">
        <v>4677</v>
      </c>
      <c r="Y24" s="20">
        <f t="shared" si="0"/>
        <v>1.4137931034482758</v>
      </c>
      <c r="AA24" s="14">
        <f t="shared" si="3"/>
        <v>1.4137931034482758</v>
      </c>
      <c r="AB24" s="14"/>
      <c r="AC24" s="14"/>
      <c r="AD24"/>
      <c r="AE24"/>
      <c r="AF24" s="14"/>
      <c r="AG24" s="14"/>
      <c r="AH24" s="10">
        <v>0</v>
      </c>
      <c r="AL24" s="10" t="s">
        <v>2</v>
      </c>
      <c r="AM24" s="10" t="s">
        <v>3</v>
      </c>
      <c r="AN24" s="10" t="s">
        <v>2565</v>
      </c>
    </row>
    <row r="25" spans="1:40" x14ac:dyDescent="0.3">
      <c r="A25" s="10" t="s">
        <v>248</v>
      </c>
      <c r="B25" s="10" t="s">
        <v>237</v>
      </c>
      <c r="C25" s="10" t="s">
        <v>238</v>
      </c>
      <c r="D25" s="10" t="s">
        <v>247</v>
      </c>
      <c r="E25" s="16" t="s">
        <v>836</v>
      </c>
      <c r="F25" s="10" t="s">
        <v>2654</v>
      </c>
      <c r="G25" s="10" t="s">
        <v>242</v>
      </c>
      <c r="H25" s="10" t="s">
        <v>17</v>
      </c>
      <c r="I25" s="16" t="s">
        <v>240</v>
      </c>
      <c r="J25" s="10" t="s">
        <v>63</v>
      </c>
      <c r="K25" s="10" t="s">
        <v>235</v>
      </c>
      <c r="L25" s="10">
        <v>3</v>
      </c>
      <c r="M25" s="10">
        <v>3</v>
      </c>
      <c r="N25" s="10"/>
      <c r="O25" s="10">
        <f>4520+3330</f>
        <v>7850</v>
      </c>
      <c r="P25" s="10"/>
      <c r="Q25" s="10"/>
      <c r="R25" s="10"/>
      <c r="S25" s="10">
        <f>O26+3850</f>
        <v>8370</v>
      </c>
      <c r="T25" s="10"/>
      <c r="U25" s="21">
        <v>9800</v>
      </c>
      <c r="V25" s="21"/>
      <c r="W25" s="10"/>
      <c r="X25" s="10"/>
      <c r="Y25" s="20">
        <f t="shared" si="0"/>
        <v>1.0662420382165605</v>
      </c>
      <c r="Z25" s="10"/>
      <c r="AA25" s="14">
        <f>Y25+Z25</f>
        <v>1.0662420382165605</v>
      </c>
      <c r="AB25" s="14"/>
      <c r="AC25" s="14"/>
      <c r="AD25" s="10"/>
      <c r="AE25" s="10"/>
      <c r="AF25" s="14"/>
      <c r="AG25" s="14"/>
      <c r="AH25" s="10">
        <v>100</v>
      </c>
      <c r="AI25" s="10" t="s">
        <v>14</v>
      </c>
      <c r="AJ25" s="10"/>
      <c r="AK25" s="10"/>
      <c r="AL25" s="10" t="s">
        <v>2</v>
      </c>
      <c r="AM25" s="10" t="s">
        <v>3</v>
      </c>
      <c r="AN25" s="10" t="s">
        <v>273</v>
      </c>
    </row>
    <row r="26" spans="1:40" x14ac:dyDescent="0.3">
      <c r="A26" s="10" t="s">
        <v>248</v>
      </c>
      <c r="B26" s="10" t="s">
        <v>237</v>
      </c>
      <c r="C26" s="10" t="s">
        <v>238</v>
      </c>
      <c r="D26" s="10" t="s">
        <v>247</v>
      </c>
      <c r="E26" s="16" t="s">
        <v>836</v>
      </c>
      <c r="F26" s="10" t="s">
        <v>2654</v>
      </c>
      <c r="G26" s="10" t="s">
        <v>242</v>
      </c>
      <c r="H26" s="10" t="s">
        <v>17</v>
      </c>
      <c r="I26" s="10" t="s">
        <v>241</v>
      </c>
      <c r="J26" s="10" t="s">
        <v>63</v>
      </c>
      <c r="K26" s="10" t="s">
        <v>235</v>
      </c>
      <c r="L26" s="23">
        <v>3</v>
      </c>
      <c r="M26" s="23">
        <v>3</v>
      </c>
      <c r="N26" s="23"/>
      <c r="O26" s="10">
        <v>4520</v>
      </c>
      <c r="P26" s="10"/>
      <c r="Q26" s="10"/>
      <c r="R26" s="10"/>
      <c r="S26" s="10">
        <v>8370</v>
      </c>
      <c r="T26" s="10"/>
      <c r="U26" s="21">
        <v>9800</v>
      </c>
      <c r="V26" s="21"/>
      <c r="W26" s="10"/>
      <c r="X26" s="10"/>
      <c r="Y26" s="20">
        <f t="shared" si="0"/>
        <v>1.8517699115044248</v>
      </c>
      <c r="Z26" s="10"/>
      <c r="AA26" s="14">
        <f t="shared" ref="AA26:AA44" si="4">Y26+Z26</f>
        <v>1.8517699115044248</v>
      </c>
      <c r="AB26" s="14"/>
      <c r="AC26" s="14"/>
      <c r="AD26" s="10"/>
      <c r="AE26" s="10"/>
      <c r="AF26" s="14"/>
      <c r="AG26" s="14"/>
      <c r="AH26" s="10">
        <v>0</v>
      </c>
      <c r="AI26" s="10"/>
      <c r="AJ26" s="10"/>
      <c r="AK26" s="10"/>
      <c r="AL26" s="10" t="s">
        <v>2</v>
      </c>
      <c r="AM26" s="10" t="s">
        <v>3</v>
      </c>
      <c r="AN26" s="10" t="s">
        <v>246</v>
      </c>
    </row>
    <row r="27" spans="1:40" x14ac:dyDescent="0.3">
      <c r="A27" s="10" t="s">
        <v>248</v>
      </c>
      <c r="B27" s="10" t="s">
        <v>237</v>
      </c>
      <c r="C27" s="10" t="s">
        <v>238</v>
      </c>
      <c r="D27" s="10" t="s">
        <v>247</v>
      </c>
      <c r="E27" s="16" t="s">
        <v>836</v>
      </c>
      <c r="F27" s="10" t="s">
        <v>2654</v>
      </c>
      <c r="G27" s="10" t="s">
        <v>245</v>
      </c>
      <c r="H27" s="10" t="s">
        <v>17</v>
      </c>
      <c r="I27" s="16" t="s">
        <v>240</v>
      </c>
      <c r="J27" s="10" t="s">
        <v>63</v>
      </c>
      <c r="K27" s="10" t="s">
        <v>234</v>
      </c>
      <c r="L27" s="23">
        <v>3</v>
      </c>
      <c r="M27" s="23">
        <v>3</v>
      </c>
      <c r="N27" s="23"/>
      <c r="O27" s="10">
        <f>4520+3330</f>
        <v>7850</v>
      </c>
      <c r="P27" s="10"/>
      <c r="Q27" s="10"/>
      <c r="R27" s="10"/>
      <c r="S27" s="10">
        <v>10590</v>
      </c>
      <c r="T27" s="10"/>
      <c r="U27" s="21">
        <v>8700</v>
      </c>
      <c r="V27" s="21"/>
      <c r="W27" s="10"/>
      <c r="X27" s="10"/>
      <c r="Y27" s="20">
        <f t="shared" si="0"/>
        <v>1.3490445859872611</v>
      </c>
      <c r="Z27" s="10"/>
      <c r="AA27" s="14">
        <f t="shared" si="4"/>
        <v>1.3490445859872611</v>
      </c>
      <c r="AB27" s="14"/>
      <c r="AC27" s="14"/>
      <c r="AD27" s="10"/>
      <c r="AE27" s="10"/>
      <c r="AF27" s="14"/>
      <c r="AG27" s="14"/>
      <c r="AH27" s="10">
        <v>100</v>
      </c>
      <c r="AI27" s="10" t="s">
        <v>14</v>
      </c>
      <c r="AJ27" s="10"/>
      <c r="AK27" s="10"/>
      <c r="AL27" s="10" t="s">
        <v>2</v>
      </c>
      <c r="AM27" s="10" t="s">
        <v>3</v>
      </c>
      <c r="AN27" s="10" t="s">
        <v>273</v>
      </c>
    </row>
    <row r="28" spans="1:40" x14ac:dyDescent="0.3">
      <c r="A28" s="10" t="s">
        <v>248</v>
      </c>
      <c r="B28" s="10" t="s">
        <v>237</v>
      </c>
      <c r="C28" s="10" t="s">
        <v>238</v>
      </c>
      <c r="D28" s="10" t="s">
        <v>247</v>
      </c>
      <c r="E28" s="16" t="s">
        <v>836</v>
      </c>
      <c r="F28" s="10" t="s">
        <v>2654</v>
      </c>
      <c r="G28" s="10" t="s">
        <v>245</v>
      </c>
      <c r="H28" s="10" t="s">
        <v>17</v>
      </c>
      <c r="I28" s="10" t="s">
        <v>241</v>
      </c>
      <c r="J28" s="10" t="s">
        <v>63</v>
      </c>
      <c r="K28" s="10" t="s">
        <v>234</v>
      </c>
      <c r="L28" s="23">
        <v>3</v>
      </c>
      <c r="M28" s="23">
        <v>3</v>
      </c>
      <c r="N28" s="23"/>
      <c r="O28" s="10">
        <v>4520</v>
      </c>
      <c r="P28" s="10"/>
      <c r="Q28" s="10"/>
      <c r="R28" s="10"/>
      <c r="S28" s="10">
        <v>10590</v>
      </c>
      <c r="T28" s="10"/>
      <c r="U28" s="21">
        <v>8700</v>
      </c>
      <c r="V28" s="21"/>
      <c r="W28" s="10"/>
      <c r="X28" s="10"/>
      <c r="Y28" s="20">
        <f t="shared" si="0"/>
        <v>2.3429203539823007</v>
      </c>
      <c r="Z28" s="10"/>
      <c r="AA28" s="14">
        <f t="shared" si="4"/>
        <v>2.3429203539823007</v>
      </c>
      <c r="AB28" s="14"/>
      <c r="AC28" s="14"/>
      <c r="AD28" s="10"/>
      <c r="AE28" s="10"/>
      <c r="AF28" s="14"/>
      <c r="AG28" s="14"/>
      <c r="AH28" s="10">
        <v>0</v>
      </c>
      <c r="AI28" s="10"/>
      <c r="AJ28" s="10"/>
      <c r="AK28" s="10"/>
      <c r="AL28" s="10" t="s">
        <v>2</v>
      </c>
      <c r="AM28" s="10" t="s">
        <v>3</v>
      </c>
      <c r="AN28" s="10" t="s">
        <v>246</v>
      </c>
    </row>
    <row r="29" spans="1:40" x14ac:dyDescent="0.3">
      <c r="A29" s="10" t="s">
        <v>248</v>
      </c>
      <c r="B29" s="10" t="s">
        <v>237</v>
      </c>
      <c r="C29" s="10" t="s">
        <v>238</v>
      </c>
      <c r="D29" s="10" t="s">
        <v>247</v>
      </c>
      <c r="E29" s="16" t="s">
        <v>836</v>
      </c>
      <c r="F29" s="10" t="s">
        <v>2654</v>
      </c>
      <c r="G29" s="10" t="s">
        <v>243</v>
      </c>
      <c r="H29" s="10" t="s">
        <v>17</v>
      </c>
      <c r="I29" s="16" t="s">
        <v>240</v>
      </c>
      <c r="J29" s="10" t="s">
        <v>63</v>
      </c>
      <c r="K29" s="10" t="s">
        <v>244</v>
      </c>
      <c r="L29" s="10">
        <v>3</v>
      </c>
      <c r="M29" s="10">
        <v>3</v>
      </c>
      <c r="N29" s="10"/>
      <c r="O29" s="10">
        <f>4520+3330</f>
        <v>7850</v>
      </c>
      <c r="P29" s="10"/>
      <c r="Q29" s="10"/>
      <c r="R29" s="10"/>
      <c r="S29" s="10">
        <f>4660+O26</f>
        <v>9180</v>
      </c>
      <c r="T29" s="10"/>
      <c r="U29" s="21">
        <v>13600</v>
      </c>
      <c r="V29" s="21"/>
      <c r="W29" s="10"/>
      <c r="X29" s="10"/>
      <c r="Y29" s="20">
        <f t="shared" si="0"/>
        <v>1.1694267515923567</v>
      </c>
      <c r="Z29" s="10"/>
      <c r="AA29" s="14">
        <f t="shared" si="4"/>
        <v>1.1694267515923567</v>
      </c>
      <c r="AB29" s="14"/>
      <c r="AC29" s="14"/>
      <c r="AD29" s="10"/>
      <c r="AE29" s="10"/>
      <c r="AF29" s="14"/>
      <c r="AG29" s="14"/>
      <c r="AH29" s="10">
        <v>100</v>
      </c>
      <c r="AI29" s="10" t="s">
        <v>14</v>
      </c>
      <c r="AJ29" s="10"/>
      <c r="AK29" s="10"/>
      <c r="AL29" s="10" t="s">
        <v>2</v>
      </c>
      <c r="AM29" s="10" t="s">
        <v>3</v>
      </c>
      <c r="AN29" s="10" t="s">
        <v>273</v>
      </c>
    </row>
    <row r="30" spans="1:40" x14ac:dyDescent="0.3">
      <c r="A30" s="10" t="s">
        <v>248</v>
      </c>
      <c r="B30" s="10" t="s">
        <v>237</v>
      </c>
      <c r="C30" s="10" t="s">
        <v>238</v>
      </c>
      <c r="D30" s="10" t="s">
        <v>247</v>
      </c>
      <c r="E30" s="16" t="s">
        <v>836</v>
      </c>
      <c r="F30" s="10" t="s">
        <v>2654</v>
      </c>
      <c r="G30" s="10" t="s">
        <v>243</v>
      </c>
      <c r="H30" s="10" t="s">
        <v>17</v>
      </c>
      <c r="I30" s="10" t="s">
        <v>241</v>
      </c>
      <c r="J30" s="10" t="s">
        <v>63</v>
      </c>
      <c r="K30" s="10" t="s">
        <v>244</v>
      </c>
      <c r="L30" s="23">
        <v>3</v>
      </c>
      <c r="M30" s="23">
        <v>3</v>
      </c>
      <c r="N30" s="23"/>
      <c r="O30" s="10">
        <v>4520</v>
      </c>
      <c r="P30" s="10"/>
      <c r="Q30" s="10"/>
      <c r="R30" s="10"/>
      <c r="S30" s="10">
        <v>9180</v>
      </c>
      <c r="T30" s="10"/>
      <c r="U30" s="21">
        <v>13600</v>
      </c>
      <c r="V30" s="21"/>
      <c r="W30" s="10"/>
      <c r="X30" s="10"/>
      <c r="Y30" s="20">
        <f t="shared" si="0"/>
        <v>2.0309734513274336</v>
      </c>
      <c r="Z30" s="10"/>
      <c r="AA30" s="14">
        <f t="shared" si="4"/>
        <v>2.0309734513274336</v>
      </c>
      <c r="AB30" s="14"/>
      <c r="AC30" s="14"/>
      <c r="AD30" s="10"/>
      <c r="AE30" s="10"/>
      <c r="AF30" s="14"/>
      <c r="AG30" s="14"/>
      <c r="AH30" s="10">
        <v>0</v>
      </c>
      <c r="AI30" s="10"/>
      <c r="AJ30" s="10"/>
      <c r="AK30" s="10"/>
      <c r="AL30" s="10" t="s">
        <v>2</v>
      </c>
      <c r="AM30" s="10" t="s">
        <v>3</v>
      </c>
      <c r="AN30" s="10" t="s">
        <v>246</v>
      </c>
    </row>
    <row r="31" spans="1:40" x14ac:dyDescent="0.3">
      <c r="A31" s="10" t="s">
        <v>248</v>
      </c>
      <c r="B31" s="10" t="s">
        <v>237</v>
      </c>
      <c r="C31" s="10" t="s">
        <v>238</v>
      </c>
      <c r="D31" s="10" t="s">
        <v>247</v>
      </c>
      <c r="E31" s="16" t="s">
        <v>836</v>
      </c>
      <c r="F31" s="10" t="s">
        <v>2654</v>
      </c>
      <c r="G31" s="10" t="s">
        <v>249</v>
      </c>
      <c r="H31" s="10" t="s">
        <v>17</v>
      </c>
      <c r="I31" s="16" t="s">
        <v>240</v>
      </c>
      <c r="J31" s="10" t="s">
        <v>63</v>
      </c>
      <c r="K31" s="10" t="s">
        <v>173</v>
      </c>
      <c r="L31" s="23">
        <v>3</v>
      </c>
      <c r="M31" s="23">
        <v>3</v>
      </c>
      <c r="N31" s="23"/>
      <c r="O31" s="10">
        <f>4520+3330</f>
        <v>7850</v>
      </c>
      <c r="P31" s="10"/>
      <c r="Q31" s="10"/>
      <c r="R31" s="10"/>
      <c r="S31" s="10">
        <f>O26+3480</f>
        <v>8000</v>
      </c>
      <c r="T31" s="10"/>
      <c r="U31" s="21">
        <v>4000</v>
      </c>
      <c r="V31" s="21"/>
      <c r="W31" s="10"/>
      <c r="X31" s="10"/>
      <c r="Y31" s="20">
        <f t="shared" si="0"/>
        <v>1.0191082802547771</v>
      </c>
      <c r="Z31" s="10"/>
      <c r="AA31" s="14">
        <f t="shared" si="4"/>
        <v>1.0191082802547771</v>
      </c>
      <c r="AB31" s="14"/>
      <c r="AC31" s="14"/>
      <c r="AD31" s="10"/>
      <c r="AE31" s="10"/>
      <c r="AF31" s="14"/>
      <c r="AG31" s="14"/>
      <c r="AH31" s="10">
        <v>100</v>
      </c>
      <c r="AI31" s="10" t="s">
        <v>14</v>
      </c>
      <c r="AJ31" s="10"/>
      <c r="AK31" s="10"/>
      <c r="AL31" s="10" t="s">
        <v>2</v>
      </c>
      <c r="AM31" s="10" t="s">
        <v>3</v>
      </c>
      <c r="AN31" s="10" t="s">
        <v>273</v>
      </c>
    </row>
    <row r="32" spans="1:40" x14ac:dyDescent="0.3">
      <c r="A32" s="10" t="s">
        <v>248</v>
      </c>
      <c r="B32" s="10" t="s">
        <v>237</v>
      </c>
      <c r="C32" s="10" t="s">
        <v>238</v>
      </c>
      <c r="D32" s="10" t="s">
        <v>247</v>
      </c>
      <c r="E32" s="16" t="s">
        <v>836</v>
      </c>
      <c r="F32" s="10" t="s">
        <v>2654</v>
      </c>
      <c r="G32" s="10" t="s">
        <v>249</v>
      </c>
      <c r="H32" s="10" t="s">
        <v>17</v>
      </c>
      <c r="I32" s="10" t="s">
        <v>241</v>
      </c>
      <c r="J32" s="10" t="s">
        <v>63</v>
      </c>
      <c r="K32" s="10" t="s">
        <v>173</v>
      </c>
      <c r="L32" s="23">
        <v>3</v>
      </c>
      <c r="M32" s="23">
        <v>3</v>
      </c>
      <c r="N32" s="23"/>
      <c r="O32" s="10">
        <v>4520</v>
      </c>
      <c r="P32" s="10"/>
      <c r="Q32" s="10"/>
      <c r="R32" s="10"/>
      <c r="S32" s="10">
        <v>8000</v>
      </c>
      <c r="T32" s="10"/>
      <c r="U32" s="21">
        <v>4000</v>
      </c>
      <c r="V32" s="21"/>
      <c r="W32" s="10"/>
      <c r="X32" s="10"/>
      <c r="Y32" s="20">
        <f t="shared" si="0"/>
        <v>1.7699115044247788</v>
      </c>
      <c r="Z32" s="10"/>
      <c r="AA32" s="14">
        <f t="shared" si="4"/>
        <v>1.7699115044247788</v>
      </c>
      <c r="AB32" s="14"/>
      <c r="AC32" s="14"/>
      <c r="AD32" s="10"/>
      <c r="AE32" s="10"/>
      <c r="AF32" s="14"/>
      <c r="AG32" s="14"/>
      <c r="AH32" s="10">
        <v>0</v>
      </c>
      <c r="AI32" s="10"/>
      <c r="AJ32" s="10"/>
      <c r="AK32" s="10"/>
      <c r="AL32" s="10" t="s">
        <v>2</v>
      </c>
      <c r="AM32" s="10" t="s">
        <v>3</v>
      </c>
      <c r="AN32" s="10" t="s">
        <v>246</v>
      </c>
    </row>
    <row r="33" spans="1:40" x14ac:dyDescent="0.3">
      <c r="A33" s="10" t="s">
        <v>248</v>
      </c>
      <c r="B33" s="10" t="s">
        <v>237</v>
      </c>
      <c r="C33" s="10" t="s">
        <v>238</v>
      </c>
      <c r="D33" s="10" t="s">
        <v>247</v>
      </c>
      <c r="E33" s="16" t="s">
        <v>836</v>
      </c>
      <c r="F33" s="10" t="s">
        <v>2654</v>
      </c>
      <c r="G33" s="10" t="s">
        <v>250</v>
      </c>
      <c r="H33" s="10" t="s">
        <v>17</v>
      </c>
      <c r="I33" s="16" t="s">
        <v>240</v>
      </c>
      <c r="J33" s="10" t="s">
        <v>63</v>
      </c>
      <c r="K33" s="10" t="s">
        <v>251</v>
      </c>
      <c r="L33" s="10">
        <v>3</v>
      </c>
      <c r="M33" s="10">
        <v>3</v>
      </c>
      <c r="N33" s="10"/>
      <c r="O33" s="10">
        <f>4520+3330</f>
        <v>7850</v>
      </c>
      <c r="P33" s="10"/>
      <c r="Q33" s="10"/>
      <c r="R33" s="10"/>
      <c r="S33" s="10">
        <f>5630+O26</f>
        <v>10150</v>
      </c>
      <c r="T33" s="10"/>
      <c r="U33" s="21">
        <v>2085</v>
      </c>
      <c r="V33" s="21"/>
      <c r="W33" s="10"/>
      <c r="X33" s="10"/>
      <c r="Y33" s="20">
        <f t="shared" si="0"/>
        <v>1.2929936305732483</v>
      </c>
      <c r="Z33" s="10"/>
      <c r="AA33" s="14">
        <f t="shared" si="4"/>
        <v>1.2929936305732483</v>
      </c>
      <c r="AB33" s="14"/>
      <c r="AC33" s="14"/>
      <c r="AD33" s="10"/>
      <c r="AE33" s="10"/>
      <c r="AF33" s="14"/>
      <c r="AG33" s="14"/>
      <c r="AH33" s="10">
        <v>100</v>
      </c>
      <c r="AI33" s="10" t="s">
        <v>14</v>
      </c>
      <c r="AJ33" s="10"/>
      <c r="AK33" s="10"/>
      <c r="AL33" s="10" t="s">
        <v>2</v>
      </c>
      <c r="AM33" s="10" t="s">
        <v>3</v>
      </c>
      <c r="AN33" s="10" t="s">
        <v>273</v>
      </c>
    </row>
    <row r="34" spans="1:40" x14ac:dyDescent="0.3">
      <c r="A34" s="10" t="s">
        <v>248</v>
      </c>
      <c r="B34" s="10" t="s">
        <v>237</v>
      </c>
      <c r="C34" s="10" t="s">
        <v>238</v>
      </c>
      <c r="D34" s="10" t="s">
        <v>247</v>
      </c>
      <c r="E34" s="16" t="s">
        <v>836</v>
      </c>
      <c r="F34" s="10" t="s">
        <v>2654</v>
      </c>
      <c r="G34" s="10" t="s">
        <v>250</v>
      </c>
      <c r="H34" s="10" t="s">
        <v>17</v>
      </c>
      <c r="I34" s="10" t="s">
        <v>241</v>
      </c>
      <c r="J34" s="10" t="s">
        <v>63</v>
      </c>
      <c r="K34" s="10" t="s">
        <v>251</v>
      </c>
      <c r="L34" s="23">
        <v>3</v>
      </c>
      <c r="M34" s="23">
        <v>3</v>
      </c>
      <c r="N34" s="23"/>
      <c r="O34" s="10">
        <v>4520</v>
      </c>
      <c r="P34" s="10"/>
      <c r="Q34" s="10"/>
      <c r="R34" s="10"/>
      <c r="S34" s="10">
        <v>10150</v>
      </c>
      <c r="T34" s="10"/>
      <c r="U34" s="21">
        <v>2085</v>
      </c>
      <c r="V34" s="21"/>
      <c r="W34" s="10"/>
      <c r="X34" s="10"/>
      <c r="Y34" s="20">
        <f t="shared" si="0"/>
        <v>2.2455752212389379</v>
      </c>
      <c r="Z34" s="10"/>
      <c r="AA34" s="14">
        <f t="shared" si="4"/>
        <v>2.2455752212389379</v>
      </c>
      <c r="AB34" s="14"/>
      <c r="AC34" s="14"/>
      <c r="AD34" s="10"/>
      <c r="AE34" s="10"/>
      <c r="AF34" s="14"/>
      <c r="AG34" s="14"/>
      <c r="AH34" s="10">
        <v>0</v>
      </c>
      <c r="AI34" s="10"/>
      <c r="AJ34" s="10"/>
      <c r="AK34" s="10"/>
      <c r="AL34" s="10" t="s">
        <v>2</v>
      </c>
      <c r="AM34" s="10" t="s">
        <v>3</v>
      </c>
      <c r="AN34" s="10" t="s">
        <v>246</v>
      </c>
    </row>
    <row r="35" spans="1:40" x14ac:dyDescent="0.3">
      <c r="A35" s="10" t="s">
        <v>248</v>
      </c>
      <c r="B35" s="10" t="s">
        <v>237</v>
      </c>
      <c r="C35" s="10" t="s">
        <v>238</v>
      </c>
      <c r="D35" s="10" t="s">
        <v>247</v>
      </c>
      <c r="E35" s="16" t="s">
        <v>2560</v>
      </c>
      <c r="F35" s="10" t="s">
        <v>2654</v>
      </c>
      <c r="G35" s="10" t="s">
        <v>242</v>
      </c>
      <c r="H35" s="10" t="s">
        <v>17</v>
      </c>
      <c r="I35" s="16" t="s">
        <v>240</v>
      </c>
      <c r="J35" s="10" t="s">
        <v>63</v>
      </c>
      <c r="K35" s="10" t="s">
        <v>235</v>
      </c>
      <c r="L35" s="23">
        <v>3</v>
      </c>
      <c r="M35" s="23">
        <v>3</v>
      </c>
      <c r="N35" s="23"/>
      <c r="O35" s="10">
        <f>290+O36</f>
        <v>2890</v>
      </c>
      <c r="P35" s="10"/>
      <c r="Q35" s="10"/>
      <c r="R35" s="10"/>
      <c r="S35" s="10">
        <f>3950+O36</f>
        <v>6550</v>
      </c>
      <c r="T35" s="10"/>
      <c r="U35" s="21">
        <v>1400</v>
      </c>
      <c r="V35" s="21"/>
      <c r="W35" s="10"/>
      <c r="X35" s="10"/>
      <c r="Y35" s="20">
        <f t="shared" si="0"/>
        <v>2.2664359861591694</v>
      </c>
      <c r="Z35" s="10"/>
      <c r="AA35" s="14">
        <f t="shared" si="4"/>
        <v>2.2664359861591694</v>
      </c>
      <c r="AB35" s="14"/>
      <c r="AC35" s="14"/>
      <c r="AD35" s="10"/>
      <c r="AE35" s="10"/>
      <c r="AF35" s="14"/>
      <c r="AG35" s="14"/>
      <c r="AH35" s="10">
        <v>100</v>
      </c>
      <c r="AI35" s="10" t="s">
        <v>14</v>
      </c>
      <c r="AJ35" s="10"/>
      <c r="AK35" s="10"/>
      <c r="AL35" s="10" t="s">
        <v>2</v>
      </c>
      <c r="AM35" s="10" t="s">
        <v>3</v>
      </c>
      <c r="AN35" s="10" t="s">
        <v>273</v>
      </c>
    </row>
    <row r="36" spans="1:40" x14ac:dyDescent="0.3">
      <c r="A36" s="10" t="s">
        <v>248</v>
      </c>
      <c r="B36" s="10" t="s">
        <v>237</v>
      </c>
      <c r="C36" s="10" t="s">
        <v>238</v>
      </c>
      <c r="D36" s="10" t="s">
        <v>247</v>
      </c>
      <c r="E36" s="16" t="s">
        <v>2560</v>
      </c>
      <c r="F36" s="10" t="s">
        <v>2654</v>
      </c>
      <c r="G36" s="10" t="s">
        <v>242</v>
      </c>
      <c r="H36" s="10" t="s">
        <v>17</v>
      </c>
      <c r="I36" s="10" t="s">
        <v>241</v>
      </c>
      <c r="J36" s="10" t="s">
        <v>63</v>
      </c>
      <c r="K36" s="10" t="s">
        <v>235</v>
      </c>
      <c r="L36" s="23">
        <v>3</v>
      </c>
      <c r="M36" s="23">
        <v>3</v>
      </c>
      <c r="N36" s="23"/>
      <c r="O36" s="10">
        <v>2600</v>
      </c>
      <c r="P36" s="10"/>
      <c r="Q36" s="10"/>
      <c r="R36" s="10"/>
      <c r="S36" s="10">
        <v>6550</v>
      </c>
      <c r="T36" s="10"/>
      <c r="U36" s="21">
        <v>1400</v>
      </c>
      <c r="V36" s="21"/>
      <c r="W36" s="10"/>
      <c r="X36" s="10"/>
      <c r="Y36" s="20">
        <f t="shared" si="0"/>
        <v>2.5192307692307692</v>
      </c>
      <c r="Z36" s="10"/>
      <c r="AA36" s="14">
        <f t="shared" si="4"/>
        <v>2.5192307692307692</v>
      </c>
      <c r="AB36" s="14"/>
      <c r="AC36" s="14"/>
      <c r="AD36" s="10"/>
      <c r="AE36" s="10"/>
      <c r="AF36" s="14"/>
      <c r="AG36" s="14"/>
      <c r="AH36" s="10">
        <v>0</v>
      </c>
      <c r="AI36" s="10"/>
      <c r="AJ36" s="10"/>
      <c r="AK36" s="10"/>
      <c r="AL36" s="10" t="s">
        <v>2</v>
      </c>
      <c r="AM36" s="10" t="s">
        <v>3</v>
      </c>
      <c r="AN36" s="10" t="s">
        <v>246</v>
      </c>
    </row>
    <row r="37" spans="1:40" x14ac:dyDescent="0.3">
      <c r="A37" s="10" t="s">
        <v>248</v>
      </c>
      <c r="B37" s="10" t="s">
        <v>237</v>
      </c>
      <c r="C37" s="10" t="s">
        <v>238</v>
      </c>
      <c r="D37" s="10" t="s">
        <v>247</v>
      </c>
      <c r="E37" s="16" t="s">
        <v>2560</v>
      </c>
      <c r="F37" s="10" t="s">
        <v>2654</v>
      </c>
      <c r="G37" s="10" t="s">
        <v>245</v>
      </c>
      <c r="H37" s="10" t="s">
        <v>17</v>
      </c>
      <c r="I37" s="16" t="s">
        <v>240</v>
      </c>
      <c r="J37" s="10" t="s">
        <v>63</v>
      </c>
      <c r="K37" s="10" t="s">
        <v>234</v>
      </c>
      <c r="L37" s="10">
        <v>3</v>
      </c>
      <c r="M37" s="10">
        <v>3</v>
      </c>
      <c r="N37" s="10"/>
      <c r="O37" s="10">
        <f>290+O38</f>
        <v>2890</v>
      </c>
      <c r="P37" s="10"/>
      <c r="Q37" s="10"/>
      <c r="R37" s="10"/>
      <c r="S37" s="10">
        <v>8700</v>
      </c>
      <c r="T37" s="10"/>
      <c r="U37" s="21">
        <v>1900</v>
      </c>
      <c r="V37" s="21"/>
      <c r="W37" s="10"/>
      <c r="X37" s="10"/>
      <c r="Y37" s="20">
        <f t="shared" si="0"/>
        <v>3.0103806228373702</v>
      </c>
      <c r="Z37" s="10"/>
      <c r="AA37" s="14">
        <f t="shared" si="4"/>
        <v>3.0103806228373702</v>
      </c>
      <c r="AB37" s="14"/>
      <c r="AC37" s="14"/>
      <c r="AD37" s="10"/>
      <c r="AE37" s="10"/>
      <c r="AF37" s="14"/>
      <c r="AG37" s="14"/>
      <c r="AH37" s="10">
        <v>100</v>
      </c>
      <c r="AI37" s="10" t="s">
        <v>14</v>
      </c>
      <c r="AJ37" s="10"/>
      <c r="AK37" s="10"/>
      <c r="AL37" s="10" t="s">
        <v>2</v>
      </c>
      <c r="AM37" s="10" t="s">
        <v>3</v>
      </c>
      <c r="AN37" s="10" t="s">
        <v>273</v>
      </c>
    </row>
    <row r="38" spans="1:40" x14ac:dyDescent="0.3">
      <c r="A38" s="10" t="s">
        <v>248</v>
      </c>
      <c r="B38" s="10" t="s">
        <v>237</v>
      </c>
      <c r="C38" s="10" t="s">
        <v>238</v>
      </c>
      <c r="D38" s="10" t="s">
        <v>247</v>
      </c>
      <c r="E38" s="16" t="s">
        <v>2560</v>
      </c>
      <c r="F38" s="10" t="s">
        <v>2654</v>
      </c>
      <c r="G38" s="10" t="s">
        <v>245</v>
      </c>
      <c r="H38" s="10" t="s">
        <v>17</v>
      </c>
      <c r="I38" s="10" t="s">
        <v>241</v>
      </c>
      <c r="J38" s="10" t="s">
        <v>63</v>
      </c>
      <c r="K38" s="10" t="s">
        <v>234</v>
      </c>
      <c r="L38" s="23">
        <v>3</v>
      </c>
      <c r="M38" s="23">
        <v>3</v>
      </c>
      <c r="N38" s="23"/>
      <c r="O38" s="10">
        <v>2600</v>
      </c>
      <c r="P38" s="10"/>
      <c r="Q38" s="10"/>
      <c r="R38" s="10"/>
      <c r="S38" s="10">
        <v>8700</v>
      </c>
      <c r="T38" s="10"/>
      <c r="U38" s="21">
        <v>1900</v>
      </c>
      <c r="V38" s="21"/>
      <c r="W38" s="10"/>
      <c r="X38" s="10"/>
      <c r="Y38" s="20">
        <f t="shared" si="0"/>
        <v>3.3461538461538463</v>
      </c>
      <c r="Z38" s="10"/>
      <c r="AA38" s="14">
        <f t="shared" si="4"/>
        <v>3.3461538461538463</v>
      </c>
      <c r="AB38" s="14"/>
      <c r="AC38" s="14"/>
      <c r="AD38" s="10"/>
      <c r="AE38" s="10"/>
      <c r="AF38" s="14"/>
      <c r="AG38" s="14"/>
      <c r="AH38" s="10">
        <v>0</v>
      </c>
      <c r="AI38" s="10"/>
      <c r="AJ38" s="10"/>
      <c r="AK38" s="10"/>
      <c r="AL38" s="10" t="s">
        <v>2</v>
      </c>
      <c r="AM38" s="10" t="s">
        <v>3</v>
      </c>
      <c r="AN38" s="10" t="s">
        <v>246</v>
      </c>
    </row>
    <row r="39" spans="1:40" x14ac:dyDescent="0.3">
      <c r="A39" s="10" t="s">
        <v>248</v>
      </c>
      <c r="B39" s="10" t="s">
        <v>237</v>
      </c>
      <c r="C39" s="10" t="s">
        <v>238</v>
      </c>
      <c r="D39" s="10" t="s">
        <v>247</v>
      </c>
      <c r="E39" s="16" t="s">
        <v>2560</v>
      </c>
      <c r="F39" s="10" t="s">
        <v>2654</v>
      </c>
      <c r="G39" s="10" t="s">
        <v>243</v>
      </c>
      <c r="H39" s="10" t="s">
        <v>17</v>
      </c>
      <c r="I39" s="16" t="s">
        <v>240</v>
      </c>
      <c r="J39" s="10" t="s">
        <v>63</v>
      </c>
      <c r="K39" s="10" t="s">
        <v>244</v>
      </c>
      <c r="L39" s="23">
        <v>3</v>
      </c>
      <c r="M39" s="23">
        <v>3</v>
      </c>
      <c r="N39" s="23"/>
      <c r="O39" s="10">
        <f>290+O40</f>
        <v>2890</v>
      </c>
      <c r="P39" s="10"/>
      <c r="Q39" s="10"/>
      <c r="R39" s="10"/>
      <c r="S39" s="10">
        <f>4550+2600</f>
        <v>7150</v>
      </c>
      <c r="T39" s="10"/>
      <c r="U39" s="21">
        <v>2900</v>
      </c>
      <c r="V39" s="21"/>
      <c r="W39" s="10"/>
      <c r="X39" s="10"/>
      <c r="Y39" s="20">
        <f t="shared" si="0"/>
        <v>2.4740484429065743</v>
      </c>
      <c r="Z39" s="10"/>
      <c r="AA39" s="14">
        <f t="shared" si="4"/>
        <v>2.4740484429065743</v>
      </c>
      <c r="AB39" s="14"/>
      <c r="AC39" s="14"/>
      <c r="AD39" s="10"/>
      <c r="AE39" s="10"/>
      <c r="AF39" s="14"/>
      <c r="AG39" s="14"/>
      <c r="AH39" s="10">
        <v>100</v>
      </c>
      <c r="AI39" s="10" t="s">
        <v>14</v>
      </c>
      <c r="AJ39" s="10"/>
      <c r="AK39" s="10"/>
      <c r="AL39" s="10" t="s">
        <v>2</v>
      </c>
      <c r="AM39" s="10" t="s">
        <v>3</v>
      </c>
      <c r="AN39" s="10" t="s">
        <v>273</v>
      </c>
    </row>
    <row r="40" spans="1:40" x14ac:dyDescent="0.3">
      <c r="A40" s="10" t="s">
        <v>248</v>
      </c>
      <c r="B40" s="10" t="s">
        <v>237</v>
      </c>
      <c r="C40" s="10" t="s">
        <v>238</v>
      </c>
      <c r="D40" s="10" t="s">
        <v>247</v>
      </c>
      <c r="E40" s="16" t="s">
        <v>2560</v>
      </c>
      <c r="F40" s="10" t="s">
        <v>2654</v>
      </c>
      <c r="G40" s="10" t="s">
        <v>243</v>
      </c>
      <c r="H40" s="10" t="s">
        <v>17</v>
      </c>
      <c r="I40" s="10" t="s">
        <v>241</v>
      </c>
      <c r="J40" s="10" t="s">
        <v>63</v>
      </c>
      <c r="K40" s="10" t="s">
        <v>244</v>
      </c>
      <c r="L40" s="23">
        <v>3</v>
      </c>
      <c r="M40" s="23">
        <v>3</v>
      </c>
      <c r="N40" s="23"/>
      <c r="O40" s="10">
        <v>2600</v>
      </c>
      <c r="P40" s="10"/>
      <c r="Q40" s="10"/>
      <c r="R40" s="10"/>
      <c r="S40" s="10">
        <v>7150</v>
      </c>
      <c r="T40" s="10"/>
      <c r="U40" s="21">
        <v>2900</v>
      </c>
      <c r="V40" s="21"/>
      <c r="W40" s="10"/>
      <c r="X40" s="10"/>
      <c r="Y40" s="20">
        <f t="shared" si="0"/>
        <v>2.75</v>
      </c>
      <c r="Z40" s="10"/>
      <c r="AA40" s="14">
        <f t="shared" si="4"/>
        <v>2.75</v>
      </c>
      <c r="AB40" s="14"/>
      <c r="AC40" s="14"/>
      <c r="AD40" s="10"/>
      <c r="AE40" s="10"/>
      <c r="AF40" s="14"/>
      <c r="AG40" s="14"/>
      <c r="AH40" s="10">
        <v>0</v>
      </c>
      <c r="AI40" s="10"/>
      <c r="AJ40" s="10"/>
      <c r="AK40" s="10"/>
      <c r="AL40" s="10" t="s">
        <v>2</v>
      </c>
      <c r="AM40" s="10" t="s">
        <v>3</v>
      </c>
      <c r="AN40" s="10" t="s">
        <v>246</v>
      </c>
    </row>
    <row r="41" spans="1:40" x14ac:dyDescent="0.3">
      <c r="A41" s="10" t="s">
        <v>248</v>
      </c>
      <c r="B41" s="10" t="s">
        <v>237</v>
      </c>
      <c r="C41" s="10" t="s">
        <v>238</v>
      </c>
      <c r="D41" s="10" t="s">
        <v>247</v>
      </c>
      <c r="E41" s="16" t="s">
        <v>2560</v>
      </c>
      <c r="F41" s="10" t="s">
        <v>2654</v>
      </c>
      <c r="G41" s="10" t="s">
        <v>249</v>
      </c>
      <c r="H41" s="10" t="s">
        <v>17</v>
      </c>
      <c r="I41" s="16" t="s">
        <v>240</v>
      </c>
      <c r="J41" s="10" t="s">
        <v>63</v>
      </c>
      <c r="K41" s="10" t="s">
        <v>173</v>
      </c>
      <c r="L41" s="10">
        <v>3</v>
      </c>
      <c r="M41" s="10">
        <v>3</v>
      </c>
      <c r="N41" s="10"/>
      <c r="O41" s="10">
        <f>290+O42</f>
        <v>2890</v>
      </c>
      <c r="P41" s="10"/>
      <c r="Q41" s="10"/>
      <c r="R41" s="10"/>
      <c r="S41" s="10">
        <f>O36+3140</f>
        <v>5740</v>
      </c>
      <c r="T41" s="10"/>
      <c r="U41" s="21">
        <v>820</v>
      </c>
      <c r="V41" s="21"/>
      <c r="W41" s="10"/>
      <c r="X41" s="10"/>
      <c r="Y41" s="20">
        <f t="shared" si="0"/>
        <v>1.986159169550173</v>
      </c>
      <c r="Z41" s="10"/>
      <c r="AA41" s="14">
        <f t="shared" si="4"/>
        <v>1.986159169550173</v>
      </c>
      <c r="AB41" s="14"/>
      <c r="AC41" s="14"/>
      <c r="AD41" s="10"/>
      <c r="AE41" s="10"/>
      <c r="AF41" s="14"/>
      <c r="AG41" s="14"/>
      <c r="AH41" s="10">
        <v>100</v>
      </c>
      <c r="AI41" s="10" t="s">
        <v>14</v>
      </c>
      <c r="AJ41" s="10"/>
      <c r="AK41" s="10"/>
      <c r="AL41" s="10" t="s">
        <v>2</v>
      </c>
      <c r="AM41" s="10" t="s">
        <v>3</v>
      </c>
      <c r="AN41" s="10" t="s">
        <v>273</v>
      </c>
    </row>
    <row r="42" spans="1:40" x14ac:dyDescent="0.3">
      <c r="A42" s="10" t="s">
        <v>248</v>
      </c>
      <c r="B42" s="10" t="s">
        <v>237</v>
      </c>
      <c r="C42" s="10" t="s">
        <v>238</v>
      </c>
      <c r="D42" s="10" t="s">
        <v>247</v>
      </c>
      <c r="E42" s="16" t="s">
        <v>2560</v>
      </c>
      <c r="F42" s="10" t="s">
        <v>2654</v>
      </c>
      <c r="G42" s="10" t="s">
        <v>249</v>
      </c>
      <c r="H42" s="10" t="s">
        <v>17</v>
      </c>
      <c r="I42" s="10" t="s">
        <v>241</v>
      </c>
      <c r="J42" s="10" t="s">
        <v>63</v>
      </c>
      <c r="K42" s="10" t="s">
        <v>173</v>
      </c>
      <c r="L42" s="23">
        <v>3</v>
      </c>
      <c r="M42" s="23">
        <v>3</v>
      </c>
      <c r="N42" s="23"/>
      <c r="O42" s="10">
        <v>2600</v>
      </c>
      <c r="P42" s="10"/>
      <c r="Q42" s="10"/>
      <c r="R42" s="10"/>
      <c r="S42" s="10">
        <v>5740</v>
      </c>
      <c r="T42" s="10"/>
      <c r="U42" s="21">
        <v>820</v>
      </c>
      <c r="V42" s="21"/>
      <c r="W42" s="10"/>
      <c r="X42" s="10"/>
      <c r="Y42" s="20">
        <f t="shared" si="0"/>
        <v>2.2076923076923078</v>
      </c>
      <c r="Z42" s="10"/>
      <c r="AA42" s="14">
        <f t="shared" si="4"/>
        <v>2.2076923076923078</v>
      </c>
      <c r="AB42" s="14"/>
      <c r="AC42" s="14"/>
      <c r="AD42" s="10"/>
      <c r="AE42" s="10"/>
      <c r="AF42" s="14"/>
      <c r="AG42" s="14"/>
      <c r="AH42" s="10">
        <v>0</v>
      </c>
      <c r="AI42" s="10"/>
      <c r="AJ42" s="10"/>
      <c r="AK42" s="10"/>
      <c r="AL42" s="10" t="s">
        <v>2</v>
      </c>
      <c r="AM42" s="10" t="s">
        <v>3</v>
      </c>
      <c r="AN42" s="10" t="s">
        <v>246</v>
      </c>
    </row>
    <row r="43" spans="1:40" x14ac:dyDescent="0.3">
      <c r="A43" s="10" t="s">
        <v>248</v>
      </c>
      <c r="B43" s="10" t="s">
        <v>237</v>
      </c>
      <c r="C43" s="10" t="s">
        <v>238</v>
      </c>
      <c r="D43" s="10" t="s">
        <v>247</v>
      </c>
      <c r="E43" s="16" t="s">
        <v>2560</v>
      </c>
      <c r="F43" s="10" t="s">
        <v>2654</v>
      </c>
      <c r="G43" s="10" t="s">
        <v>250</v>
      </c>
      <c r="H43" s="10" t="s">
        <v>17</v>
      </c>
      <c r="I43" s="16" t="s">
        <v>240</v>
      </c>
      <c r="J43" s="10" t="s">
        <v>63</v>
      </c>
      <c r="K43" s="10" t="s">
        <v>251</v>
      </c>
      <c r="L43" s="23">
        <v>3</v>
      </c>
      <c r="M43" s="23">
        <v>3</v>
      </c>
      <c r="N43" s="23"/>
      <c r="O43" s="10">
        <f>290+O44</f>
        <v>2890</v>
      </c>
      <c r="P43" s="10"/>
      <c r="Q43" s="10"/>
      <c r="R43" s="10"/>
      <c r="S43" s="10">
        <f>4930+2600</f>
        <v>7530</v>
      </c>
      <c r="T43" s="10"/>
      <c r="U43" s="21">
        <v>300</v>
      </c>
      <c r="V43" s="21"/>
      <c r="W43" s="10"/>
      <c r="X43" s="10"/>
      <c r="Y43" s="20">
        <f t="shared" si="0"/>
        <v>2.605536332179931</v>
      </c>
      <c r="Z43" s="10"/>
      <c r="AA43" s="14">
        <f t="shared" si="4"/>
        <v>2.605536332179931</v>
      </c>
      <c r="AB43" s="14"/>
      <c r="AC43" s="14"/>
      <c r="AD43" s="10"/>
      <c r="AE43" s="10"/>
      <c r="AF43" s="14"/>
      <c r="AG43" s="14"/>
      <c r="AH43" s="10">
        <v>100</v>
      </c>
      <c r="AI43" s="10" t="s">
        <v>14</v>
      </c>
      <c r="AJ43" s="10"/>
      <c r="AK43" s="10"/>
      <c r="AL43" s="10" t="s">
        <v>2</v>
      </c>
      <c r="AM43" s="10" t="s">
        <v>3</v>
      </c>
      <c r="AN43" s="10" t="s">
        <v>273</v>
      </c>
    </row>
    <row r="44" spans="1:40" x14ac:dyDescent="0.3">
      <c r="A44" s="10" t="s">
        <v>248</v>
      </c>
      <c r="B44" s="10" t="s">
        <v>237</v>
      </c>
      <c r="C44" s="10" t="s">
        <v>238</v>
      </c>
      <c r="D44" s="10" t="s">
        <v>247</v>
      </c>
      <c r="E44" s="16" t="s">
        <v>2560</v>
      </c>
      <c r="F44" s="10" t="s">
        <v>2654</v>
      </c>
      <c r="G44" s="10" t="s">
        <v>250</v>
      </c>
      <c r="H44" s="10" t="s">
        <v>17</v>
      </c>
      <c r="I44" s="10" t="s">
        <v>241</v>
      </c>
      <c r="J44" s="10" t="s">
        <v>63</v>
      </c>
      <c r="K44" s="10" t="s">
        <v>251</v>
      </c>
      <c r="L44" s="23">
        <v>3</v>
      </c>
      <c r="M44" s="23">
        <v>3</v>
      </c>
      <c r="N44" s="23"/>
      <c r="O44" s="10">
        <v>2600</v>
      </c>
      <c r="P44" s="10"/>
      <c r="Q44" s="10"/>
      <c r="R44" s="10"/>
      <c r="S44" s="10">
        <v>7530</v>
      </c>
      <c r="T44" s="10"/>
      <c r="U44" s="21">
        <v>300</v>
      </c>
      <c r="V44" s="21"/>
      <c r="W44" s="10"/>
      <c r="X44" s="10"/>
      <c r="Y44" s="20">
        <f t="shared" si="0"/>
        <v>2.8961538461538461</v>
      </c>
      <c r="Z44" s="10"/>
      <c r="AA44" s="14">
        <f t="shared" si="4"/>
        <v>2.8961538461538461</v>
      </c>
      <c r="AB44" s="14"/>
      <c r="AC44" s="14"/>
      <c r="AD44" s="10"/>
      <c r="AE44" s="10"/>
      <c r="AF44" s="14"/>
      <c r="AG44" s="14"/>
      <c r="AH44" s="10">
        <v>0</v>
      </c>
      <c r="AI44" s="10"/>
      <c r="AJ44" s="10"/>
      <c r="AK44" s="10"/>
      <c r="AL44" s="10" t="s">
        <v>2</v>
      </c>
      <c r="AM44" s="10" t="s">
        <v>3</v>
      </c>
      <c r="AN44" s="10" t="s">
        <v>246</v>
      </c>
    </row>
    <row r="45" spans="1:40" s="10" customFormat="1" x14ac:dyDescent="0.3">
      <c r="A45" s="10" t="s">
        <v>467</v>
      </c>
      <c r="B45" s="10" t="s">
        <v>468</v>
      </c>
      <c r="F45" s="10" t="s">
        <v>2654</v>
      </c>
      <c r="G45" s="10" t="s">
        <v>469</v>
      </c>
      <c r="H45" s="10" t="s">
        <v>506</v>
      </c>
      <c r="J45" s="10" t="s">
        <v>63</v>
      </c>
      <c r="K45" s="10" t="s">
        <v>472</v>
      </c>
      <c r="L45" s="10">
        <v>140</v>
      </c>
      <c r="M45" s="10">
        <v>140</v>
      </c>
      <c r="N45" s="10">
        <v>47</v>
      </c>
      <c r="AA45" s="10">
        <v>1</v>
      </c>
      <c r="AB45" s="10">
        <v>0.99</v>
      </c>
      <c r="AC45" s="10">
        <v>1.02</v>
      </c>
      <c r="AD45"/>
      <c r="AE45"/>
      <c r="AL45" s="10" t="s">
        <v>3</v>
      </c>
      <c r="AM45" s="10" t="s">
        <v>3</v>
      </c>
      <c r="AN45" s="26" t="s">
        <v>1953</v>
      </c>
    </row>
    <row r="46" spans="1:40" s="10" customFormat="1" x14ac:dyDescent="0.3">
      <c r="A46" s="10" t="s">
        <v>467</v>
      </c>
      <c r="B46" s="10" t="s">
        <v>468</v>
      </c>
      <c r="F46" s="10" t="s">
        <v>2654</v>
      </c>
      <c r="G46" s="10" t="s">
        <v>470</v>
      </c>
      <c r="H46" s="10" t="s">
        <v>506</v>
      </c>
      <c r="J46" s="10" t="s">
        <v>63</v>
      </c>
      <c r="K46" s="10" t="s">
        <v>473</v>
      </c>
      <c r="L46" s="10">
        <v>28</v>
      </c>
      <c r="M46" s="10">
        <v>28</v>
      </c>
      <c r="N46" s="10">
        <v>13</v>
      </c>
      <c r="AA46" s="10">
        <v>1.1299999999999999</v>
      </c>
      <c r="AB46" s="10">
        <v>1.04</v>
      </c>
      <c r="AC46" s="10">
        <v>1.22</v>
      </c>
      <c r="AD46"/>
      <c r="AE46"/>
      <c r="AL46" s="10" t="s">
        <v>3</v>
      </c>
      <c r="AM46" s="10" t="s">
        <v>3</v>
      </c>
      <c r="AN46" s="26" t="s">
        <v>1953</v>
      </c>
    </row>
    <row r="47" spans="1:40" s="10" customFormat="1" x14ac:dyDescent="0.3">
      <c r="A47" s="10" t="s">
        <v>467</v>
      </c>
      <c r="B47" s="10" t="s">
        <v>468</v>
      </c>
      <c r="F47" s="10" t="s">
        <v>2654</v>
      </c>
      <c r="G47" s="10" t="s">
        <v>471</v>
      </c>
      <c r="H47" s="10" t="s">
        <v>506</v>
      </c>
      <c r="J47" s="10" t="s">
        <v>63</v>
      </c>
      <c r="K47" s="10" t="s">
        <v>474</v>
      </c>
      <c r="L47" s="10">
        <v>101</v>
      </c>
      <c r="M47" s="10">
        <v>101</v>
      </c>
      <c r="N47" s="10">
        <v>36</v>
      </c>
      <c r="AA47" s="10">
        <v>1.21</v>
      </c>
      <c r="AB47" s="10">
        <v>1.1599999999999999</v>
      </c>
      <c r="AC47" s="10">
        <v>1.26</v>
      </c>
      <c r="AD47"/>
      <c r="AE47"/>
      <c r="AL47" s="10" t="s">
        <v>3</v>
      </c>
      <c r="AM47" s="10" t="s">
        <v>3</v>
      </c>
      <c r="AN47" s="26" t="s">
        <v>1953</v>
      </c>
    </row>
    <row r="48" spans="1:40" x14ac:dyDescent="0.3">
      <c r="A48" s="10" t="s">
        <v>476</v>
      </c>
      <c r="B48" s="10" t="s">
        <v>477</v>
      </c>
      <c r="C48" s="10" t="s">
        <v>478</v>
      </c>
      <c r="D48" s="10" t="s">
        <v>479</v>
      </c>
      <c r="F48" s="10" t="s">
        <v>2654</v>
      </c>
      <c r="G48" s="10" t="s">
        <v>75</v>
      </c>
      <c r="H48" s="10" t="s">
        <v>480</v>
      </c>
      <c r="I48" s="10" t="s">
        <v>492</v>
      </c>
      <c r="J48" s="10" t="s">
        <v>63</v>
      </c>
      <c r="K48" s="10" t="s">
        <v>77</v>
      </c>
      <c r="L48" s="10">
        <v>3</v>
      </c>
      <c r="M48" s="10">
        <v>3</v>
      </c>
      <c r="N48" s="10"/>
      <c r="O48">
        <v>714</v>
      </c>
      <c r="Q48">
        <v>4081</v>
      </c>
      <c r="S48">
        <v>2170</v>
      </c>
      <c r="U48">
        <v>7022</v>
      </c>
      <c r="Y48" s="3">
        <f t="shared" ref="Y48:Y79" si="5">S48/O48</f>
        <v>3.0392156862745097</v>
      </c>
      <c r="Z48" s="3">
        <f t="shared" ref="Z48:Z58" si="6">U48/Q48</f>
        <v>1.7206567017887773</v>
      </c>
      <c r="AA48" s="3">
        <f>Y48+Z48</f>
        <v>4.7598723880632869</v>
      </c>
      <c r="AB48" s="3"/>
      <c r="AC48" s="3"/>
      <c r="AF48" s="3"/>
      <c r="AG48" s="3"/>
      <c r="AH48">
        <v>0</v>
      </c>
      <c r="AI48" t="s">
        <v>14</v>
      </c>
      <c r="AL48" s="10" t="s">
        <v>2</v>
      </c>
      <c r="AM48" s="10" t="s">
        <v>3</v>
      </c>
      <c r="AN48" t="s">
        <v>1922</v>
      </c>
    </row>
    <row r="49" spans="1:40" x14ac:dyDescent="0.3">
      <c r="A49" s="10" t="s">
        <v>476</v>
      </c>
      <c r="B49" s="10" t="s">
        <v>477</v>
      </c>
      <c r="C49" s="10" t="s">
        <v>478</v>
      </c>
      <c r="D49" s="10" t="s">
        <v>479</v>
      </c>
      <c r="F49" s="10" t="s">
        <v>2654</v>
      </c>
      <c r="G49" s="10" t="s">
        <v>75</v>
      </c>
      <c r="H49" s="10" t="s">
        <v>480</v>
      </c>
      <c r="I49" s="16" t="s">
        <v>883</v>
      </c>
      <c r="J49" s="10" t="s">
        <v>63</v>
      </c>
      <c r="K49" s="10" t="s">
        <v>483</v>
      </c>
      <c r="L49" s="10">
        <v>3</v>
      </c>
      <c r="M49" s="10">
        <v>3</v>
      </c>
      <c r="N49" s="10"/>
      <c r="O49">
        <v>714</v>
      </c>
      <c r="Q49">
        <v>4081</v>
      </c>
      <c r="S49">
        <v>2893</v>
      </c>
      <c r="U49">
        <v>7071</v>
      </c>
      <c r="Y49" s="3">
        <f t="shared" si="5"/>
        <v>4.0518207282913163</v>
      </c>
      <c r="Z49" s="3">
        <f t="shared" si="6"/>
        <v>1.732663562852242</v>
      </c>
      <c r="AA49" s="3">
        <f t="shared" ref="AA49:AA57" si="7">Y49+Z49</f>
        <v>5.7844842911435581</v>
      </c>
      <c r="AB49" s="3"/>
      <c r="AC49" s="3"/>
      <c r="AF49" s="3"/>
      <c r="AG49" s="3"/>
      <c r="AH49">
        <v>0</v>
      </c>
      <c r="AI49" t="s">
        <v>14</v>
      </c>
      <c r="AL49" s="10" t="s">
        <v>2</v>
      </c>
      <c r="AM49" s="10" t="s">
        <v>3</v>
      </c>
      <c r="AN49" t="s">
        <v>1922</v>
      </c>
    </row>
    <row r="50" spans="1:40" x14ac:dyDescent="0.3">
      <c r="A50" s="10" t="s">
        <v>476</v>
      </c>
      <c r="B50" s="10" t="s">
        <v>477</v>
      </c>
      <c r="C50" s="10" t="s">
        <v>478</v>
      </c>
      <c r="D50" s="10" t="s">
        <v>479</v>
      </c>
      <c r="F50" s="10" t="s">
        <v>2654</v>
      </c>
      <c r="G50" s="10" t="s">
        <v>75</v>
      </c>
      <c r="H50" s="10" t="s">
        <v>480</v>
      </c>
      <c r="I50" s="10" t="s">
        <v>492</v>
      </c>
      <c r="J50" s="10" t="s">
        <v>63</v>
      </c>
      <c r="K50" s="10" t="s">
        <v>481</v>
      </c>
      <c r="L50" s="10">
        <v>3</v>
      </c>
      <c r="M50" s="10">
        <v>3</v>
      </c>
      <c r="N50" s="10"/>
      <c r="O50">
        <v>714</v>
      </c>
      <c r="Q50">
        <v>4081</v>
      </c>
      <c r="S50">
        <v>734</v>
      </c>
      <c r="U50">
        <v>3019</v>
      </c>
      <c r="Y50" s="3">
        <f t="shared" si="5"/>
        <v>1.0280112044817926</v>
      </c>
      <c r="Z50" s="3">
        <f t="shared" si="6"/>
        <v>0.7397696642979662</v>
      </c>
      <c r="AA50" s="3">
        <f t="shared" si="7"/>
        <v>1.7677808687797589</v>
      </c>
      <c r="AB50" s="3"/>
      <c r="AC50" s="3"/>
      <c r="AF50" s="3"/>
      <c r="AG50" s="3"/>
      <c r="AH50">
        <v>0</v>
      </c>
      <c r="AI50" t="s">
        <v>14</v>
      </c>
      <c r="AL50" s="10" t="s">
        <v>2</v>
      </c>
      <c r="AM50" s="10" t="s">
        <v>3</v>
      </c>
      <c r="AN50" t="s">
        <v>1922</v>
      </c>
    </row>
    <row r="51" spans="1:40" x14ac:dyDescent="0.3">
      <c r="A51" s="10" t="s">
        <v>476</v>
      </c>
      <c r="B51" s="10" t="s">
        <v>477</v>
      </c>
      <c r="C51" s="10" t="s">
        <v>478</v>
      </c>
      <c r="D51" s="10" t="s">
        <v>479</v>
      </c>
      <c r="F51" s="10" t="s">
        <v>2654</v>
      </c>
      <c r="G51" s="10" t="s">
        <v>75</v>
      </c>
      <c r="H51" s="10" t="s">
        <v>480</v>
      </c>
      <c r="I51" s="16" t="s">
        <v>883</v>
      </c>
      <c r="J51" s="10" t="s">
        <v>63</v>
      </c>
      <c r="K51" s="10" t="s">
        <v>484</v>
      </c>
      <c r="L51" s="10">
        <v>3</v>
      </c>
      <c r="M51" s="10">
        <v>3</v>
      </c>
      <c r="N51" s="10"/>
      <c r="O51">
        <v>714</v>
      </c>
      <c r="Q51">
        <v>4081</v>
      </c>
      <c r="S51">
        <v>1540</v>
      </c>
      <c r="U51">
        <v>6596</v>
      </c>
      <c r="Y51" s="3">
        <f t="shared" si="5"/>
        <v>2.1568627450980391</v>
      </c>
      <c r="Z51" s="3">
        <f t="shared" si="6"/>
        <v>1.6162705219308993</v>
      </c>
      <c r="AA51" s="3">
        <f t="shared" si="7"/>
        <v>3.7731332670289381</v>
      </c>
      <c r="AB51" s="3"/>
      <c r="AC51" s="3"/>
      <c r="AF51" s="3"/>
      <c r="AG51" s="3"/>
      <c r="AH51">
        <v>0</v>
      </c>
      <c r="AI51" t="s">
        <v>14</v>
      </c>
      <c r="AL51" s="10" t="s">
        <v>2</v>
      </c>
      <c r="AM51" s="10" t="s">
        <v>3</v>
      </c>
      <c r="AN51" t="s">
        <v>1922</v>
      </c>
    </row>
    <row r="52" spans="1:40" x14ac:dyDescent="0.3">
      <c r="A52" s="10" t="s">
        <v>476</v>
      </c>
      <c r="B52" s="10" t="s">
        <v>477</v>
      </c>
      <c r="C52" s="10" t="s">
        <v>478</v>
      </c>
      <c r="D52" s="10" t="s">
        <v>479</v>
      </c>
      <c r="F52" s="10" t="s">
        <v>2654</v>
      </c>
      <c r="G52" s="10" t="s">
        <v>75</v>
      </c>
      <c r="H52" s="10" t="s">
        <v>480</v>
      </c>
      <c r="I52" s="16" t="s">
        <v>493</v>
      </c>
      <c r="J52" s="10" t="s">
        <v>63</v>
      </c>
      <c r="K52" s="10" t="s">
        <v>482</v>
      </c>
      <c r="L52" s="10">
        <v>3</v>
      </c>
      <c r="M52" s="10">
        <v>3</v>
      </c>
      <c r="N52" s="10"/>
      <c r="O52">
        <v>714</v>
      </c>
      <c r="Q52">
        <v>4081</v>
      </c>
      <c r="S52">
        <v>1469</v>
      </c>
      <c r="U52">
        <v>7322</v>
      </c>
      <c r="Y52" s="3">
        <f t="shared" si="5"/>
        <v>2.0574229691876749</v>
      </c>
      <c r="Z52" s="3">
        <f t="shared" si="6"/>
        <v>1.7941680960548885</v>
      </c>
      <c r="AA52" s="3">
        <f t="shared" si="7"/>
        <v>3.8515910652425633</v>
      </c>
      <c r="AB52" s="3"/>
      <c r="AC52" s="3"/>
      <c r="AF52" s="3"/>
      <c r="AG52" s="3"/>
      <c r="AH52">
        <v>0</v>
      </c>
      <c r="AI52" t="s">
        <v>14</v>
      </c>
      <c r="AL52" s="10" t="s">
        <v>2</v>
      </c>
      <c r="AM52" s="10" t="s">
        <v>3</v>
      </c>
      <c r="AN52" t="s">
        <v>1922</v>
      </c>
    </row>
    <row r="53" spans="1:40" x14ac:dyDescent="0.3">
      <c r="A53" s="10" t="s">
        <v>485</v>
      </c>
      <c r="B53" s="10" t="s">
        <v>58</v>
      </c>
      <c r="D53" s="10" t="s">
        <v>486</v>
      </c>
      <c r="E53">
        <v>1998</v>
      </c>
      <c r="F53" s="10" t="s">
        <v>2654</v>
      </c>
      <c r="G53" s="10" t="s">
        <v>75</v>
      </c>
      <c r="H53" s="10" t="s">
        <v>489</v>
      </c>
      <c r="I53" s="10" t="s">
        <v>492</v>
      </c>
      <c r="J53" s="10" t="s">
        <v>488</v>
      </c>
      <c r="K53" s="10" t="s">
        <v>490</v>
      </c>
      <c r="L53" s="10">
        <v>4</v>
      </c>
      <c r="M53" s="10">
        <v>4</v>
      </c>
      <c r="N53" s="10"/>
      <c r="O53">
        <f>42*(10000/1000)</f>
        <v>420</v>
      </c>
      <c r="P53">
        <f>8*10*(SQRT(L53))</f>
        <v>160</v>
      </c>
      <c r="Q53">
        <v>9200</v>
      </c>
      <c r="S53">
        <f>84*(10000/1000)</f>
        <v>840</v>
      </c>
      <c r="T53">
        <f>6*10*SQRT(M53)</f>
        <v>120</v>
      </c>
      <c r="U53">
        <v>43000</v>
      </c>
      <c r="Y53" s="3">
        <f t="shared" si="5"/>
        <v>2</v>
      </c>
      <c r="Z53" s="3">
        <f t="shared" si="6"/>
        <v>4.6739130434782608</v>
      </c>
      <c r="AA53" s="3">
        <f t="shared" si="7"/>
        <v>6.6739130434782608</v>
      </c>
      <c r="AB53" s="3"/>
      <c r="AC53" s="3"/>
      <c r="AD53">
        <f t="shared" ref="AD53:AD58" si="8">((T53^2)/(O53^2))+((P53^2)*(S53^2)/(O53^4))</f>
        <v>0.66213151927437641</v>
      </c>
      <c r="AF53" s="3">
        <f>AD53+AE53</f>
        <v>0.66213151927437641</v>
      </c>
      <c r="AG53">
        <f t="shared" ref="AG53:AG58" si="9">SQRT(AF53)/AA53</f>
        <v>0.12192466954695406</v>
      </c>
      <c r="AL53" s="10" t="s">
        <v>2</v>
      </c>
      <c r="AM53" s="10" t="s">
        <v>3</v>
      </c>
      <c r="AN53" t="s">
        <v>1922</v>
      </c>
    </row>
    <row r="54" spans="1:40" x14ac:dyDescent="0.3">
      <c r="A54" s="10" t="s">
        <v>485</v>
      </c>
      <c r="B54" s="10" t="s">
        <v>58</v>
      </c>
      <c r="D54" s="10" t="s">
        <v>486</v>
      </c>
      <c r="E54">
        <v>1999</v>
      </c>
      <c r="F54" s="10" t="s">
        <v>2654</v>
      </c>
      <c r="G54" s="10" t="s">
        <v>75</v>
      </c>
      <c r="H54" s="10" t="s">
        <v>489</v>
      </c>
      <c r="I54" s="10" t="s">
        <v>492</v>
      </c>
      <c r="J54" s="10" t="s">
        <v>488</v>
      </c>
      <c r="K54" s="10" t="s">
        <v>490</v>
      </c>
      <c r="L54" s="10">
        <v>4</v>
      </c>
      <c r="M54" s="10">
        <v>4</v>
      </c>
      <c r="N54" s="10"/>
      <c r="O54">
        <f>47*(10000/1000)</f>
        <v>470</v>
      </c>
      <c r="P54">
        <f>5*10*SQRT(L54)</f>
        <v>100</v>
      </c>
      <c r="Q54">
        <v>9200</v>
      </c>
      <c r="S54">
        <f>50*(10000/1000)</f>
        <v>500</v>
      </c>
      <c r="T54">
        <f>6*10*SQRT(M54)</f>
        <v>120</v>
      </c>
      <c r="U54">
        <v>43000</v>
      </c>
      <c r="Y54" s="3">
        <f t="shared" si="5"/>
        <v>1.0638297872340425</v>
      </c>
      <c r="Z54" s="3">
        <f t="shared" si="6"/>
        <v>4.6739130434782608</v>
      </c>
      <c r="AA54" s="3">
        <f t="shared" ref="AA54" si="10">Y54+Z54</f>
        <v>5.7377428307123033</v>
      </c>
      <c r="AB54" s="3"/>
      <c r="AC54" s="3"/>
      <c r="AD54">
        <f t="shared" si="8"/>
        <v>0.1164207250432969</v>
      </c>
      <c r="AF54" s="3">
        <f t="shared" ref="AF54:AF58" si="11">AD54+AE54</f>
        <v>0.1164207250432969</v>
      </c>
      <c r="AG54">
        <f t="shared" si="9"/>
        <v>5.9466731777394019E-2</v>
      </c>
      <c r="AL54" s="10" t="s">
        <v>2</v>
      </c>
      <c r="AM54" s="10" t="s">
        <v>3</v>
      </c>
      <c r="AN54" t="s">
        <v>1922</v>
      </c>
    </row>
    <row r="55" spans="1:40" x14ac:dyDescent="0.3">
      <c r="A55" s="10" t="s">
        <v>485</v>
      </c>
      <c r="B55" s="10" t="s">
        <v>58</v>
      </c>
      <c r="D55" s="10" t="s">
        <v>486</v>
      </c>
      <c r="E55">
        <v>1998</v>
      </c>
      <c r="F55" s="10" t="s">
        <v>2654</v>
      </c>
      <c r="G55" s="10" t="s">
        <v>75</v>
      </c>
      <c r="H55" s="10" t="s">
        <v>489</v>
      </c>
      <c r="I55" s="10" t="s">
        <v>493</v>
      </c>
      <c r="J55" s="10" t="s">
        <v>488</v>
      </c>
      <c r="K55" s="10" t="s">
        <v>491</v>
      </c>
      <c r="L55" s="10">
        <v>4</v>
      </c>
      <c r="M55" s="10">
        <v>4</v>
      </c>
      <c r="N55" s="10"/>
      <c r="O55">
        <f>42*(10000/1000)</f>
        <v>420</v>
      </c>
      <c r="P55">
        <f>8*10*(SQRT(L55))</f>
        <v>160</v>
      </c>
      <c r="Q55">
        <v>9200</v>
      </c>
      <c r="S55">
        <f>38*10</f>
        <v>380</v>
      </c>
      <c r="T55">
        <f>6*10*SQRT(M55)</f>
        <v>120</v>
      </c>
      <c r="U55">
        <v>22900</v>
      </c>
      <c r="Y55" s="3">
        <f t="shared" si="5"/>
        <v>0.90476190476190477</v>
      </c>
      <c r="Z55" s="3">
        <f t="shared" si="6"/>
        <v>2.4891304347826089</v>
      </c>
      <c r="AA55" s="3">
        <f t="shared" si="7"/>
        <v>3.3938923395445135</v>
      </c>
      <c r="AB55" s="3"/>
      <c r="AC55" s="3"/>
      <c r="AD55">
        <f t="shared" si="8"/>
        <v>0.20043089042117224</v>
      </c>
      <c r="AF55" s="3">
        <f t="shared" si="11"/>
        <v>0.20043089042117224</v>
      </c>
      <c r="AG55">
        <f t="shared" si="9"/>
        <v>0.13191198825669878</v>
      </c>
      <c r="AL55" s="10" t="s">
        <v>2</v>
      </c>
      <c r="AM55" s="10" t="s">
        <v>3</v>
      </c>
      <c r="AN55" t="s">
        <v>1922</v>
      </c>
    </row>
    <row r="56" spans="1:40" x14ac:dyDescent="0.3">
      <c r="A56" s="10" t="s">
        <v>485</v>
      </c>
      <c r="B56" s="10" t="s">
        <v>58</v>
      </c>
      <c r="D56" s="10" t="s">
        <v>486</v>
      </c>
      <c r="E56">
        <v>1999</v>
      </c>
      <c r="F56" s="10" t="s">
        <v>2654</v>
      </c>
      <c r="G56" s="10" t="s">
        <v>75</v>
      </c>
      <c r="H56" s="10" t="s">
        <v>489</v>
      </c>
      <c r="I56" s="10" t="s">
        <v>493</v>
      </c>
      <c r="J56" s="10" t="s">
        <v>488</v>
      </c>
      <c r="K56" s="10" t="s">
        <v>491</v>
      </c>
      <c r="L56" s="10">
        <v>4</v>
      </c>
      <c r="M56" s="10">
        <v>4</v>
      </c>
      <c r="N56" s="10"/>
      <c r="O56">
        <f>47*(10000/1000)</f>
        <v>470</v>
      </c>
      <c r="P56">
        <f>5*10*SQRT(L56)</f>
        <v>100</v>
      </c>
      <c r="Q56">
        <v>9200</v>
      </c>
      <c r="S56">
        <f>46*10</f>
        <v>460</v>
      </c>
      <c r="T56">
        <f>5*10*SQRT(M56)</f>
        <v>100</v>
      </c>
      <c r="U56">
        <v>22900</v>
      </c>
      <c r="Y56" s="3">
        <f t="shared" si="5"/>
        <v>0.97872340425531912</v>
      </c>
      <c r="Z56" s="3">
        <f t="shared" si="6"/>
        <v>2.4891304347826089</v>
      </c>
      <c r="AA56" s="3">
        <f t="shared" ref="AA56" si="12">Y56+Z56</f>
        <v>3.4678538390379279</v>
      </c>
      <c r="AB56" s="3"/>
      <c r="AC56" s="3"/>
      <c r="AD56">
        <f t="shared" si="8"/>
        <v>8.8632843007565451E-2</v>
      </c>
      <c r="AF56" s="3">
        <f t="shared" si="11"/>
        <v>8.8632843007565451E-2</v>
      </c>
      <c r="AG56">
        <f t="shared" si="9"/>
        <v>8.5849259844974088E-2</v>
      </c>
      <c r="AL56" s="10" t="s">
        <v>2</v>
      </c>
      <c r="AM56" s="10" t="s">
        <v>3</v>
      </c>
      <c r="AN56" t="s">
        <v>1922</v>
      </c>
    </row>
    <row r="57" spans="1:40" x14ac:dyDescent="0.3">
      <c r="A57" s="10" t="s">
        <v>485</v>
      </c>
      <c r="B57" s="10" t="s">
        <v>58</v>
      </c>
      <c r="D57" s="10" t="s">
        <v>487</v>
      </c>
      <c r="E57">
        <v>1998</v>
      </c>
      <c r="F57" s="10" t="s">
        <v>2654</v>
      </c>
      <c r="G57" s="10" t="s">
        <v>75</v>
      </c>
      <c r="H57" s="10" t="s">
        <v>489</v>
      </c>
      <c r="I57" s="10" t="s">
        <v>493</v>
      </c>
      <c r="J57" s="10" t="s">
        <v>488</v>
      </c>
      <c r="K57" s="10" t="s">
        <v>491</v>
      </c>
      <c r="L57" s="10">
        <v>4</v>
      </c>
      <c r="M57" s="10">
        <v>4</v>
      </c>
      <c r="N57" s="10"/>
      <c r="O57">
        <f>46*10</f>
        <v>460</v>
      </c>
      <c r="P57">
        <f>4*10*SQRT(L57)</f>
        <v>80</v>
      </c>
      <c r="Q57">
        <v>16400</v>
      </c>
      <c r="S57">
        <f>36*10</f>
        <v>360</v>
      </c>
      <c r="T57">
        <f>6*10*SQRT(M57)</f>
        <v>120</v>
      </c>
      <c r="U57">
        <v>19300</v>
      </c>
      <c r="Y57" s="3">
        <f t="shared" si="5"/>
        <v>0.78260869565217395</v>
      </c>
      <c r="Z57" s="3">
        <f t="shared" si="6"/>
        <v>1.1768292682926829</v>
      </c>
      <c r="AA57" s="3">
        <f t="shared" si="7"/>
        <v>1.9594379639448567</v>
      </c>
      <c r="AB57" s="3"/>
      <c r="AC57" s="3"/>
      <c r="AD57">
        <f t="shared" si="8"/>
        <v>8.6577735213925047E-2</v>
      </c>
      <c r="AF57" s="3">
        <f t="shared" si="11"/>
        <v>8.6577735213925047E-2</v>
      </c>
      <c r="AG57">
        <f t="shared" si="9"/>
        <v>0.15016599298483682</v>
      </c>
      <c r="AL57" s="10" t="s">
        <v>2</v>
      </c>
      <c r="AM57" s="10" t="s">
        <v>3</v>
      </c>
      <c r="AN57" t="s">
        <v>1922</v>
      </c>
    </row>
    <row r="58" spans="1:40" x14ac:dyDescent="0.3">
      <c r="A58" s="10" t="s">
        <v>485</v>
      </c>
      <c r="B58" s="10" t="s">
        <v>58</v>
      </c>
      <c r="D58" s="10" t="s">
        <v>487</v>
      </c>
      <c r="E58">
        <v>1999</v>
      </c>
      <c r="F58" s="10" t="s">
        <v>2654</v>
      </c>
      <c r="G58" s="10" t="s">
        <v>75</v>
      </c>
      <c r="H58" s="10" t="s">
        <v>489</v>
      </c>
      <c r="I58" s="10" t="s">
        <v>493</v>
      </c>
      <c r="J58" s="10" t="s">
        <v>488</v>
      </c>
      <c r="K58" s="10" t="s">
        <v>491</v>
      </c>
      <c r="L58" s="10">
        <v>4</v>
      </c>
      <c r="M58" s="10">
        <v>4</v>
      </c>
      <c r="N58" s="10"/>
      <c r="O58">
        <f>39*10</f>
        <v>390</v>
      </c>
      <c r="P58">
        <f>8*10*SQRT(L58)</f>
        <v>160</v>
      </c>
      <c r="Q58">
        <v>16400</v>
      </c>
      <c r="S58">
        <f>23*10</f>
        <v>230</v>
      </c>
      <c r="T58">
        <f>5*10*SQRT(M58)</f>
        <v>100</v>
      </c>
      <c r="U58">
        <v>19300</v>
      </c>
      <c r="Y58" s="3">
        <f t="shared" si="5"/>
        <v>0.58974358974358976</v>
      </c>
      <c r="Z58" s="3">
        <f t="shared" si="6"/>
        <v>1.1768292682926829</v>
      </c>
      <c r="AA58" s="3">
        <f t="shared" ref="AA58" si="13">Y58+Z58</f>
        <v>1.7665728580362727</v>
      </c>
      <c r="AB58" s="3"/>
      <c r="AC58" s="3"/>
      <c r="AD58">
        <f t="shared" si="8"/>
        <v>0.12428412913923459</v>
      </c>
      <c r="AF58" s="3">
        <f t="shared" si="11"/>
        <v>0.12428412913923459</v>
      </c>
      <c r="AG58">
        <f t="shared" si="9"/>
        <v>0.19956128107409468</v>
      </c>
      <c r="AL58" s="10" t="s">
        <v>2</v>
      </c>
      <c r="AM58" s="10" t="s">
        <v>3</v>
      </c>
      <c r="AN58" t="s">
        <v>1922</v>
      </c>
    </row>
    <row r="59" spans="1:40" s="10" customFormat="1" x14ac:dyDescent="0.3">
      <c r="A59" s="10" t="s">
        <v>503</v>
      </c>
      <c r="B59" s="10" t="s">
        <v>504</v>
      </c>
      <c r="D59" s="10" t="s">
        <v>505</v>
      </c>
      <c r="F59" s="10" t="s">
        <v>2654</v>
      </c>
      <c r="G59" s="10" t="s">
        <v>509</v>
      </c>
      <c r="H59" s="10" t="s">
        <v>506</v>
      </c>
      <c r="J59" s="10" t="s">
        <v>71</v>
      </c>
      <c r="K59" s="10" t="s">
        <v>507</v>
      </c>
      <c r="L59" s="10">
        <v>4</v>
      </c>
      <c r="M59" s="10">
        <v>4</v>
      </c>
      <c r="O59" s="10">
        <v>71.3</v>
      </c>
      <c r="S59" s="10">
        <v>77</v>
      </c>
      <c r="Y59" s="14">
        <f t="shared" si="5"/>
        <v>1.0799438990182328</v>
      </c>
      <c r="Z59" s="14"/>
      <c r="AA59" s="14">
        <f t="shared" ref="AA59" si="14">Y59+Z59</f>
        <v>1.0799438990182328</v>
      </c>
      <c r="AB59" s="14"/>
      <c r="AC59" s="14"/>
      <c r="AD59"/>
      <c r="AE59"/>
      <c r="AF59" s="14"/>
      <c r="AG59" s="14"/>
      <c r="AI59" s="26"/>
      <c r="AL59" s="10" t="s">
        <v>2</v>
      </c>
      <c r="AM59" s="10" t="s">
        <v>3</v>
      </c>
      <c r="AN59" s="10" t="s">
        <v>2566</v>
      </c>
    </row>
    <row r="60" spans="1:40" s="10" customFormat="1" x14ac:dyDescent="0.3">
      <c r="A60" s="10" t="s">
        <v>503</v>
      </c>
      <c r="B60" s="10" t="s">
        <v>504</v>
      </c>
      <c r="D60" s="10" t="s">
        <v>505</v>
      </c>
      <c r="F60" s="10" t="s">
        <v>2654</v>
      </c>
      <c r="G60" s="10" t="s">
        <v>508</v>
      </c>
      <c r="H60" s="10" t="s">
        <v>506</v>
      </c>
      <c r="J60" s="10" t="s">
        <v>71</v>
      </c>
      <c r="K60" s="10" t="s">
        <v>527</v>
      </c>
      <c r="L60" s="10">
        <v>4</v>
      </c>
      <c r="M60" s="10">
        <v>4</v>
      </c>
      <c r="O60" s="10">
        <v>71.3</v>
      </c>
      <c r="S60" s="10">
        <v>71.5</v>
      </c>
      <c r="Y60" s="14">
        <f t="shared" si="5"/>
        <v>1.0028050490883591</v>
      </c>
      <c r="Z60" s="14"/>
      <c r="AA60" s="14">
        <f t="shared" ref="AA60:AA61" si="15">Y60+Z60</f>
        <v>1.0028050490883591</v>
      </c>
      <c r="AB60" s="14"/>
      <c r="AC60" s="14"/>
      <c r="AD60"/>
      <c r="AE60"/>
      <c r="AF60" s="14"/>
      <c r="AG60" s="14"/>
      <c r="AI60" s="26"/>
      <c r="AL60" s="10" t="s">
        <v>2</v>
      </c>
      <c r="AM60" s="10" t="s">
        <v>3</v>
      </c>
      <c r="AN60" s="10" t="s">
        <v>2566</v>
      </c>
    </row>
    <row r="61" spans="1:40" x14ac:dyDescent="0.3">
      <c r="A61" s="10" t="s">
        <v>503</v>
      </c>
      <c r="B61" s="10" t="s">
        <v>504</v>
      </c>
      <c r="C61" s="10"/>
      <c r="D61" s="10" t="s">
        <v>505</v>
      </c>
      <c r="E61" s="10"/>
      <c r="F61" s="10" t="s">
        <v>2654</v>
      </c>
      <c r="G61" s="10" t="s">
        <v>510</v>
      </c>
      <c r="H61" s="10" t="s">
        <v>506</v>
      </c>
      <c r="I61" s="10"/>
      <c r="J61" s="10" t="s">
        <v>71</v>
      </c>
      <c r="K61" s="10" t="s">
        <v>513</v>
      </c>
      <c r="L61" s="10">
        <v>4</v>
      </c>
      <c r="M61" s="10">
        <v>4</v>
      </c>
      <c r="N61" s="10"/>
      <c r="O61" s="10">
        <v>71.3</v>
      </c>
      <c r="P61" s="10"/>
      <c r="S61" s="10">
        <v>76.5</v>
      </c>
      <c r="T61" s="10"/>
      <c r="Y61" s="14">
        <f t="shared" si="5"/>
        <v>1.0729312762973353</v>
      </c>
      <c r="Z61" s="14"/>
      <c r="AA61" s="14">
        <f t="shared" si="15"/>
        <v>1.0729312762973353</v>
      </c>
      <c r="AB61" s="14"/>
      <c r="AC61" s="14"/>
      <c r="AF61" s="14"/>
      <c r="AG61" s="14"/>
      <c r="AI61" s="26"/>
      <c r="AL61" s="10" t="s">
        <v>2</v>
      </c>
      <c r="AM61" s="10" t="s">
        <v>3</v>
      </c>
      <c r="AN61" s="10" t="s">
        <v>2566</v>
      </c>
    </row>
    <row r="62" spans="1:40" x14ac:dyDescent="0.3">
      <c r="A62" s="10" t="s">
        <v>503</v>
      </c>
      <c r="B62" s="10" t="s">
        <v>504</v>
      </c>
      <c r="C62" s="10"/>
      <c r="D62" s="10" t="s">
        <v>505</v>
      </c>
      <c r="E62" s="10"/>
      <c r="F62" s="10" t="s">
        <v>2654</v>
      </c>
      <c r="G62" s="10" t="s">
        <v>511</v>
      </c>
      <c r="H62" s="10" t="s">
        <v>506</v>
      </c>
      <c r="I62" s="10"/>
      <c r="J62" s="10" t="s">
        <v>71</v>
      </c>
      <c r="K62" s="10" t="s">
        <v>514</v>
      </c>
      <c r="L62" s="10">
        <v>4</v>
      </c>
      <c r="M62" s="10">
        <v>4</v>
      </c>
      <c r="N62" s="10"/>
      <c r="O62" s="10">
        <v>71.3</v>
      </c>
      <c r="P62" s="10"/>
      <c r="S62" s="10">
        <v>69.599999999999994</v>
      </c>
      <c r="T62" s="10"/>
      <c r="Y62" s="14">
        <f t="shared" si="5"/>
        <v>0.97615708274894808</v>
      </c>
      <c r="Z62" s="14"/>
      <c r="AA62" s="14">
        <f t="shared" ref="AA62:AA66" si="16">Y62+Z62</f>
        <v>0.97615708274894808</v>
      </c>
      <c r="AB62" s="14"/>
      <c r="AC62" s="14"/>
      <c r="AF62" s="14"/>
      <c r="AG62" s="14"/>
      <c r="AI62" s="26"/>
      <c r="AL62" s="10" t="s">
        <v>2</v>
      </c>
      <c r="AM62" s="10" t="s">
        <v>3</v>
      </c>
      <c r="AN62" s="10" t="s">
        <v>2566</v>
      </c>
    </row>
    <row r="63" spans="1:40" x14ac:dyDescent="0.3">
      <c r="A63" s="10" t="s">
        <v>503</v>
      </c>
      <c r="B63" s="10" t="s">
        <v>504</v>
      </c>
      <c r="C63" s="10"/>
      <c r="D63" s="10" t="s">
        <v>505</v>
      </c>
      <c r="E63" s="10"/>
      <c r="F63" s="10" t="s">
        <v>2654</v>
      </c>
      <c r="G63" s="10" t="s">
        <v>512</v>
      </c>
      <c r="H63" s="10" t="s">
        <v>506</v>
      </c>
      <c r="I63" s="10"/>
      <c r="J63" s="10" t="s">
        <v>71</v>
      </c>
      <c r="K63" s="10" t="s">
        <v>515</v>
      </c>
      <c r="L63" s="10">
        <v>4</v>
      </c>
      <c r="M63" s="10">
        <v>4</v>
      </c>
      <c r="N63" s="10"/>
      <c r="O63" s="10">
        <v>71.3</v>
      </c>
      <c r="P63" s="10"/>
      <c r="S63" s="10">
        <v>77.2</v>
      </c>
      <c r="T63" s="10"/>
      <c r="Y63" s="14">
        <f t="shared" si="5"/>
        <v>1.0827489481065919</v>
      </c>
      <c r="Z63" s="14"/>
      <c r="AA63" s="14">
        <f t="shared" si="16"/>
        <v>1.0827489481065919</v>
      </c>
      <c r="AB63" s="14"/>
      <c r="AC63" s="14"/>
      <c r="AF63" s="14"/>
      <c r="AG63" s="14"/>
      <c r="AI63" s="26"/>
      <c r="AL63" s="10" t="s">
        <v>2</v>
      </c>
      <c r="AM63" s="10" t="s">
        <v>3</v>
      </c>
      <c r="AN63" s="10" t="s">
        <v>2566</v>
      </c>
    </row>
    <row r="64" spans="1:40" s="10" customFormat="1" x14ac:dyDescent="0.3">
      <c r="A64" s="10" t="s">
        <v>503</v>
      </c>
      <c r="B64" s="10" t="s">
        <v>504</v>
      </c>
      <c r="D64" s="10" t="s">
        <v>505</v>
      </c>
      <c r="F64" s="10" t="s">
        <v>2654</v>
      </c>
      <c r="G64" s="10" t="s">
        <v>509</v>
      </c>
      <c r="H64" s="10" t="s">
        <v>506</v>
      </c>
      <c r="J64" s="10" t="s">
        <v>516</v>
      </c>
      <c r="K64" s="10" t="s">
        <v>507</v>
      </c>
      <c r="L64" s="10">
        <v>4</v>
      </c>
      <c r="M64" s="10">
        <v>4</v>
      </c>
      <c r="O64" s="10">
        <v>65.400000000000006</v>
      </c>
      <c r="S64" s="10">
        <v>63.9</v>
      </c>
      <c r="Y64" s="14">
        <f t="shared" si="5"/>
        <v>0.97706422018348615</v>
      </c>
      <c r="Z64" s="14"/>
      <c r="AA64" s="14">
        <f t="shared" si="16"/>
        <v>0.97706422018348615</v>
      </c>
      <c r="AB64" s="14"/>
      <c r="AC64" s="14"/>
      <c r="AD64"/>
      <c r="AE64"/>
      <c r="AF64" s="14"/>
      <c r="AG64" s="14"/>
      <c r="AI64" s="26"/>
      <c r="AL64" s="10" t="s">
        <v>2</v>
      </c>
      <c r="AM64" s="10" t="s">
        <v>3</v>
      </c>
      <c r="AN64" s="10" t="s">
        <v>2566</v>
      </c>
    </row>
    <row r="65" spans="1:40" s="10" customFormat="1" x14ac:dyDescent="0.3">
      <c r="A65" s="10" t="s">
        <v>503</v>
      </c>
      <c r="B65" s="10" t="s">
        <v>504</v>
      </c>
      <c r="D65" s="10" t="s">
        <v>505</v>
      </c>
      <c r="F65" s="10" t="s">
        <v>2654</v>
      </c>
      <c r="G65" s="10" t="s">
        <v>508</v>
      </c>
      <c r="H65" s="10" t="s">
        <v>506</v>
      </c>
      <c r="J65" s="10" t="s">
        <v>516</v>
      </c>
      <c r="K65" s="10" t="s">
        <v>527</v>
      </c>
      <c r="L65" s="10">
        <v>4</v>
      </c>
      <c r="M65" s="10">
        <v>4</v>
      </c>
      <c r="O65" s="10">
        <v>65.400000000000006</v>
      </c>
      <c r="S65" s="10">
        <v>63.5</v>
      </c>
      <c r="Y65" s="14">
        <f t="shared" si="5"/>
        <v>0.97094801223241578</v>
      </c>
      <c r="Z65" s="14"/>
      <c r="AA65" s="14">
        <f t="shared" si="16"/>
        <v>0.97094801223241578</v>
      </c>
      <c r="AB65" s="14"/>
      <c r="AC65" s="14"/>
      <c r="AD65"/>
      <c r="AE65"/>
      <c r="AF65" s="14"/>
      <c r="AG65" s="14"/>
      <c r="AI65" s="26"/>
      <c r="AL65" s="10" t="s">
        <v>2</v>
      </c>
      <c r="AM65" s="10" t="s">
        <v>3</v>
      </c>
      <c r="AN65" s="10" t="s">
        <v>2566</v>
      </c>
    </row>
    <row r="66" spans="1:40" x14ac:dyDescent="0.3">
      <c r="A66" s="10" t="s">
        <v>503</v>
      </c>
      <c r="B66" s="10" t="s">
        <v>504</v>
      </c>
      <c r="C66" s="10"/>
      <c r="D66" s="10" t="s">
        <v>505</v>
      </c>
      <c r="E66" s="10"/>
      <c r="F66" s="10" t="s">
        <v>2654</v>
      </c>
      <c r="G66" s="10" t="s">
        <v>510</v>
      </c>
      <c r="H66" s="10" t="s">
        <v>506</v>
      </c>
      <c r="I66" s="10"/>
      <c r="J66" s="10" t="s">
        <v>516</v>
      </c>
      <c r="K66" s="10" t="s">
        <v>513</v>
      </c>
      <c r="L66" s="10">
        <v>4</v>
      </c>
      <c r="M66" s="10">
        <v>4</v>
      </c>
      <c r="N66" s="10"/>
      <c r="O66" s="10">
        <v>65.400000000000006</v>
      </c>
      <c r="P66" s="10"/>
      <c r="S66" s="10">
        <v>66.3</v>
      </c>
      <c r="T66" s="10"/>
      <c r="Y66" s="14">
        <f t="shared" si="5"/>
        <v>1.0137614678899081</v>
      </c>
      <c r="Z66" s="14"/>
      <c r="AA66" s="14">
        <f t="shared" si="16"/>
        <v>1.0137614678899081</v>
      </c>
      <c r="AB66" s="14"/>
      <c r="AC66" s="14"/>
      <c r="AF66" s="14"/>
      <c r="AG66" s="14"/>
      <c r="AI66" s="26"/>
      <c r="AL66" s="10" t="s">
        <v>2</v>
      </c>
      <c r="AM66" s="10" t="s">
        <v>3</v>
      </c>
      <c r="AN66" s="10" t="s">
        <v>2566</v>
      </c>
    </row>
    <row r="67" spans="1:40" x14ac:dyDescent="0.3">
      <c r="A67" s="10" t="s">
        <v>503</v>
      </c>
      <c r="B67" s="10" t="s">
        <v>504</v>
      </c>
      <c r="C67" s="10"/>
      <c r="D67" s="10" t="s">
        <v>505</v>
      </c>
      <c r="E67" s="10"/>
      <c r="F67" s="10" t="s">
        <v>2654</v>
      </c>
      <c r="G67" s="10" t="s">
        <v>511</v>
      </c>
      <c r="H67" s="10" t="s">
        <v>506</v>
      </c>
      <c r="I67" s="10"/>
      <c r="J67" s="10" t="s">
        <v>516</v>
      </c>
      <c r="K67" s="10" t="s">
        <v>514</v>
      </c>
      <c r="L67" s="10">
        <v>4</v>
      </c>
      <c r="M67" s="10">
        <v>4</v>
      </c>
      <c r="N67" s="10"/>
      <c r="O67" s="10">
        <v>65.400000000000006</v>
      </c>
      <c r="P67" s="10"/>
      <c r="S67" s="10">
        <v>60.2</v>
      </c>
      <c r="T67" s="10"/>
      <c r="Y67" s="14">
        <f t="shared" si="5"/>
        <v>0.92048929663608559</v>
      </c>
      <c r="Z67" s="14"/>
      <c r="AA67" s="14">
        <f t="shared" ref="AA67:AA71" si="17">Y67+Z67</f>
        <v>0.92048929663608559</v>
      </c>
      <c r="AB67" s="14"/>
      <c r="AC67" s="14"/>
      <c r="AF67" s="14"/>
      <c r="AG67" s="14"/>
      <c r="AI67" s="26"/>
      <c r="AL67" s="10" t="s">
        <v>2</v>
      </c>
      <c r="AM67" s="10" t="s">
        <v>3</v>
      </c>
      <c r="AN67" s="10" t="s">
        <v>2566</v>
      </c>
    </row>
    <row r="68" spans="1:40" x14ac:dyDescent="0.3">
      <c r="A68" s="10" t="s">
        <v>503</v>
      </c>
      <c r="B68" s="10" t="s">
        <v>504</v>
      </c>
      <c r="C68" s="10"/>
      <c r="D68" s="10" t="s">
        <v>505</v>
      </c>
      <c r="E68" s="10"/>
      <c r="F68" s="10" t="s">
        <v>2654</v>
      </c>
      <c r="G68" s="10" t="s">
        <v>512</v>
      </c>
      <c r="H68" s="10" t="s">
        <v>506</v>
      </c>
      <c r="I68" s="10"/>
      <c r="J68" s="10" t="s">
        <v>516</v>
      </c>
      <c r="K68" s="10" t="s">
        <v>515</v>
      </c>
      <c r="L68" s="10">
        <v>4</v>
      </c>
      <c r="M68" s="10">
        <v>4</v>
      </c>
      <c r="N68" s="10"/>
      <c r="O68" s="10">
        <v>65.400000000000006</v>
      </c>
      <c r="P68" s="10"/>
      <c r="S68" s="10">
        <v>64.8</v>
      </c>
      <c r="T68" s="10"/>
      <c r="Y68" s="14">
        <f t="shared" si="5"/>
        <v>0.99082568807339433</v>
      </c>
      <c r="Z68" s="14"/>
      <c r="AA68" s="14">
        <f t="shared" si="17"/>
        <v>0.99082568807339433</v>
      </c>
      <c r="AB68" s="14"/>
      <c r="AC68" s="14"/>
      <c r="AF68" s="14"/>
      <c r="AG68" s="14"/>
      <c r="AI68" s="26"/>
      <c r="AL68" s="10" t="s">
        <v>2</v>
      </c>
      <c r="AM68" s="10" t="s">
        <v>3</v>
      </c>
      <c r="AN68" s="10" t="s">
        <v>2566</v>
      </c>
    </row>
    <row r="69" spans="1:40" s="10" customFormat="1" x14ac:dyDescent="0.3">
      <c r="A69" s="10" t="s">
        <v>503</v>
      </c>
      <c r="B69" s="10" t="s">
        <v>504</v>
      </c>
      <c r="D69" s="10" t="s">
        <v>505</v>
      </c>
      <c r="F69" s="10" t="s">
        <v>2654</v>
      </c>
      <c r="G69" s="10" t="s">
        <v>509</v>
      </c>
      <c r="H69" s="10" t="s">
        <v>506</v>
      </c>
      <c r="J69" s="10" t="s">
        <v>517</v>
      </c>
      <c r="K69" s="10" t="s">
        <v>507</v>
      </c>
      <c r="L69" s="10">
        <v>4</v>
      </c>
      <c r="M69" s="10">
        <v>4</v>
      </c>
      <c r="O69" s="10">
        <v>27.9</v>
      </c>
      <c r="S69" s="10">
        <v>27.7</v>
      </c>
      <c r="Y69" s="14">
        <f t="shared" si="5"/>
        <v>0.99283154121863804</v>
      </c>
      <c r="Z69" s="14"/>
      <c r="AA69" s="14">
        <f t="shared" si="17"/>
        <v>0.99283154121863804</v>
      </c>
      <c r="AB69" s="14"/>
      <c r="AC69" s="14"/>
      <c r="AD69"/>
      <c r="AE69"/>
      <c r="AF69" s="14"/>
      <c r="AG69" s="14"/>
      <c r="AI69" s="26"/>
      <c r="AL69" s="10" t="s">
        <v>2</v>
      </c>
      <c r="AM69" s="10" t="s">
        <v>3</v>
      </c>
      <c r="AN69" s="10" t="s">
        <v>2566</v>
      </c>
    </row>
    <row r="70" spans="1:40" s="10" customFormat="1" x14ac:dyDescent="0.3">
      <c r="A70" s="10" t="s">
        <v>503</v>
      </c>
      <c r="B70" s="10" t="s">
        <v>504</v>
      </c>
      <c r="D70" s="10" t="s">
        <v>505</v>
      </c>
      <c r="F70" s="10" t="s">
        <v>2654</v>
      </c>
      <c r="G70" s="10" t="s">
        <v>508</v>
      </c>
      <c r="H70" s="10" t="s">
        <v>506</v>
      </c>
      <c r="J70" s="10" t="s">
        <v>517</v>
      </c>
      <c r="K70" s="10" t="s">
        <v>527</v>
      </c>
      <c r="L70" s="10">
        <v>4</v>
      </c>
      <c r="M70" s="10">
        <v>4</v>
      </c>
      <c r="O70" s="10">
        <v>27.9</v>
      </c>
      <c r="S70" s="10">
        <v>26.8</v>
      </c>
      <c r="Y70" s="14">
        <f t="shared" si="5"/>
        <v>0.96057347670250903</v>
      </c>
      <c r="Z70" s="14"/>
      <c r="AA70" s="14">
        <f t="shared" si="17"/>
        <v>0.96057347670250903</v>
      </c>
      <c r="AB70" s="14"/>
      <c r="AC70" s="14"/>
      <c r="AD70"/>
      <c r="AE70"/>
      <c r="AF70" s="14"/>
      <c r="AG70" s="14"/>
      <c r="AI70" s="26"/>
      <c r="AL70" s="10" t="s">
        <v>2</v>
      </c>
      <c r="AM70" s="10" t="s">
        <v>3</v>
      </c>
      <c r="AN70" s="10" t="s">
        <v>2566</v>
      </c>
    </row>
    <row r="71" spans="1:40" x14ac:dyDescent="0.3">
      <c r="A71" s="10" t="s">
        <v>503</v>
      </c>
      <c r="B71" s="10" t="s">
        <v>504</v>
      </c>
      <c r="C71" s="10"/>
      <c r="D71" s="10" t="s">
        <v>505</v>
      </c>
      <c r="E71" s="10"/>
      <c r="F71" s="10" t="s">
        <v>2654</v>
      </c>
      <c r="G71" s="10" t="s">
        <v>510</v>
      </c>
      <c r="H71" s="10" t="s">
        <v>506</v>
      </c>
      <c r="I71" s="10"/>
      <c r="J71" s="10" t="s">
        <v>517</v>
      </c>
      <c r="K71" s="10" t="s">
        <v>513</v>
      </c>
      <c r="L71" s="10">
        <v>4</v>
      </c>
      <c r="M71" s="10">
        <v>4</v>
      </c>
      <c r="N71" s="10"/>
      <c r="O71" s="10">
        <v>27.9</v>
      </c>
      <c r="P71" s="10"/>
      <c r="S71" s="10">
        <v>28.4</v>
      </c>
      <c r="T71" s="10"/>
      <c r="Y71" s="14">
        <f t="shared" si="5"/>
        <v>1.0179211469534051</v>
      </c>
      <c r="Z71" s="14"/>
      <c r="AA71" s="14">
        <f t="shared" si="17"/>
        <v>1.0179211469534051</v>
      </c>
      <c r="AB71" s="14"/>
      <c r="AC71" s="14"/>
      <c r="AF71" s="14"/>
      <c r="AG71" s="14"/>
      <c r="AI71" s="26"/>
      <c r="AL71" s="10" t="s">
        <v>2</v>
      </c>
      <c r="AM71" s="10" t="s">
        <v>3</v>
      </c>
      <c r="AN71" s="10" t="s">
        <v>2566</v>
      </c>
    </row>
    <row r="72" spans="1:40" x14ac:dyDescent="0.3">
      <c r="A72" s="10" t="s">
        <v>503</v>
      </c>
      <c r="B72" s="10" t="s">
        <v>504</v>
      </c>
      <c r="C72" s="10"/>
      <c r="D72" s="10" t="s">
        <v>505</v>
      </c>
      <c r="E72" s="10"/>
      <c r="F72" s="10" t="s">
        <v>2654</v>
      </c>
      <c r="G72" s="10" t="s">
        <v>511</v>
      </c>
      <c r="H72" s="10" t="s">
        <v>506</v>
      </c>
      <c r="I72" s="10"/>
      <c r="J72" s="10" t="s">
        <v>517</v>
      </c>
      <c r="K72" s="10" t="s">
        <v>514</v>
      </c>
      <c r="L72" s="10">
        <v>4</v>
      </c>
      <c r="M72" s="10">
        <v>4</v>
      </c>
      <c r="N72" s="10"/>
      <c r="O72" s="10">
        <v>27.9</v>
      </c>
      <c r="P72" s="10"/>
      <c r="S72" s="10">
        <v>27.4</v>
      </c>
      <c r="T72" s="10"/>
      <c r="Y72" s="14">
        <f t="shared" si="5"/>
        <v>0.98207885304659504</v>
      </c>
      <c r="Z72" s="14"/>
      <c r="AA72" s="14">
        <f t="shared" ref="AA72:AA92" si="18">Y72+Z72</f>
        <v>0.98207885304659504</v>
      </c>
      <c r="AB72" s="14"/>
      <c r="AC72" s="14"/>
      <c r="AF72" s="14"/>
      <c r="AG72" s="14"/>
      <c r="AI72" s="26"/>
      <c r="AL72" s="10" t="s">
        <v>2</v>
      </c>
      <c r="AM72" s="10" t="s">
        <v>3</v>
      </c>
      <c r="AN72" s="10" t="s">
        <v>2566</v>
      </c>
    </row>
    <row r="73" spans="1:40" x14ac:dyDescent="0.3">
      <c r="A73" s="10" t="s">
        <v>503</v>
      </c>
      <c r="B73" s="10" t="s">
        <v>504</v>
      </c>
      <c r="C73" s="10"/>
      <c r="D73" s="10" t="s">
        <v>505</v>
      </c>
      <c r="E73" s="10"/>
      <c r="F73" s="10" t="s">
        <v>2654</v>
      </c>
      <c r="G73" s="10" t="s">
        <v>512</v>
      </c>
      <c r="H73" s="10" t="s">
        <v>506</v>
      </c>
      <c r="I73" s="10"/>
      <c r="J73" s="10" t="s">
        <v>517</v>
      </c>
      <c r="K73" s="10" t="s">
        <v>515</v>
      </c>
      <c r="L73" s="10">
        <v>4</v>
      </c>
      <c r="M73" s="10">
        <v>4</v>
      </c>
      <c r="N73" s="10"/>
      <c r="O73" s="10">
        <v>27.9</v>
      </c>
      <c r="P73" s="10"/>
      <c r="S73" s="10">
        <v>29.2</v>
      </c>
      <c r="T73" s="10"/>
      <c r="Y73" s="14">
        <f t="shared" si="5"/>
        <v>1.0465949820788532</v>
      </c>
      <c r="Z73" s="14"/>
      <c r="AA73" s="14">
        <f t="shared" si="18"/>
        <v>1.0465949820788532</v>
      </c>
      <c r="AB73" s="14"/>
      <c r="AC73" s="14"/>
      <c r="AF73" s="14"/>
      <c r="AG73" s="14"/>
      <c r="AI73" s="26"/>
      <c r="AL73" s="10" t="s">
        <v>2</v>
      </c>
      <c r="AM73" s="10" t="s">
        <v>3</v>
      </c>
      <c r="AN73" s="10" t="s">
        <v>2566</v>
      </c>
    </row>
    <row r="74" spans="1:40" x14ac:dyDescent="0.3">
      <c r="A74" s="10" t="s">
        <v>518</v>
      </c>
      <c r="B74" s="10" t="s">
        <v>29</v>
      </c>
      <c r="C74" s="10" t="s">
        <v>28</v>
      </c>
      <c r="D74" s="10" t="s">
        <v>519</v>
      </c>
      <c r="F74" s="10" t="s">
        <v>2654</v>
      </c>
      <c r="G74" s="10" t="s">
        <v>508</v>
      </c>
      <c r="H74" s="10" t="s">
        <v>1925</v>
      </c>
      <c r="I74" s="10" t="s">
        <v>520</v>
      </c>
      <c r="J74" s="10" t="s">
        <v>516</v>
      </c>
      <c r="K74" s="10" t="s">
        <v>527</v>
      </c>
      <c r="L74" s="10">
        <v>4</v>
      </c>
      <c r="M74" s="10">
        <v>4</v>
      </c>
      <c r="N74" s="10"/>
      <c r="O74" s="10">
        <v>2500</v>
      </c>
      <c r="P74" s="10"/>
      <c r="S74" s="10">
        <v>2180</v>
      </c>
      <c r="T74" s="10"/>
      <c r="Y74" s="14">
        <f t="shared" si="5"/>
        <v>0.872</v>
      </c>
      <c r="AA74" s="14">
        <f t="shared" si="18"/>
        <v>0.872</v>
      </c>
      <c r="AB74" s="14"/>
      <c r="AC74" s="14"/>
      <c r="AF74" s="14"/>
      <c r="AG74" s="14"/>
      <c r="AH74">
        <v>0</v>
      </c>
      <c r="AL74" s="10" t="s">
        <v>2</v>
      </c>
      <c r="AM74" s="10" t="s">
        <v>3</v>
      </c>
      <c r="AN74" s="10" t="s">
        <v>2566</v>
      </c>
    </row>
    <row r="75" spans="1:40" x14ac:dyDescent="0.3">
      <c r="A75" s="10" t="s">
        <v>518</v>
      </c>
      <c r="B75" s="10" t="s">
        <v>29</v>
      </c>
      <c r="C75" s="10" t="s">
        <v>28</v>
      </c>
      <c r="D75" s="10" t="s">
        <v>519</v>
      </c>
      <c r="F75" s="10" t="s">
        <v>2654</v>
      </c>
      <c r="G75" s="10" t="s">
        <v>508</v>
      </c>
      <c r="H75" s="10" t="s">
        <v>1925</v>
      </c>
      <c r="I75" t="s">
        <v>521</v>
      </c>
      <c r="J75" s="10" t="s">
        <v>516</v>
      </c>
      <c r="K75" s="10" t="s">
        <v>527</v>
      </c>
      <c r="L75" s="10">
        <v>4</v>
      </c>
      <c r="M75" s="10">
        <v>4</v>
      </c>
      <c r="N75" s="10"/>
      <c r="O75" s="10">
        <v>2450</v>
      </c>
      <c r="P75" s="10"/>
      <c r="S75" s="10">
        <v>2320</v>
      </c>
      <c r="T75" s="10"/>
      <c r="Y75" s="14">
        <f t="shared" si="5"/>
        <v>0.94693877551020411</v>
      </c>
      <c r="AA75" s="14">
        <f t="shared" si="18"/>
        <v>0.94693877551020411</v>
      </c>
      <c r="AB75" s="14"/>
      <c r="AC75" s="14"/>
      <c r="AF75" s="14"/>
      <c r="AG75" s="14"/>
      <c r="AH75">
        <v>0</v>
      </c>
      <c r="AI75" s="26" t="s">
        <v>1</v>
      </c>
      <c r="AL75" s="10" t="s">
        <v>2</v>
      </c>
      <c r="AM75" s="10" t="s">
        <v>3</v>
      </c>
      <c r="AN75" s="10" t="s">
        <v>2566</v>
      </c>
    </row>
    <row r="76" spans="1:40" x14ac:dyDescent="0.3">
      <c r="A76" s="10" t="s">
        <v>518</v>
      </c>
      <c r="B76" s="10" t="s">
        <v>29</v>
      </c>
      <c r="C76" s="10" t="s">
        <v>28</v>
      </c>
      <c r="D76" s="10" t="s">
        <v>519</v>
      </c>
      <c r="F76" s="10" t="s">
        <v>2654</v>
      </c>
      <c r="G76" s="10" t="s">
        <v>508</v>
      </c>
      <c r="H76" s="10" t="s">
        <v>1925</v>
      </c>
      <c r="I76" t="s">
        <v>522</v>
      </c>
      <c r="J76" s="10" t="s">
        <v>516</v>
      </c>
      <c r="K76" s="10" t="s">
        <v>527</v>
      </c>
      <c r="L76" s="10">
        <v>4</v>
      </c>
      <c r="M76" s="10">
        <v>4</v>
      </c>
      <c r="N76" s="10"/>
      <c r="O76" s="10">
        <v>2730</v>
      </c>
      <c r="P76" s="10"/>
      <c r="S76" s="10">
        <v>2570</v>
      </c>
      <c r="T76" s="10"/>
      <c r="Y76" s="14">
        <f t="shared" si="5"/>
        <v>0.94139194139194138</v>
      </c>
      <c r="AA76" s="14">
        <f t="shared" si="18"/>
        <v>0.94139194139194138</v>
      </c>
      <c r="AB76" s="14"/>
      <c r="AC76" s="14"/>
      <c r="AF76" s="14"/>
      <c r="AG76" s="14"/>
      <c r="AH76">
        <v>0</v>
      </c>
      <c r="AI76" s="26" t="s">
        <v>1</v>
      </c>
      <c r="AL76" s="10" t="s">
        <v>2</v>
      </c>
      <c r="AM76" s="10" t="s">
        <v>3</v>
      </c>
      <c r="AN76" s="10" t="s">
        <v>2566</v>
      </c>
    </row>
    <row r="77" spans="1:40" x14ac:dyDescent="0.3">
      <c r="A77" s="10" t="s">
        <v>518</v>
      </c>
      <c r="B77" s="10" t="s">
        <v>29</v>
      </c>
      <c r="C77" s="10" t="s">
        <v>28</v>
      </c>
      <c r="D77" s="10" t="s">
        <v>519</v>
      </c>
      <c r="F77" s="10" t="s">
        <v>2654</v>
      </c>
      <c r="G77" s="10" t="s">
        <v>523</v>
      </c>
      <c r="H77" s="10" t="s">
        <v>1925</v>
      </c>
      <c r="I77" s="10" t="s">
        <v>520</v>
      </c>
      <c r="J77" s="10" t="s">
        <v>516</v>
      </c>
      <c r="K77" s="10" t="s">
        <v>525</v>
      </c>
      <c r="L77" s="10">
        <v>4</v>
      </c>
      <c r="M77" s="10">
        <v>4</v>
      </c>
      <c r="N77" s="10"/>
      <c r="O77" s="10">
        <v>2500</v>
      </c>
      <c r="P77" s="10"/>
      <c r="S77" s="10">
        <v>2620</v>
      </c>
      <c r="T77" s="10"/>
      <c r="Y77" s="14">
        <f t="shared" si="5"/>
        <v>1.048</v>
      </c>
      <c r="AA77" s="14">
        <f t="shared" si="18"/>
        <v>1.048</v>
      </c>
      <c r="AB77" s="14"/>
      <c r="AC77" s="14"/>
      <c r="AF77" s="14"/>
      <c r="AG77" s="14"/>
      <c r="AH77">
        <v>0</v>
      </c>
      <c r="AI77" s="6"/>
      <c r="AL77" s="10" t="s">
        <v>2</v>
      </c>
      <c r="AM77" s="10" t="s">
        <v>3</v>
      </c>
      <c r="AN77" s="10" t="s">
        <v>2566</v>
      </c>
    </row>
    <row r="78" spans="1:40" x14ac:dyDescent="0.3">
      <c r="A78" s="10" t="s">
        <v>518</v>
      </c>
      <c r="B78" s="10" t="s">
        <v>29</v>
      </c>
      <c r="C78" s="10" t="s">
        <v>28</v>
      </c>
      <c r="D78" s="10" t="s">
        <v>519</v>
      </c>
      <c r="F78" s="10" t="s">
        <v>2654</v>
      </c>
      <c r="G78" s="10" t="s">
        <v>523</v>
      </c>
      <c r="H78" s="10" t="s">
        <v>1925</v>
      </c>
      <c r="I78" t="s">
        <v>521</v>
      </c>
      <c r="J78" s="10" t="s">
        <v>516</v>
      </c>
      <c r="K78" s="10" t="s">
        <v>525</v>
      </c>
      <c r="L78" s="10">
        <v>4</v>
      </c>
      <c r="M78" s="10">
        <v>4</v>
      </c>
      <c r="N78" s="10"/>
      <c r="O78" s="10">
        <v>2450</v>
      </c>
      <c r="P78" s="10"/>
      <c r="S78" s="10">
        <v>2700</v>
      </c>
      <c r="T78" s="10"/>
      <c r="Y78" s="14">
        <f t="shared" si="5"/>
        <v>1.1020408163265305</v>
      </c>
      <c r="AA78" s="14">
        <f t="shared" si="18"/>
        <v>1.1020408163265305</v>
      </c>
      <c r="AB78" s="14"/>
      <c r="AC78" s="14"/>
      <c r="AF78" s="14"/>
      <c r="AG78" s="14"/>
      <c r="AH78">
        <v>0</v>
      </c>
      <c r="AI78" s="26" t="s">
        <v>1</v>
      </c>
      <c r="AL78" s="10" t="s">
        <v>2</v>
      </c>
      <c r="AM78" s="10" t="s">
        <v>3</v>
      </c>
      <c r="AN78" s="10" t="s">
        <v>2566</v>
      </c>
    </row>
    <row r="79" spans="1:40" x14ac:dyDescent="0.3">
      <c r="A79" s="10" t="s">
        <v>518</v>
      </c>
      <c r="B79" s="10" t="s">
        <v>29</v>
      </c>
      <c r="C79" s="10" t="s">
        <v>28</v>
      </c>
      <c r="D79" s="10" t="s">
        <v>519</v>
      </c>
      <c r="F79" s="10" t="s">
        <v>2654</v>
      </c>
      <c r="G79" s="10" t="s">
        <v>523</v>
      </c>
      <c r="H79" s="10" t="s">
        <v>1925</v>
      </c>
      <c r="I79" t="s">
        <v>522</v>
      </c>
      <c r="J79" s="10" t="s">
        <v>516</v>
      </c>
      <c r="K79" s="10" t="s">
        <v>525</v>
      </c>
      <c r="L79" s="10">
        <v>4</v>
      </c>
      <c r="M79" s="10">
        <v>4</v>
      </c>
      <c r="N79" s="10"/>
      <c r="O79" s="10">
        <v>2730</v>
      </c>
      <c r="P79" s="10"/>
      <c r="S79" s="10">
        <v>2710</v>
      </c>
      <c r="T79" s="10"/>
      <c r="Y79" s="14">
        <f t="shared" si="5"/>
        <v>0.9926739926739927</v>
      </c>
      <c r="AA79" s="14">
        <f t="shared" si="18"/>
        <v>0.9926739926739927</v>
      </c>
      <c r="AB79" s="14"/>
      <c r="AC79" s="14"/>
      <c r="AF79" s="14"/>
      <c r="AG79" s="14"/>
      <c r="AH79">
        <v>0</v>
      </c>
      <c r="AI79" s="26" t="s">
        <v>1</v>
      </c>
      <c r="AL79" s="10" t="s">
        <v>2</v>
      </c>
      <c r="AM79" s="10" t="s">
        <v>3</v>
      </c>
      <c r="AN79" s="10" t="s">
        <v>2566</v>
      </c>
    </row>
    <row r="80" spans="1:40" x14ac:dyDescent="0.3">
      <c r="A80" s="10" t="s">
        <v>518</v>
      </c>
      <c r="B80" s="10" t="s">
        <v>29</v>
      </c>
      <c r="C80" s="10" t="s">
        <v>28</v>
      </c>
      <c r="D80" s="10" t="s">
        <v>519</v>
      </c>
      <c r="F80" s="10" t="s">
        <v>2654</v>
      </c>
      <c r="G80" s="10" t="s">
        <v>524</v>
      </c>
      <c r="H80" s="10" t="s">
        <v>1925</v>
      </c>
      <c r="I80" s="10" t="s">
        <v>520</v>
      </c>
      <c r="J80" s="10" t="s">
        <v>516</v>
      </c>
      <c r="K80" s="10" t="s">
        <v>526</v>
      </c>
      <c r="L80" s="10">
        <v>4</v>
      </c>
      <c r="M80" s="10">
        <v>4</v>
      </c>
      <c r="N80" s="10"/>
      <c r="O80" s="10">
        <v>2500</v>
      </c>
      <c r="P80" s="10"/>
      <c r="S80" s="10">
        <v>2320</v>
      </c>
      <c r="T80" s="10"/>
      <c r="Y80" s="14">
        <f t="shared" ref="Y80:Y111" si="19">S80/O80</f>
        <v>0.92800000000000005</v>
      </c>
      <c r="AA80" s="14">
        <f t="shared" si="18"/>
        <v>0.92800000000000005</v>
      </c>
      <c r="AB80" s="14"/>
      <c r="AC80" s="14"/>
      <c r="AF80" s="14"/>
      <c r="AG80" s="14"/>
      <c r="AH80">
        <v>0</v>
      </c>
      <c r="AI80" s="6"/>
      <c r="AL80" s="10" t="s">
        <v>2</v>
      </c>
      <c r="AM80" s="10" t="s">
        <v>3</v>
      </c>
      <c r="AN80" s="10" t="s">
        <v>2566</v>
      </c>
    </row>
    <row r="81" spans="1:40" x14ac:dyDescent="0.3">
      <c r="A81" s="10" t="s">
        <v>518</v>
      </c>
      <c r="B81" s="10" t="s">
        <v>29</v>
      </c>
      <c r="C81" s="10" t="s">
        <v>28</v>
      </c>
      <c r="D81" s="10" t="s">
        <v>519</v>
      </c>
      <c r="F81" s="10" t="s">
        <v>2654</v>
      </c>
      <c r="G81" s="10" t="s">
        <v>524</v>
      </c>
      <c r="H81" s="10" t="s">
        <v>1925</v>
      </c>
      <c r="I81" t="s">
        <v>521</v>
      </c>
      <c r="J81" s="10" t="s">
        <v>516</v>
      </c>
      <c r="K81" s="10" t="s">
        <v>526</v>
      </c>
      <c r="L81" s="10">
        <v>4</v>
      </c>
      <c r="M81" s="10">
        <v>4</v>
      </c>
      <c r="N81" s="10"/>
      <c r="O81" s="10">
        <v>2450</v>
      </c>
      <c r="P81" s="10"/>
      <c r="S81" s="10">
        <v>2550</v>
      </c>
      <c r="T81" s="10"/>
      <c r="Y81" s="14">
        <f t="shared" si="19"/>
        <v>1.0408163265306123</v>
      </c>
      <c r="AA81" s="14">
        <f t="shared" si="18"/>
        <v>1.0408163265306123</v>
      </c>
      <c r="AB81" s="14"/>
      <c r="AC81" s="14"/>
      <c r="AF81" s="14"/>
      <c r="AG81" s="14"/>
      <c r="AH81">
        <v>0</v>
      </c>
      <c r="AI81" s="26" t="s">
        <v>1</v>
      </c>
      <c r="AL81" s="10" t="s">
        <v>2</v>
      </c>
      <c r="AM81" s="10" t="s">
        <v>3</v>
      </c>
      <c r="AN81" s="10" t="s">
        <v>2566</v>
      </c>
    </row>
    <row r="82" spans="1:40" x14ac:dyDescent="0.3">
      <c r="A82" s="10" t="s">
        <v>518</v>
      </c>
      <c r="B82" s="10" t="s">
        <v>29</v>
      </c>
      <c r="C82" s="10" t="s">
        <v>28</v>
      </c>
      <c r="D82" s="10" t="s">
        <v>519</v>
      </c>
      <c r="E82" s="10"/>
      <c r="F82" s="10" t="s">
        <v>2654</v>
      </c>
      <c r="G82" s="10" t="s">
        <v>524</v>
      </c>
      <c r="H82" s="10" t="s">
        <v>1925</v>
      </c>
      <c r="I82" s="10" t="s">
        <v>522</v>
      </c>
      <c r="J82" s="10" t="s">
        <v>516</v>
      </c>
      <c r="K82" s="10" t="s">
        <v>526</v>
      </c>
      <c r="L82" s="10">
        <v>4</v>
      </c>
      <c r="M82" s="10">
        <v>4</v>
      </c>
      <c r="N82" s="10"/>
      <c r="O82" s="10">
        <v>2730</v>
      </c>
      <c r="P82" s="10"/>
      <c r="Q82" s="10"/>
      <c r="R82" s="10"/>
      <c r="S82" s="10">
        <v>2490</v>
      </c>
      <c r="T82" s="10"/>
      <c r="Y82" s="14">
        <f t="shared" si="19"/>
        <v>0.91208791208791207</v>
      </c>
      <c r="AA82" s="14">
        <f t="shared" si="18"/>
        <v>0.91208791208791207</v>
      </c>
      <c r="AB82" s="14"/>
      <c r="AC82" s="14"/>
      <c r="AF82" s="14"/>
      <c r="AG82" s="14"/>
      <c r="AH82">
        <v>0</v>
      </c>
      <c r="AI82" s="26" t="s">
        <v>1</v>
      </c>
      <c r="AL82" s="10" t="s">
        <v>2</v>
      </c>
      <c r="AM82" s="10" t="s">
        <v>3</v>
      </c>
      <c r="AN82" s="10" t="s">
        <v>2566</v>
      </c>
    </row>
    <row r="83" spans="1:40" x14ac:dyDescent="0.3">
      <c r="A83" s="10" t="s">
        <v>528</v>
      </c>
      <c r="B83" s="10" t="s">
        <v>529</v>
      </c>
      <c r="E83" s="16">
        <v>2006</v>
      </c>
      <c r="F83" s="10" t="s">
        <v>2654</v>
      </c>
      <c r="G83" s="10" t="s">
        <v>531</v>
      </c>
      <c r="H83" s="10" t="s">
        <v>506</v>
      </c>
      <c r="I83" s="10"/>
      <c r="J83" s="10" t="s">
        <v>180</v>
      </c>
      <c r="K83" s="10" t="s">
        <v>530</v>
      </c>
      <c r="L83" s="10">
        <v>12</v>
      </c>
      <c r="M83" s="10">
        <v>12</v>
      </c>
      <c r="N83" s="10"/>
      <c r="O83" s="10">
        <v>82</v>
      </c>
      <c r="P83" s="10"/>
      <c r="Q83" s="10"/>
      <c r="R83" s="10"/>
      <c r="S83" s="10">
        <v>77</v>
      </c>
      <c r="T83" s="10"/>
      <c r="Y83" s="14">
        <f t="shared" si="19"/>
        <v>0.93902439024390238</v>
      </c>
      <c r="AA83" s="14">
        <f t="shared" si="18"/>
        <v>0.93902439024390238</v>
      </c>
      <c r="AB83" s="14"/>
      <c r="AC83" s="14"/>
      <c r="AF83" s="14"/>
      <c r="AG83" s="14"/>
      <c r="AH83">
        <v>0</v>
      </c>
      <c r="AI83" s="6"/>
      <c r="AL83" s="10" t="s">
        <v>2</v>
      </c>
      <c r="AM83" s="10" t="s">
        <v>3</v>
      </c>
      <c r="AN83" s="10" t="s">
        <v>2566</v>
      </c>
    </row>
    <row r="84" spans="1:40" x14ac:dyDescent="0.3">
      <c r="A84" s="10" t="s">
        <v>528</v>
      </c>
      <c r="B84" s="10" t="s">
        <v>529</v>
      </c>
      <c r="E84" s="16">
        <v>2006</v>
      </c>
      <c r="F84" s="10" t="s">
        <v>2654</v>
      </c>
      <c r="G84" s="10" t="s">
        <v>533</v>
      </c>
      <c r="H84" s="10" t="s">
        <v>506</v>
      </c>
      <c r="I84" s="10"/>
      <c r="J84" s="10" t="s">
        <v>180</v>
      </c>
      <c r="K84" s="10" t="s">
        <v>532</v>
      </c>
      <c r="L84" s="10">
        <v>12</v>
      </c>
      <c r="M84" s="10">
        <v>12</v>
      </c>
      <c r="N84" s="10"/>
      <c r="O84" s="10">
        <v>82</v>
      </c>
      <c r="P84" s="10"/>
      <c r="Q84" s="10"/>
      <c r="R84" s="10"/>
      <c r="S84" s="10">
        <v>90</v>
      </c>
      <c r="T84" s="10"/>
      <c r="Y84" s="14">
        <f t="shared" si="19"/>
        <v>1.0975609756097562</v>
      </c>
      <c r="AA84" s="14">
        <f t="shared" si="18"/>
        <v>1.0975609756097562</v>
      </c>
      <c r="AB84" s="14"/>
      <c r="AC84" s="14"/>
      <c r="AF84" s="14"/>
      <c r="AG84" s="14"/>
      <c r="AH84">
        <v>0</v>
      </c>
      <c r="AI84" s="6"/>
      <c r="AL84" s="10" t="s">
        <v>2</v>
      </c>
      <c r="AM84" s="10" t="s">
        <v>3</v>
      </c>
      <c r="AN84" s="10" t="s">
        <v>2566</v>
      </c>
    </row>
    <row r="85" spans="1:40" x14ac:dyDescent="0.3">
      <c r="A85" s="10" t="s">
        <v>528</v>
      </c>
      <c r="B85" s="10" t="s">
        <v>529</v>
      </c>
      <c r="E85" s="16">
        <v>2007</v>
      </c>
      <c r="F85" s="10" t="s">
        <v>2654</v>
      </c>
      <c r="G85" s="10" t="s">
        <v>531</v>
      </c>
      <c r="H85" s="10" t="s">
        <v>506</v>
      </c>
      <c r="I85" s="10"/>
      <c r="J85" s="10" t="s">
        <v>180</v>
      </c>
      <c r="K85" s="10" t="s">
        <v>530</v>
      </c>
      <c r="L85" s="10">
        <v>12</v>
      </c>
      <c r="M85" s="10">
        <v>12</v>
      </c>
      <c r="N85" s="10"/>
      <c r="O85" s="10">
        <v>75</v>
      </c>
      <c r="P85" s="10"/>
      <c r="Q85" s="10"/>
      <c r="R85" s="10"/>
      <c r="S85" s="10">
        <v>77</v>
      </c>
      <c r="T85" s="10"/>
      <c r="Y85" s="14">
        <f t="shared" si="19"/>
        <v>1.0266666666666666</v>
      </c>
      <c r="AA85" s="14">
        <f t="shared" si="18"/>
        <v>1.0266666666666666</v>
      </c>
      <c r="AB85" s="14"/>
      <c r="AC85" s="14"/>
      <c r="AF85" s="14"/>
      <c r="AG85" s="14"/>
      <c r="AH85">
        <v>0</v>
      </c>
      <c r="AI85" s="6"/>
      <c r="AL85" s="10" t="s">
        <v>2</v>
      </c>
      <c r="AM85" s="10" t="s">
        <v>3</v>
      </c>
      <c r="AN85" s="10" t="s">
        <v>2566</v>
      </c>
    </row>
    <row r="86" spans="1:40" x14ac:dyDescent="0.3">
      <c r="A86" s="10" t="s">
        <v>528</v>
      </c>
      <c r="B86" s="10" t="s">
        <v>529</v>
      </c>
      <c r="E86" s="16">
        <v>2007</v>
      </c>
      <c r="F86" s="10" t="s">
        <v>2654</v>
      </c>
      <c r="G86" s="10" t="s">
        <v>533</v>
      </c>
      <c r="H86" s="10" t="s">
        <v>506</v>
      </c>
      <c r="I86" s="10"/>
      <c r="J86" s="10" t="s">
        <v>180</v>
      </c>
      <c r="K86" s="10" t="s">
        <v>532</v>
      </c>
      <c r="L86" s="10">
        <v>12</v>
      </c>
      <c r="M86" s="10">
        <v>12</v>
      </c>
      <c r="N86" s="10"/>
      <c r="O86" s="10">
        <v>75</v>
      </c>
      <c r="P86" s="10"/>
      <c r="Q86" s="10"/>
      <c r="R86" s="10"/>
      <c r="S86" s="10">
        <v>90</v>
      </c>
      <c r="T86" s="10"/>
      <c r="Y86" s="14">
        <f t="shared" si="19"/>
        <v>1.2</v>
      </c>
      <c r="AA86" s="14">
        <f t="shared" si="18"/>
        <v>1.2</v>
      </c>
      <c r="AB86" s="14"/>
      <c r="AC86" s="14"/>
      <c r="AF86" s="14"/>
      <c r="AG86" s="14"/>
      <c r="AH86">
        <v>0</v>
      </c>
      <c r="AL86" s="10" t="s">
        <v>2</v>
      </c>
      <c r="AM86" s="10" t="s">
        <v>3</v>
      </c>
      <c r="AN86" s="10" t="s">
        <v>2566</v>
      </c>
    </row>
    <row r="87" spans="1:40" x14ac:dyDescent="0.3">
      <c r="A87" s="10" t="s">
        <v>534</v>
      </c>
      <c r="B87" s="10" t="s">
        <v>100</v>
      </c>
      <c r="C87" s="10" t="s">
        <v>542</v>
      </c>
      <c r="D87" t="s">
        <v>535</v>
      </c>
      <c r="E87" s="16" t="s">
        <v>884</v>
      </c>
      <c r="F87" s="10" t="s">
        <v>2654</v>
      </c>
      <c r="G87" s="10" t="s">
        <v>536</v>
      </c>
      <c r="H87" s="10" t="s">
        <v>506</v>
      </c>
      <c r="I87" s="10" t="s">
        <v>538</v>
      </c>
      <c r="J87" s="10" t="s">
        <v>63</v>
      </c>
      <c r="K87" s="10" t="s">
        <v>537</v>
      </c>
      <c r="L87" s="10">
        <v>3</v>
      </c>
      <c r="M87" s="10">
        <v>3</v>
      </c>
      <c r="N87" s="10"/>
      <c r="O87" s="10">
        <v>1536</v>
      </c>
      <c r="P87" s="10"/>
      <c r="Q87" s="10"/>
      <c r="R87" s="10"/>
      <c r="S87" s="10">
        <v>4088</v>
      </c>
      <c r="T87" s="10"/>
      <c r="Y87" s="14">
        <f t="shared" si="19"/>
        <v>2.6614583333333335</v>
      </c>
      <c r="AA87" s="14">
        <f t="shared" si="18"/>
        <v>2.6614583333333335</v>
      </c>
      <c r="AB87" s="14"/>
      <c r="AC87" s="14"/>
      <c r="AF87" s="14"/>
      <c r="AG87" s="14"/>
      <c r="AH87">
        <v>0</v>
      </c>
      <c r="AI87" s="26" t="s">
        <v>1</v>
      </c>
      <c r="AL87" s="10" t="s">
        <v>2</v>
      </c>
      <c r="AM87" s="10" t="s">
        <v>3</v>
      </c>
      <c r="AN87" s="10" t="s">
        <v>2566</v>
      </c>
    </row>
    <row r="88" spans="1:40" x14ac:dyDescent="0.3">
      <c r="A88" s="10" t="s">
        <v>534</v>
      </c>
      <c r="B88" s="10" t="s">
        <v>100</v>
      </c>
      <c r="C88" s="10" t="s">
        <v>542</v>
      </c>
      <c r="D88" t="s">
        <v>535</v>
      </c>
      <c r="E88" s="16" t="s">
        <v>884</v>
      </c>
      <c r="F88" s="10" t="s">
        <v>2654</v>
      </c>
      <c r="G88" s="10" t="s">
        <v>536</v>
      </c>
      <c r="H88" s="10" t="s">
        <v>506</v>
      </c>
      <c r="I88" s="10" t="s">
        <v>539</v>
      </c>
      <c r="J88" s="10" t="s">
        <v>63</v>
      </c>
      <c r="K88" s="10" t="s">
        <v>537</v>
      </c>
      <c r="L88" s="10">
        <v>3</v>
      </c>
      <c r="M88" s="10">
        <v>3</v>
      </c>
      <c r="N88" s="10"/>
      <c r="O88" s="10">
        <v>1496</v>
      </c>
      <c r="P88" s="10"/>
      <c r="Q88" s="10"/>
      <c r="R88" s="10"/>
      <c r="S88" s="10">
        <v>1715</v>
      </c>
      <c r="T88" s="10"/>
      <c r="Y88" s="14">
        <f t="shared" si="19"/>
        <v>1.1463903743315509</v>
      </c>
      <c r="AA88" s="14">
        <f t="shared" si="18"/>
        <v>1.1463903743315509</v>
      </c>
      <c r="AB88" s="14"/>
      <c r="AC88" s="14"/>
      <c r="AF88" s="14"/>
      <c r="AG88" s="14"/>
      <c r="AH88">
        <v>0</v>
      </c>
      <c r="AI88" s="26" t="s">
        <v>1</v>
      </c>
      <c r="AL88" s="10" t="s">
        <v>2</v>
      </c>
      <c r="AM88" s="10" t="s">
        <v>3</v>
      </c>
      <c r="AN88" s="10" t="s">
        <v>2566</v>
      </c>
    </row>
    <row r="89" spans="1:40" x14ac:dyDescent="0.3">
      <c r="A89" s="10" t="s">
        <v>534</v>
      </c>
      <c r="B89" s="10" t="s">
        <v>100</v>
      </c>
      <c r="C89" s="10" t="s">
        <v>542</v>
      </c>
      <c r="D89" t="s">
        <v>535</v>
      </c>
      <c r="E89" s="16" t="s">
        <v>884</v>
      </c>
      <c r="F89" s="10" t="s">
        <v>2654</v>
      </c>
      <c r="G89" s="10" t="s">
        <v>536</v>
      </c>
      <c r="H89" s="10" t="s">
        <v>506</v>
      </c>
      <c r="I89" s="10" t="s">
        <v>540</v>
      </c>
      <c r="J89" s="10" t="s">
        <v>63</v>
      </c>
      <c r="K89" s="10" t="s">
        <v>537</v>
      </c>
      <c r="L89" s="10">
        <v>3</v>
      </c>
      <c r="M89" s="10">
        <v>3</v>
      </c>
      <c r="N89" s="10"/>
      <c r="O89" s="10">
        <v>642</v>
      </c>
      <c r="P89" s="10"/>
      <c r="Q89" s="10"/>
      <c r="R89" s="10"/>
      <c r="S89" s="10">
        <v>622</v>
      </c>
      <c r="T89" s="10"/>
      <c r="Y89" s="14">
        <f t="shared" si="19"/>
        <v>0.96884735202492211</v>
      </c>
      <c r="AA89" s="14">
        <f t="shared" si="18"/>
        <v>0.96884735202492211</v>
      </c>
      <c r="AB89" s="14"/>
      <c r="AC89" s="14"/>
      <c r="AF89" s="14"/>
      <c r="AG89" s="14"/>
      <c r="AI89" s="6"/>
      <c r="AL89" s="10" t="s">
        <v>2</v>
      </c>
      <c r="AM89" s="10" t="s">
        <v>3</v>
      </c>
      <c r="AN89" s="10" t="s">
        <v>2566</v>
      </c>
    </row>
    <row r="90" spans="1:40" x14ac:dyDescent="0.3">
      <c r="A90" s="10" t="s">
        <v>534</v>
      </c>
      <c r="B90" s="10" t="s">
        <v>100</v>
      </c>
      <c r="C90" s="10" t="s">
        <v>542</v>
      </c>
      <c r="D90" t="s">
        <v>535</v>
      </c>
      <c r="E90" s="16" t="s">
        <v>884</v>
      </c>
      <c r="F90" s="10" t="s">
        <v>2654</v>
      </c>
      <c r="G90" s="10" t="s">
        <v>541</v>
      </c>
      <c r="H90" s="10" t="s">
        <v>506</v>
      </c>
      <c r="I90" s="10" t="s">
        <v>538</v>
      </c>
      <c r="J90" s="10" t="s">
        <v>63</v>
      </c>
      <c r="K90" s="10" t="s">
        <v>234</v>
      </c>
      <c r="L90" s="10">
        <v>3</v>
      </c>
      <c r="M90" s="10">
        <v>3</v>
      </c>
      <c r="N90" s="10"/>
      <c r="O90" s="10">
        <v>1536</v>
      </c>
      <c r="P90" s="10"/>
      <c r="Q90" s="10"/>
      <c r="R90" s="10"/>
      <c r="S90" s="10">
        <v>3057</v>
      </c>
      <c r="T90" s="10"/>
      <c r="Y90" s="14">
        <f t="shared" si="19"/>
        <v>1.990234375</v>
      </c>
      <c r="AA90" s="14">
        <f t="shared" si="18"/>
        <v>1.990234375</v>
      </c>
      <c r="AB90" s="14"/>
      <c r="AC90" s="14"/>
      <c r="AF90" s="14"/>
      <c r="AG90" s="14"/>
      <c r="AH90">
        <v>0</v>
      </c>
      <c r="AI90" s="26" t="s">
        <v>1</v>
      </c>
      <c r="AL90" s="10" t="s">
        <v>2</v>
      </c>
      <c r="AM90" s="10" t="s">
        <v>3</v>
      </c>
      <c r="AN90" s="10" t="s">
        <v>2566</v>
      </c>
    </row>
    <row r="91" spans="1:40" x14ac:dyDescent="0.3">
      <c r="A91" s="10" t="s">
        <v>534</v>
      </c>
      <c r="B91" s="10" t="s">
        <v>100</v>
      </c>
      <c r="C91" s="10" t="s">
        <v>542</v>
      </c>
      <c r="D91" t="s">
        <v>535</v>
      </c>
      <c r="E91" s="16" t="s">
        <v>884</v>
      </c>
      <c r="F91" s="10" t="s">
        <v>2654</v>
      </c>
      <c r="G91" s="10" t="s">
        <v>541</v>
      </c>
      <c r="H91" s="10" t="s">
        <v>506</v>
      </c>
      <c r="I91" s="10" t="s">
        <v>539</v>
      </c>
      <c r="J91" s="10" t="s">
        <v>63</v>
      </c>
      <c r="K91" s="10" t="s">
        <v>234</v>
      </c>
      <c r="L91" s="10">
        <v>3</v>
      </c>
      <c r="M91" s="10">
        <v>3</v>
      </c>
      <c r="N91" s="10"/>
      <c r="O91" s="10">
        <v>1496</v>
      </c>
      <c r="P91" s="10"/>
      <c r="Q91" s="10"/>
      <c r="R91" s="10"/>
      <c r="S91" s="10">
        <v>1980</v>
      </c>
      <c r="T91" s="10"/>
      <c r="Y91" s="14">
        <f t="shared" si="19"/>
        <v>1.3235294117647058</v>
      </c>
      <c r="AA91" s="14">
        <f t="shared" si="18"/>
        <v>1.3235294117647058</v>
      </c>
      <c r="AB91" s="14"/>
      <c r="AC91" s="14"/>
      <c r="AF91" s="14"/>
      <c r="AG91" s="14"/>
      <c r="AH91">
        <v>0</v>
      </c>
      <c r="AI91" s="26" t="s">
        <v>1</v>
      </c>
      <c r="AL91" s="10" t="s">
        <v>2</v>
      </c>
      <c r="AM91" s="10" t="s">
        <v>3</v>
      </c>
      <c r="AN91" s="10" t="s">
        <v>2566</v>
      </c>
    </row>
    <row r="92" spans="1:40" x14ac:dyDescent="0.3">
      <c r="A92" s="10" t="s">
        <v>534</v>
      </c>
      <c r="B92" s="10" t="s">
        <v>100</v>
      </c>
      <c r="C92" s="10" t="s">
        <v>542</v>
      </c>
      <c r="D92" t="s">
        <v>535</v>
      </c>
      <c r="E92" s="16" t="s">
        <v>884</v>
      </c>
      <c r="F92" s="10" t="s">
        <v>2654</v>
      </c>
      <c r="G92" s="10" t="s">
        <v>541</v>
      </c>
      <c r="H92" s="10" t="s">
        <v>506</v>
      </c>
      <c r="I92" s="10" t="s">
        <v>540</v>
      </c>
      <c r="J92" s="10" t="s">
        <v>63</v>
      </c>
      <c r="K92" s="10" t="s">
        <v>234</v>
      </c>
      <c r="L92" s="10">
        <v>3</v>
      </c>
      <c r="M92" s="10">
        <v>3</v>
      </c>
      <c r="N92" s="10"/>
      <c r="O92" s="10">
        <v>642</v>
      </c>
      <c r="P92" s="10"/>
      <c r="Q92" s="10"/>
      <c r="R92" s="10"/>
      <c r="S92" s="10">
        <v>1145</v>
      </c>
      <c r="T92" s="10"/>
      <c r="Y92" s="14">
        <f t="shared" si="19"/>
        <v>1.7834890965732086</v>
      </c>
      <c r="AA92" s="14">
        <f t="shared" si="18"/>
        <v>1.7834890965732086</v>
      </c>
      <c r="AB92" s="14"/>
      <c r="AC92" s="14"/>
      <c r="AF92" s="14"/>
      <c r="AG92" s="14"/>
      <c r="AI92" s="26"/>
      <c r="AL92" s="10" t="s">
        <v>2</v>
      </c>
      <c r="AM92" s="10" t="s">
        <v>3</v>
      </c>
      <c r="AN92" s="10" t="s">
        <v>2566</v>
      </c>
    </row>
    <row r="93" spans="1:40" x14ac:dyDescent="0.3">
      <c r="A93" s="10" t="s">
        <v>545</v>
      </c>
      <c r="B93" s="10" t="s">
        <v>29</v>
      </c>
      <c r="C93" s="10" t="s">
        <v>546</v>
      </c>
      <c r="D93" s="10" t="s">
        <v>547</v>
      </c>
      <c r="E93" s="10"/>
      <c r="F93" s="10" t="s">
        <v>2654</v>
      </c>
      <c r="G93" s="10" t="s">
        <v>543</v>
      </c>
      <c r="H93" s="10" t="s">
        <v>506</v>
      </c>
      <c r="I93" s="10"/>
      <c r="J93" s="10" t="s">
        <v>163</v>
      </c>
      <c r="K93" s="10" t="s">
        <v>549</v>
      </c>
      <c r="L93" s="10">
        <v>3</v>
      </c>
      <c r="M93" s="10">
        <v>3</v>
      </c>
      <c r="N93" s="10"/>
      <c r="O93" s="10">
        <v>1375</v>
      </c>
      <c r="P93" s="10"/>
      <c r="Q93" s="10"/>
      <c r="R93" s="10"/>
      <c r="S93" s="10">
        <v>1608</v>
      </c>
      <c r="T93" s="10"/>
      <c r="Y93" s="14">
        <f t="shared" si="19"/>
        <v>1.1694545454545455</v>
      </c>
      <c r="AA93" s="14">
        <f t="shared" ref="AA93:AA121" si="20">Y93+Z93</f>
        <v>1.1694545454545455</v>
      </c>
      <c r="AB93" s="14"/>
      <c r="AC93" s="14"/>
      <c r="AF93" s="14"/>
      <c r="AG93" s="14"/>
      <c r="AH93">
        <v>0</v>
      </c>
      <c r="AI93" s="6"/>
      <c r="AL93" s="10" t="s">
        <v>2</v>
      </c>
      <c r="AM93" s="10" t="s">
        <v>3</v>
      </c>
      <c r="AN93" s="10" t="s">
        <v>2566</v>
      </c>
    </row>
    <row r="94" spans="1:40" x14ac:dyDescent="0.3">
      <c r="A94" s="10" t="s">
        <v>545</v>
      </c>
      <c r="B94" s="10" t="s">
        <v>29</v>
      </c>
      <c r="C94" s="10" t="s">
        <v>546</v>
      </c>
      <c r="D94" s="10" t="s">
        <v>547</v>
      </c>
      <c r="E94" s="10"/>
      <c r="F94" s="10" t="s">
        <v>2654</v>
      </c>
      <c r="G94" s="10" t="s">
        <v>548</v>
      </c>
      <c r="H94" s="10" t="s">
        <v>506</v>
      </c>
      <c r="I94" s="10"/>
      <c r="J94" s="10" t="s">
        <v>163</v>
      </c>
      <c r="K94" s="10" t="s">
        <v>516</v>
      </c>
      <c r="L94" s="10">
        <v>3</v>
      </c>
      <c r="M94" s="10">
        <v>3</v>
      </c>
      <c r="N94" s="10"/>
      <c r="O94" s="10">
        <v>1375</v>
      </c>
      <c r="P94" s="10"/>
      <c r="Q94" s="10"/>
      <c r="R94" s="10"/>
      <c r="S94" s="10">
        <v>1344</v>
      </c>
      <c r="T94" s="10"/>
      <c r="Y94" s="14">
        <f t="shared" si="19"/>
        <v>0.97745454545454546</v>
      </c>
      <c r="AA94" s="14">
        <f t="shared" si="20"/>
        <v>0.97745454545454546</v>
      </c>
      <c r="AB94" s="14"/>
      <c r="AC94" s="14"/>
      <c r="AF94" s="14"/>
      <c r="AG94" s="14"/>
      <c r="AH94">
        <v>0</v>
      </c>
      <c r="AL94" s="10" t="s">
        <v>2</v>
      </c>
      <c r="AM94" s="10" t="s">
        <v>3</v>
      </c>
      <c r="AN94" s="10" t="s">
        <v>2566</v>
      </c>
    </row>
    <row r="95" spans="1:40" x14ac:dyDescent="0.3">
      <c r="A95" s="10" t="s">
        <v>551</v>
      </c>
      <c r="B95" s="10" t="s">
        <v>552</v>
      </c>
      <c r="C95" s="10" t="s">
        <v>553</v>
      </c>
      <c r="D95" s="10" t="s">
        <v>558</v>
      </c>
      <c r="E95" s="16">
        <v>2013</v>
      </c>
      <c r="F95" s="10" t="s">
        <v>2654</v>
      </c>
      <c r="G95" s="10" t="s">
        <v>563</v>
      </c>
      <c r="H95" s="10" t="s">
        <v>506</v>
      </c>
      <c r="I95" s="10" t="s">
        <v>556</v>
      </c>
      <c r="J95" s="10" t="s">
        <v>554</v>
      </c>
      <c r="K95" s="10" t="s">
        <v>555</v>
      </c>
      <c r="L95" s="10">
        <v>4</v>
      </c>
      <c r="M95" s="10">
        <v>4</v>
      </c>
      <c r="N95" s="10"/>
      <c r="O95" s="10">
        <v>2990</v>
      </c>
      <c r="P95" s="10"/>
      <c r="Q95" s="10"/>
      <c r="R95" s="10"/>
      <c r="S95" s="10">
        <v>3530</v>
      </c>
      <c r="T95" s="10"/>
      <c r="Y95" s="14">
        <f t="shared" si="19"/>
        <v>1.1806020066889633</v>
      </c>
      <c r="AA95" s="14">
        <f t="shared" si="20"/>
        <v>1.1806020066889633</v>
      </c>
      <c r="AB95" s="14"/>
      <c r="AC95" s="14"/>
      <c r="AF95" s="14"/>
      <c r="AG95" s="14"/>
      <c r="AH95">
        <v>0</v>
      </c>
      <c r="AI95" s="26" t="s">
        <v>1</v>
      </c>
      <c r="AK95" t="s">
        <v>2</v>
      </c>
      <c r="AL95" s="10" t="s">
        <v>2</v>
      </c>
      <c r="AM95" s="10" t="s">
        <v>3</v>
      </c>
      <c r="AN95" s="10" t="s">
        <v>2566</v>
      </c>
    </row>
    <row r="96" spans="1:40" x14ac:dyDescent="0.3">
      <c r="A96" s="10" t="s">
        <v>551</v>
      </c>
      <c r="B96" s="10" t="s">
        <v>552</v>
      </c>
      <c r="C96" s="10" t="s">
        <v>553</v>
      </c>
      <c r="D96" s="10" t="s">
        <v>558</v>
      </c>
      <c r="E96" s="16">
        <v>2014</v>
      </c>
      <c r="F96" s="10" t="s">
        <v>2654</v>
      </c>
      <c r="G96" s="10" t="s">
        <v>563</v>
      </c>
      <c r="H96" s="10" t="s">
        <v>506</v>
      </c>
      <c r="I96" s="10" t="s">
        <v>561</v>
      </c>
      <c r="J96" s="10" t="s">
        <v>554</v>
      </c>
      <c r="K96" s="10" t="s">
        <v>555</v>
      </c>
      <c r="L96" s="10">
        <v>4</v>
      </c>
      <c r="M96" s="10">
        <v>4</v>
      </c>
      <c r="N96" s="10"/>
      <c r="O96" s="10">
        <v>2820</v>
      </c>
      <c r="P96" s="10"/>
      <c r="Q96" s="10"/>
      <c r="R96" s="10"/>
      <c r="S96" s="10">
        <v>3110</v>
      </c>
      <c r="T96" s="10"/>
      <c r="U96">
        <v>266</v>
      </c>
      <c r="Y96" s="14">
        <f t="shared" si="19"/>
        <v>1.1028368794326242</v>
      </c>
      <c r="AA96" s="14">
        <f t="shared" si="20"/>
        <v>1.1028368794326242</v>
      </c>
      <c r="AB96" s="14"/>
      <c r="AC96" s="14"/>
      <c r="AF96" s="14"/>
      <c r="AG96" s="14"/>
      <c r="AH96">
        <v>0</v>
      </c>
      <c r="AI96" s="26" t="s">
        <v>1</v>
      </c>
      <c r="AK96" t="s">
        <v>2</v>
      </c>
      <c r="AL96" s="10" t="s">
        <v>2</v>
      </c>
      <c r="AM96" s="10" t="s">
        <v>3</v>
      </c>
      <c r="AN96" s="10" t="s">
        <v>2566</v>
      </c>
    </row>
    <row r="97" spans="1:40" x14ac:dyDescent="0.3">
      <c r="A97" s="10" t="s">
        <v>551</v>
      </c>
      <c r="B97" s="10" t="s">
        <v>552</v>
      </c>
      <c r="C97" s="10" t="s">
        <v>553</v>
      </c>
      <c r="D97" s="10" t="s">
        <v>558</v>
      </c>
      <c r="E97" s="16">
        <v>2013</v>
      </c>
      <c r="F97" s="10" t="s">
        <v>2654</v>
      </c>
      <c r="G97" s="10" t="s">
        <v>563</v>
      </c>
      <c r="H97" s="10" t="s">
        <v>506</v>
      </c>
      <c r="I97" s="10" t="s">
        <v>560</v>
      </c>
      <c r="J97" s="10" t="s">
        <v>554</v>
      </c>
      <c r="K97" s="10" t="s">
        <v>555</v>
      </c>
      <c r="L97" s="10">
        <v>4</v>
      </c>
      <c r="M97" s="10">
        <v>4</v>
      </c>
      <c r="N97" s="10"/>
      <c r="O97" s="10">
        <v>2990</v>
      </c>
      <c r="P97" s="10"/>
      <c r="Q97" s="10"/>
      <c r="R97" s="10"/>
      <c r="S97" s="10">
        <v>4210</v>
      </c>
      <c r="T97" s="10"/>
      <c r="Y97" s="14">
        <f t="shared" si="19"/>
        <v>1.4080267558528428</v>
      </c>
      <c r="AA97" s="14">
        <f t="shared" si="20"/>
        <v>1.4080267558528428</v>
      </c>
      <c r="AB97" s="14"/>
      <c r="AC97" s="14"/>
      <c r="AF97" s="14"/>
      <c r="AG97" s="14"/>
      <c r="AH97">
        <v>0</v>
      </c>
      <c r="AI97" s="26" t="s">
        <v>1</v>
      </c>
      <c r="AK97" t="s">
        <v>2</v>
      </c>
      <c r="AL97" s="10" t="s">
        <v>2</v>
      </c>
      <c r="AM97" s="10" t="s">
        <v>3</v>
      </c>
      <c r="AN97" s="10" t="s">
        <v>2566</v>
      </c>
    </row>
    <row r="98" spans="1:40" x14ac:dyDescent="0.3">
      <c r="A98" s="10" t="s">
        <v>551</v>
      </c>
      <c r="B98" s="10" t="s">
        <v>552</v>
      </c>
      <c r="C98" s="10" t="s">
        <v>553</v>
      </c>
      <c r="D98" s="10" t="s">
        <v>558</v>
      </c>
      <c r="E98" s="16">
        <v>2014</v>
      </c>
      <c r="F98" s="10" t="s">
        <v>2654</v>
      </c>
      <c r="G98" s="10" t="s">
        <v>563</v>
      </c>
      <c r="H98" s="10" t="s">
        <v>506</v>
      </c>
      <c r="I98" s="10" t="s">
        <v>557</v>
      </c>
      <c r="J98" s="10" t="s">
        <v>554</v>
      </c>
      <c r="K98" s="10" t="s">
        <v>555</v>
      </c>
      <c r="L98" s="10">
        <v>4</v>
      </c>
      <c r="M98" s="10">
        <v>4</v>
      </c>
      <c r="N98" s="10"/>
      <c r="O98" s="10">
        <v>2820</v>
      </c>
      <c r="P98" s="10"/>
      <c r="Q98" s="10"/>
      <c r="R98" s="10"/>
      <c r="S98" s="10">
        <v>3610</v>
      </c>
      <c r="T98" s="10"/>
      <c r="U98">
        <v>404</v>
      </c>
      <c r="Y98" s="14">
        <f t="shared" si="19"/>
        <v>1.2801418439716312</v>
      </c>
      <c r="AA98" s="14">
        <f t="shared" si="20"/>
        <v>1.2801418439716312</v>
      </c>
      <c r="AB98" s="14"/>
      <c r="AC98" s="14"/>
      <c r="AF98" s="14"/>
      <c r="AG98" s="14"/>
      <c r="AH98">
        <v>0</v>
      </c>
      <c r="AI98" s="26" t="s">
        <v>1</v>
      </c>
      <c r="AK98" t="s">
        <v>2</v>
      </c>
      <c r="AL98" s="10" t="s">
        <v>2</v>
      </c>
      <c r="AM98" s="10" t="s">
        <v>3</v>
      </c>
      <c r="AN98" s="10" t="s">
        <v>2566</v>
      </c>
    </row>
    <row r="99" spans="1:40" x14ac:dyDescent="0.3">
      <c r="A99" s="10" t="s">
        <v>551</v>
      </c>
      <c r="B99" s="10" t="s">
        <v>552</v>
      </c>
      <c r="C99" s="10" t="s">
        <v>553</v>
      </c>
      <c r="D99" s="10" t="s">
        <v>559</v>
      </c>
      <c r="E99" s="16">
        <v>2013</v>
      </c>
      <c r="F99" s="10" t="s">
        <v>2654</v>
      </c>
      <c r="G99" s="10" t="s">
        <v>563</v>
      </c>
      <c r="H99" s="10" t="s">
        <v>506</v>
      </c>
      <c r="I99" s="10" t="s">
        <v>556</v>
      </c>
      <c r="J99" s="10" t="s">
        <v>554</v>
      </c>
      <c r="K99" s="10" t="s">
        <v>555</v>
      </c>
      <c r="L99" s="10">
        <v>4</v>
      </c>
      <c r="M99" s="10">
        <v>4</v>
      </c>
      <c r="N99" s="10"/>
      <c r="O99" s="10">
        <v>4180</v>
      </c>
      <c r="P99" s="10"/>
      <c r="Q99" s="10"/>
      <c r="R99" s="10"/>
      <c r="S99" s="10">
        <v>4710</v>
      </c>
      <c r="T99" s="10"/>
      <c r="Y99" s="14">
        <f t="shared" si="19"/>
        <v>1.1267942583732058</v>
      </c>
      <c r="AA99" s="14">
        <f t="shared" si="20"/>
        <v>1.1267942583732058</v>
      </c>
      <c r="AB99" s="14"/>
      <c r="AC99" s="14"/>
      <c r="AF99" s="14"/>
      <c r="AG99" s="14"/>
      <c r="AH99">
        <v>0</v>
      </c>
      <c r="AI99" s="26" t="s">
        <v>1</v>
      </c>
      <c r="AK99" t="s">
        <v>2</v>
      </c>
      <c r="AL99" s="10" t="s">
        <v>2</v>
      </c>
      <c r="AM99" s="10" t="s">
        <v>3</v>
      </c>
      <c r="AN99" s="10" t="s">
        <v>2566</v>
      </c>
    </row>
    <row r="100" spans="1:40" x14ac:dyDescent="0.3">
      <c r="A100" s="10" t="s">
        <v>551</v>
      </c>
      <c r="B100" s="10" t="s">
        <v>552</v>
      </c>
      <c r="C100" s="10" t="s">
        <v>553</v>
      </c>
      <c r="D100" s="10" t="s">
        <v>559</v>
      </c>
      <c r="E100" s="16">
        <v>2013</v>
      </c>
      <c r="F100" s="10" t="s">
        <v>2654</v>
      </c>
      <c r="G100" s="10" t="s">
        <v>563</v>
      </c>
      <c r="H100" s="10" t="s">
        <v>506</v>
      </c>
      <c r="I100" s="10" t="s">
        <v>560</v>
      </c>
      <c r="J100" s="10" t="s">
        <v>554</v>
      </c>
      <c r="K100" s="10" t="s">
        <v>555</v>
      </c>
      <c r="L100" s="10">
        <v>4</v>
      </c>
      <c r="M100" s="10">
        <v>4</v>
      </c>
      <c r="N100" s="10"/>
      <c r="O100" s="10">
        <v>4180</v>
      </c>
      <c r="P100" s="10"/>
      <c r="Q100" s="10"/>
      <c r="R100" s="10"/>
      <c r="S100" s="10">
        <v>4860</v>
      </c>
      <c r="T100" s="10"/>
      <c r="Y100" s="14">
        <f t="shared" si="19"/>
        <v>1.1626794258373205</v>
      </c>
      <c r="AA100" s="14">
        <f t="shared" si="20"/>
        <v>1.1626794258373205</v>
      </c>
      <c r="AB100" s="14"/>
      <c r="AC100" s="14"/>
      <c r="AF100" s="14"/>
      <c r="AG100" s="14"/>
      <c r="AH100">
        <v>0</v>
      </c>
      <c r="AI100" s="26" t="s">
        <v>1</v>
      </c>
      <c r="AK100" t="s">
        <v>2</v>
      </c>
      <c r="AL100" s="10" t="s">
        <v>2</v>
      </c>
      <c r="AM100" s="10" t="s">
        <v>3</v>
      </c>
      <c r="AN100" s="10" t="s">
        <v>2566</v>
      </c>
    </row>
    <row r="101" spans="1:40" ht="15.6" x14ac:dyDescent="0.3">
      <c r="A101" s="10" t="s">
        <v>562</v>
      </c>
      <c r="B101" s="10" t="s">
        <v>434</v>
      </c>
      <c r="D101" s="10" t="s">
        <v>564</v>
      </c>
      <c r="E101" s="10"/>
      <c r="F101" s="10" t="s">
        <v>2654</v>
      </c>
      <c r="G101" s="10" t="s">
        <v>581</v>
      </c>
      <c r="H101" s="10" t="s">
        <v>506</v>
      </c>
      <c r="I101" s="10"/>
      <c r="J101" s="10" t="s">
        <v>554</v>
      </c>
      <c r="K101" s="64" t="s">
        <v>565</v>
      </c>
      <c r="L101" s="10">
        <v>3</v>
      </c>
      <c r="M101" s="10">
        <v>3</v>
      </c>
      <c r="N101" s="10"/>
      <c r="O101" s="10">
        <v>1400</v>
      </c>
      <c r="P101" s="10"/>
      <c r="Q101" s="10"/>
      <c r="R101" s="10"/>
      <c r="S101" s="10">
        <v>2200</v>
      </c>
      <c r="T101" s="10"/>
      <c r="Y101" s="14">
        <f t="shared" si="19"/>
        <v>1.5714285714285714</v>
      </c>
      <c r="AA101" s="14">
        <f t="shared" si="20"/>
        <v>1.5714285714285714</v>
      </c>
      <c r="AB101" s="14"/>
      <c r="AC101" s="14"/>
      <c r="AF101" s="14"/>
      <c r="AG101" s="14"/>
      <c r="AI101" s="26"/>
      <c r="AL101" s="10" t="s">
        <v>2</v>
      </c>
      <c r="AM101" s="10" t="s">
        <v>3</v>
      </c>
      <c r="AN101" s="10" t="s">
        <v>2566</v>
      </c>
    </row>
    <row r="102" spans="1:40" ht="15.6" x14ac:dyDescent="0.3">
      <c r="A102" s="10" t="s">
        <v>562</v>
      </c>
      <c r="B102" s="10" t="s">
        <v>434</v>
      </c>
      <c r="D102" s="10" t="s">
        <v>564</v>
      </c>
      <c r="E102" s="10"/>
      <c r="F102" s="10" t="s">
        <v>2654</v>
      </c>
      <c r="G102" s="10" t="s">
        <v>582</v>
      </c>
      <c r="H102" s="10" t="s">
        <v>506</v>
      </c>
      <c r="I102" s="10"/>
      <c r="J102" s="10" t="s">
        <v>554</v>
      </c>
      <c r="K102" s="64" t="s">
        <v>566</v>
      </c>
      <c r="L102" s="10">
        <v>3</v>
      </c>
      <c r="M102" s="10">
        <v>3</v>
      </c>
      <c r="N102" s="10"/>
      <c r="O102" s="10">
        <v>1400</v>
      </c>
      <c r="P102" s="10"/>
      <c r="Q102" s="10"/>
      <c r="R102" s="10"/>
      <c r="S102" s="10">
        <v>2200</v>
      </c>
      <c r="T102" s="10"/>
      <c r="Y102" s="14">
        <f t="shared" si="19"/>
        <v>1.5714285714285714</v>
      </c>
      <c r="AA102" s="14">
        <f t="shared" si="20"/>
        <v>1.5714285714285714</v>
      </c>
      <c r="AB102" s="14"/>
      <c r="AC102" s="14"/>
      <c r="AF102" s="14"/>
      <c r="AG102" s="14"/>
      <c r="AI102" s="26"/>
      <c r="AL102" s="10" t="s">
        <v>2</v>
      </c>
      <c r="AM102" s="10" t="s">
        <v>3</v>
      </c>
      <c r="AN102" s="10" t="s">
        <v>2566</v>
      </c>
    </row>
    <row r="103" spans="1:40" ht="15.6" x14ac:dyDescent="0.3">
      <c r="A103" s="10" t="s">
        <v>562</v>
      </c>
      <c r="B103" s="10" t="s">
        <v>434</v>
      </c>
      <c r="D103" s="10" t="s">
        <v>564</v>
      </c>
      <c r="E103" s="10"/>
      <c r="F103" s="10" t="s">
        <v>2654</v>
      </c>
      <c r="G103" s="10" t="s">
        <v>583</v>
      </c>
      <c r="H103" s="10" t="s">
        <v>506</v>
      </c>
      <c r="I103" s="10"/>
      <c r="J103" s="10" t="s">
        <v>554</v>
      </c>
      <c r="K103" s="64" t="s">
        <v>567</v>
      </c>
      <c r="L103" s="10">
        <v>3</v>
      </c>
      <c r="M103" s="10">
        <v>3</v>
      </c>
      <c r="N103" s="10"/>
      <c r="O103" s="10">
        <v>1400</v>
      </c>
      <c r="P103" s="10"/>
      <c r="Q103" s="10"/>
      <c r="R103" s="10"/>
      <c r="S103" s="10">
        <v>2700</v>
      </c>
      <c r="T103" s="10"/>
      <c r="Y103" s="14">
        <f t="shared" si="19"/>
        <v>1.9285714285714286</v>
      </c>
      <c r="AA103" s="14">
        <f t="shared" si="20"/>
        <v>1.9285714285714286</v>
      </c>
      <c r="AB103" s="14"/>
      <c r="AC103" s="14"/>
      <c r="AF103" s="14"/>
      <c r="AG103" s="14"/>
      <c r="AI103" s="26"/>
      <c r="AL103" s="10" t="s">
        <v>2</v>
      </c>
      <c r="AM103" s="10" t="s">
        <v>3</v>
      </c>
      <c r="AN103" s="10" t="s">
        <v>2566</v>
      </c>
    </row>
    <row r="104" spans="1:40" ht="15.6" x14ac:dyDescent="0.3">
      <c r="A104" s="10" t="s">
        <v>562</v>
      </c>
      <c r="B104" s="10" t="s">
        <v>434</v>
      </c>
      <c r="D104" s="10" t="s">
        <v>564</v>
      </c>
      <c r="E104" s="10"/>
      <c r="F104" s="10" t="s">
        <v>2654</v>
      </c>
      <c r="G104" s="10" t="s">
        <v>584</v>
      </c>
      <c r="H104" s="10" t="s">
        <v>506</v>
      </c>
      <c r="I104" s="10"/>
      <c r="J104" s="10" t="s">
        <v>554</v>
      </c>
      <c r="K104" s="64" t="s">
        <v>568</v>
      </c>
      <c r="L104" s="10">
        <v>3</v>
      </c>
      <c r="M104" s="10">
        <v>3</v>
      </c>
      <c r="N104" s="10"/>
      <c r="O104" s="10">
        <v>1400</v>
      </c>
      <c r="P104" s="10"/>
      <c r="Q104" s="10"/>
      <c r="R104" s="10"/>
      <c r="S104" s="10">
        <v>2300</v>
      </c>
      <c r="T104" s="10"/>
      <c r="Y104" s="14">
        <f t="shared" si="19"/>
        <v>1.6428571428571428</v>
      </c>
      <c r="AA104" s="14">
        <f t="shared" si="20"/>
        <v>1.6428571428571428</v>
      </c>
      <c r="AB104" s="14"/>
      <c r="AC104" s="14"/>
      <c r="AF104" s="14"/>
      <c r="AG104" s="14"/>
      <c r="AI104" s="26"/>
      <c r="AL104" s="10" t="s">
        <v>2</v>
      </c>
      <c r="AM104" s="10" t="s">
        <v>3</v>
      </c>
      <c r="AN104" s="10" t="s">
        <v>2566</v>
      </c>
    </row>
    <row r="105" spans="1:40" ht="15.6" x14ac:dyDescent="0.3">
      <c r="A105" s="10" t="s">
        <v>562</v>
      </c>
      <c r="B105" s="10" t="s">
        <v>434</v>
      </c>
      <c r="D105" s="10" t="s">
        <v>564</v>
      </c>
      <c r="E105" s="10"/>
      <c r="F105" s="10" t="s">
        <v>2654</v>
      </c>
      <c r="G105" s="10" t="s">
        <v>585</v>
      </c>
      <c r="H105" s="10" t="s">
        <v>506</v>
      </c>
      <c r="I105" s="10"/>
      <c r="J105" s="10" t="s">
        <v>554</v>
      </c>
      <c r="K105" s="64" t="s">
        <v>569</v>
      </c>
      <c r="L105" s="10">
        <v>3</v>
      </c>
      <c r="M105" s="10">
        <v>3</v>
      </c>
      <c r="N105" s="10"/>
      <c r="O105" s="10">
        <v>1400</v>
      </c>
      <c r="P105" s="10"/>
      <c r="Q105" s="10"/>
      <c r="R105" s="10"/>
      <c r="S105" s="10">
        <v>2500</v>
      </c>
      <c r="T105" s="10"/>
      <c r="Y105" s="14">
        <f t="shared" si="19"/>
        <v>1.7857142857142858</v>
      </c>
      <c r="AA105" s="14">
        <f t="shared" si="20"/>
        <v>1.7857142857142858</v>
      </c>
      <c r="AB105" s="14"/>
      <c r="AC105" s="14"/>
      <c r="AF105" s="14"/>
      <c r="AG105" s="14"/>
      <c r="AI105" s="26"/>
      <c r="AL105" s="10" t="s">
        <v>2</v>
      </c>
      <c r="AM105" s="10" t="s">
        <v>3</v>
      </c>
      <c r="AN105" s="10" t="s">
        <v>2566</v>
      </c>
    </row>
    <row r="106" spans="1:40" ht="15.6" x14ac:dyDescent="0.3">
      <c r="A106" s="10" t="s">
        <v>562</v>
      </c>
      <c r="B106" s="10" t="s">
        <v>434</v>
      </c>
      <c r="D106" s="10" t="s">
        <v>564</v>
      </c>
      <c r="E106" s="10"/>
      <c r="F106" s="10" t="s">
        <v>2654</v>
      </c>
      <c r="G106" s="10" t="s">
        <v>586</v>
      </c>
      <c r="H106" s="10" t="s">
        <v>506</v>
      </c>
      <c r="I106" s="10"/>
      <c r="J106" s="10" t="s">
        <v>554</v>
      </c>
      <c r="K106" s="64" t="s">
        <v>570</v>
      </c>
      <c r="L106" s="10">
        <v>3</v>
      </c>
      <c r="M106" s="10">
        <v>3</v>
      </c>
      <c r="N106" s="10"/>
      <c r="O106" s="10">
        <v>1400</v>
      </c>
      <c r="P106" s="10"/>
      <c r="Q106" s="10"/>
      <c r="R106" s="10"/>
      <c r="S106" s="10">
        <v>2100</v>
      </c>
      <c r="T106" s="10"/>
      <c r="Y106" s="14">
        <f t="shared" si="19"/>
        <v>1.5</v>
      </c>
      <c r="AA106" s="14">
        <f t="shared" si="20"/>
        <v>1.5</v>
      </c>
      <c r="AB106" s="14"/>
      <c r="AC106" s="14"/>
      <c r="AF106" s="14"/>
      <c r="AG106" s="14"/>
      <c r="AI106" s="26"/>
      <c r="AL106" s="10" t="s">
        <v>2</v>
      </c>
      <c r="AM106" s="10" t="s">
        <v>3</v>
      </c>
      <c r="AN106" s="10" t="s">
        <v>2566</v>
      </c>
    </row>
    <row r="107" spans="1:40" ht="15.6" x14ac:dyDescent="0.3">
      <c r="A107" s="10" t="s">
        <v>562</v>
      </c>
      <c r="B107" s="10" t="s">
        <v>434</v>
      </c>
      <c r="D107" s="10" t="s">
        <v>564</v>
      </c>
      <c r="E107" s="10"/>
      <c r="F107" s="10" t="s">
        <v>2654</v>
      </c>
      <c r="G107" s="10" t="s">
        <v>587</v>
      </c>
      <c r="H107" s="10" t="s">
        <v>506</v>
      </c>
      <c r="I107" s="10"/>
      <c r="J107" s="10" t="s">
        <v>554</v>
      </c>
      <c r="K107" s="64" t="s">
        <v>571</v>
      </c>
      <c r="L107" s="10">
        <v>3</v>
      </c>
      <c r="M107" s="10">
        <v>3</v>
      </c>
      <c r="N107" s="10"/>
      <c r="O107" s="10">
        <v>1400</v>
      </c>
      <c r="P107" s="10"/>
      <c r="Q107" s="10"/>
      <c r="R107" s="10"/>
      <c r="S107" s="10">
        <v>2100</v>
      </c>
      <c r="T107" s="10"/>
      <c r="Y107" s="14">
        <f t="shared" si="19"/>
        <v>1.5</v>
      </c>
      <c r="AA107" s="14">
        <f t="shared" si="20"/>
        <v>1.5</v>
      </c>
      <c r="AB107" s="14"/>
      <c r="AC107" s="14"/>
      <c r="AF107" s="14"/>
      <c r="AG107" s="14"/>
      <c r="AI107" s="26"/>
      <c r="AL107" s="10" t="s">
        <v>2</v>
      </c>
      <c r="AM107" s="10" t="s">
        <v>3</v>
      </c>
      <c r="AN107" s="10" t="s">
        <v>2566</v>
      </c>
    </row>
    <row r="108" spans="1:40" ht="15.6" x14ac:dyDescent="0.3">
      <c r="A108" s="10" t="s">
        <v>562</v>
      </c>
      <c r="B108" s="10" t="s">
        <v>434</v>
      </c>
      <c r="D108" s="10" t="s">
        <v>564</v>
      </c>
      <c r="E108" s="10"/>
      <c r="F108" s="10" t="s">
        <v>2654</v>
      </c>
      <c r="G108" s="10" t="s">
        <v>588</v>
      </c>
      <c r="H108" s="10" t="s">
        <v>506</v>
      </c>
      <c r="I108" s="10"/>
      <c r="J108" s="10" t="s">
        <v>554</v>
      </c>
      <c r="K108" s="64" t="s">
        <v>572</v>
      </c>
      <c r="L108" s="10">
        <v>3</v>
      </c>
      <c r="M108" s="10">
        <v>3</v>
      </c>
      <c r="N108" s="10"/>
      <c r="O108" s="10">
        <v>1400</v>
      </c>
      <c r="P108" s="10"/>
      <c r="Q108" s="10"/>
      <c r="R108" s="10"/>
      <c r="S108" s="10">
        <v>2000</v>
      </c>
      <c r="T108" s="10"/>
      <c r="Y108" s="14">
        <f t="shared" si="19"/>
        <v>1.4285714285714286</v>
      </c>
      <c r="AA108" s="14">
        <f t="shared" si="20"/>
        <v>1.4285714285714286</v>
      </c>
      <c r="AB108" s="14"/>
      <c r="AC108" s="14"/>
      <c r="AF108" s="14"/>
      <c r="AG108" s="14"/>
      <c r="AI108" s="26"/>
      <c r="AL108" s="10" t="s">
        <v>2</v>
      </c>
      <c r="AM108" s="10" t="s">
        <v>3</v>
      </c>
      <c r="AN108" s="10" t="s">
        <v>2566</v>
      </c>
    </row>
    <row r="109" spans="1:40" ht="15.6" x14ac:dyDescent="0.3">
      <c r="A109" s="10" t="s">
        <v>562</v>
      </c>
      <c r="B109" s="10" t="s">
        <v>434</v>
      </c>
      <c r="D109" s="10" t="s">
        <v>564</v>
      </c>
      <c r="E109" s="10"/>
      <c r="F109" s="10" t="s">
        <v>2654</v>
      </c>
      <c r="G109" s="10" t="s">
        <v>589</v>
      </c>
      <c r="H109" s="10" t="s">
        <v>506</v>
      </c>
      <c r="I109" s="10"/>
      <c r="J109" s="10" t="s">
        <v>554</v>
      </c>
      <c r="K109" s="64" t="s">
        <v>573</v>
      </c>
      <c r="L109" s="10">
        <v>3</v>
      </c>
      <c r="M109" s="10">
        <v>3</v>
      </c>
      <c r="N109" s="10"/>
      <c r="O109" s="10">
        <v>1400</v>
      </c>
      <c r="P109" s="10"/>
      <c r="Q109" s="10"/>
      <c r="R109" s="10"/>
      <c r="S109" s="10">
        <v>2300</v>
      </c>
      <c r="T109" s="10"/>
      <c r="Y109" s="14">
        <f t="shared" si="19"/>
        <v>1.6428571428571428</v>
      </c>
      <c r="AA109" s="14">
        <f t="shared" si="20"/>
        <v>1.6428571428571428</v>
      </c>
      <c r="AB109" s="14"/>
      <c r="AC109" s="14"/>
      <c r="AF109" s="14"/>
      <c r="AG109" s="14"/>
      <c r="AI109" s="26"/>
      <c r="AL109" s="10" t="s">
        <v>2</v>
      </c>
      <c r="AM109" s="10" t="s">
        <v>3</v>
      </c>
      <c r="AN109" s="10" t="s">
        <v>2566</v>
      </c>
    </row>
    <row r="110" spans="1:40" ht="15.6" x14ac:dyDescent="0.3">
      <c r="A110" s="10" t="s">
        <v>562</v>
      </c>
      <c r="B110" s="10" t="s">
        <v>434</v>
      </c>
      <c r="D110" s="10" t="s">
        <v>564</v>
      </c>
      <c r="E110" s="10"/>
      <c r="F110" s="10" t="s">
        <v>2654</v>
      </c>
      <c r="G110" s="10" t="s">
        <v>590</v>
      </c>
      <c r="H110" s="10" t="s">
        <v>506</v>
      </c>
      <c r="I110" s="10"/>
      <c r="J110" s="10" t="s">
        <v>554</v>
      </c>
      <c r="K110" s="64" t="s">
        <v>574</v>
      </c>
      <c r="L110" s="10">
        <v>3</v>
      </c>
      <c r="M110" s="10">
        <v>3</v>
      </c>
      <c r="N110" s="10"/>
      <c r="O110" s="10">
        <v>1400</v>
      </c>
      <c r="P110" s="10"/>
      <c r="Q110" s="10"/>
      <c r="R110" s="10"/>
      <c r="S110" s="10">
        <v>1900</v>
      </c>
      <c r="T110" s="10"/>
      <c r="Y110" s="14">
        <f t="shared" si="19"/>
        <v>1.3571428571428572</v>
      </c>
      <c r="AA110" s="14">
        <f t="shared" si="20"/>
        <v>1.3571428571428572</v>
      </c>
      <c r="AB110" s="14"/>
      <c r="AC110" s="14"/>
      <c r="AF110" s="14"/>
      <c r="AG110" s="14"/>
      <c r="AI110" s="26"/>
      <c r="AL110" s="10" t="s">
        <v>2</v>
      </c>
      <c r="AM110" s="10" t="s">
        <v>3</v>
      </c>
      <c r="AN110" s="10" t="s">
        <v>2566</v>
      </c>
    </row>
    <row r="111" spans="1:40" ht="15.6" x14ac:dyDescent="0.3">
      <c r="A111" s="10" t="s">
        <v>562</v>
      </c>
      <c r="B111" s="10" t="s">
        <v>434</v>
      </c>
      <c r="D111" s="10" t="s">
        <v>564</v>
      </c>
      <c r="E111" s="10"/>
      <c r="F111" s="10" t="s">
        <v>2654</v>
      </c>
      <c r="G111" s="10" t="s">
        <v>591</v>
      </c>
      <c r="H111" s="10" t="s">
        <v>506</v>
      </c>
      <c r="I111" s="10"/>
      <c r="J111" s="10" t="s">
        <v>554</v>
      </c>
      <c r="K111" s="64" t="s">
        <v>575</v>
      </c>
      <c r="L111" s="10">
        <v>3</v>
      </c>
      <c r="M111" s="10">
        <v>3</v>
      </c>
      <c r="N111" s="10"/>
      <c r="O111" s="10">
        <v>1400</v>
      </c>
      <c r="P111" s="10"/>
      <c r="Q111" s="10"/>
      <c r="R111" s="10"/>
      <c r="S111" s="10">
        <v>2200</v>
      </c>
      <c r="T111" s="10"/>
      <c r="Y111" s="14">
        <f t="shared" si="19"/>
        <v>1.5714285714285714</v>
      </c>
      <c r="AA111" s="14">
        <f t="shared" si="20"/>
        <v>1.5714285714285714</v>
      </c>
      <c r="AB111" s="14"/>
      <c r="AC111" s="14"/>
      <c r="AF111" s="14"/>
      <c r="AG111" s="14"/>
      <c r="AI111" s="26"/>
      <c r="AL111" s="10" t="s">
        <v>2</v>
      </c>
      <c r="AM111" s="10" t="s">
        <v>3</v>
      </c>
      <c r="AN111" s="10" t="s">
        <v>2566</v>
      </c>
    </row>
    <row r="112" spans="1:40" ht="15.6" x14ac:dyDescent="0.3">
      <c r="A112" s="10" t="s">
        <v>562</v>
      </c>
      <c r="B112" s="10" t="s">
        <v>434</v>
      </c>
      <c r="D112" s="10" t="s">
        <v>564</v>
      </c>
      <c r="E112" s="10"/>
      <c r="F112" s="10" t="s">
        <v>2654</v>
      </c>
      <c r="G112" s="10" t="s">
        <v>592</v>
      </c>
      <c r="H112" s="10" t="s">
        <v>506</v>
      </c>
      <c r="I112" s="10"/>
      <c r="J112" s="10" t="s">
        <v>554</v>
      </c>
      <c r="K112" s="64" t="s">
        <v>576</v>
      </c>
      <c r="L112" s="10">
        <v>3</v>
      </c>
      <c r="M112" s="10">
        <v>3</v>
      </c>
      <c r="N112" s="10"/>
      <c r="O112" s="10">
        <v>1400</v>
      </c>
      <c r="P112" s="10"/>
      <c r="Q112" s="10"/>
      <c r="R112" s="10"/>
      <c r="S112" s="10">
        <v>2200</v>
      </c>
      <c r="T112" s="10"/>
      <c r="Y112" s="14">
        <f t="shared" ref="Y112:Y143" si="21">S112/O112</f>
        <v>1.5714285714285714</v>
      </c>
      <c r="AA112" s="14">
        <f t="shared" si="20"/>
        <v>1.5714285714285714</v>
      </c>
      <c r="AB112" s="14"/>
      <c r="AC112" s="14"/>
      <c r="AF112" s="14"/>
      <c r="AG112" s="14"/>
      <c r="AI112" s="26"/>
      <c r="AL112" s="10" t="s">
        <v>2</v>
      </c>
      <c r="AM112" s="10" t="s">
        <v>3</v>
      </c>
      <c r="AN112" s="10" t="s">
        <v>2566</v>
      </c>
    </row>
    <row r="113" spans="1:40" ht="15.6" x14ac:dyDescent="0.3">
      <c r="A113" s="10" t="s">
        <v>562</v>
      </c>
      <c r="B113" s="10" t="s">
        <v>434</v>
      </c>
      <c r="D113" s="10" t="s">
        <v>564</v>
      </c>
      <c r="E113" s="10"/>
      <c r="F113" s="10" t="s">
        <v>2654</v>
      </c>
      <c r="G113" s="10" t="s">
        <v>593</v>
      </c>
      <c r="H113" s="10" t="s">
        <v>506</v>
      </c>
      <c r="J113" s="10" t="s">
        <v>554</v>
      </c>
      <c r="K113" s="27" t="s">
        <v>577</v>
      </c>
      <c r="L113">
        <v>3</v>
      </c>
      <c r="M113">
        <v>3</v>
      </c>
      <c r="O113" s="10">
        <v>1400</v>
      </c>
      <c r="P113" s="10"/>
      <c r="S113" s="10">
        <v>2100</v>
      </c>
      <c r="T113" s="10"/>
      <c r="Y113" s="14">
        <f t="shared" si="21"/>
        <v>1.5</v>
      </c>
      <c r="AA113" s="14">
        <f t="shared" si="20"/>
        <v>1.5</v>
      </c>
      <c r="AB113" s="14"/>
      <c r="AC113" s="14"/>
      <c r="AF113" s="14"/>
      <c r="AG113" s="14"/>
      <c r="AI113" s="26"/>
      <c r="AL113" s="10" t="s">
        <v>2</v>
      </c>
      <c r="AM113" s="10" t="s">
        <v>3</v>
      </c>
      <c r="AN113" s="10" t="s">
        <v>2566</v>
      </c>
    </row>
    <row r="114" spans="1:40" ht="15.6" x14ac:dyDescent="0.3">
      <c r="A114" s="10" t="s">
        <v>562</v>
      </c>
      <c r="B114" s="10" t="s">
        <v>434</v>
      </c>
      <c r="D114" s="10" t="s">
        <v>564</v>
      </c>
      <c r="E114" s="10"/>
      <c r="F114" s="10" t="s">
        <v>2654</v>
      </c>
      <c r="G114" s="10" t="s">
        <v>594</v>
      </c>
      <c r="H114" s="10" t="s">
        <v>506</v>
      </c>
      <c r="J114" s="10" t="s">
        <v>554</v>
      </c>
      <c r="K114" s="27" t="s">
        <v>578</v>
      </c>
      <c r="L114">
        <v>3</v>
      </c>
      <c r="M114">
        <v>3</v>
      </c>
      <c r="O114" s="10">
        <v>1400</v>
      </c>
      <c r="P114" s="10"/>
      <c r="S114" s="10">
        <v>2000</v>
      </c>
      <c r="T114" s="10"/>
      <c r="Y114" s="14">
        <f t="shared" si="21"/>
        <v>1.4285714285714286</v>
      </c>
      <c r="AA114" s="14">
        <f t="shared" si="20"/>
        <v>1.4285714285714286</v>
      </c>
      <c r="AB114" s="14"/>
      <c r="AC114" s="14"/>
      <c r="AF114" s="14"/>
      <c r="AG114" s="14"/>
      <c r="AI114" s="26"/>
      <c r="AL114" s="10" t="s">
        <v>2</v>
      </c>
      <c r="AM114" s="10" t="s">
        <v>3</v>
      </c>
      <c r="AN114" s="10" t="s">
        <v>2566</v>
      </c>
    </row>
    <row r="115" spans="1:40" ht="15.6" x14ac:dyDescent="0.3">
      <c r="A115" s="10" t="s">
        <v>562</v>
      </c>
      <c r="B115" s="10" t="s">
        <v>434</v>
      </c>
      <c r="D115" s="10" t="s">
        <v>564</v>
      </c>
      <c r="E115" s="10"/>
      <c r="F115" s="10" t="s">
        <v>2654</v>
      </c>
      <c r="G115" s="10" t="s">
        <v>595</v>
      </c>
      <c r="H115" s="10" t="s">
        <v>506</v>
      </c>
      <c r="J115" s="10" t="s">
        <v>554</v>
      </c>
      <c r="K115" s="27" t="s">
        <v>579</v>
      </c>
      <c r="L115">
        <v>3</v>
      </c>
      <c r="M115">
        <v>3</v>
      </c>
      <c r="O115" s="10">
        <v>1400</v>
      </c>
      <c r="P115" s="10"/>
      <c r="S115" s="10">
        <v>1900</v>
      </c>
      <c r="T115" s="10"/>
      <c r="Y115" s="14">
        <f t="shared" si="21"/>
        <v>1.3571428571428572</v>
      </c>
      <c r="AA115" s="14">
        <f t="shared" si="20"/>
        <v>1.3571428571428572</v>
      </c>
      <c r="AB115" s="14"/>
      <c r="AC115" s="14"/>
      <c r="AF115" s="14"/>
      <c r="AG115" s="14"/>
      <c r="AI115" s="26"/>
      <c r="AL115" s="10" t="s">
        <v>2</v>
      </c>
      <c r="AM115" s="10" t="s">
        <v>3</v>
      </c>
      <c r="AN115" s="10" t="s">
        <v>2566</v>
      </c>
    </row>
    <row r="116" spans="1:40" ht="15.6" x14ac:dyDescent="0.3">
      <c r="A116" s="10" t="s">
        <v>562</v>
      </c>
      <c r="B116" s="10" t="s">
        <v>434</v>
      </c>
      <c r="D116" s="10" t="s">
        <v>564</v>
      </c>
      <c r="E116" s="10"/>
      <c r="F116" s="10" t="s">
        <v>2654</v>
      </c>
      <c r="G116" s="10" t="s">
        <v>596</v>
      </c>
      <c r="H116" s="10" t="s">
        <v>506</v>
      </c>
      <c r="J116" s="10" t="s">
        <v>554</v>
      </c>
      <c r="K116" s="27" t="s">
        <v>580</v>
      </c>
      <c r="L116">
        <v>3</v>
      </c>
      <c r="M116">
        <v>3</v>
      </c>
      <c r="O116" s="10">
        <v>1400</v>
      </c>
      <c r="P116" s="10"/>
      <c r="S116" s="10">
        <v>2400</v>
      </c>
      <c r="T116" s="10"/>
      <c r="Y116" s="14">
        <f t="shared" si="21"/>
        <v>1.7142857142857142</v>
      </c>
      <c r="AA116" s="14">
        <f t="shared" si="20"/>
        <v>1.7142857142857142</v>
      </c>
      <c r="AB116" s="14"/>
      <c r="AC116" s="14"/>
      <c r="AF116" s="14"/>
      <c r="AG116" s="14"/>
      <c r="AI116" s="26"/>
      <c r="AL116" s="10" t="s">
        <v>2</v>
      </c>
      <c r="AM116" s="10" t="s">
        <v>3</v>
      </c>
      <c r="AN116" s="10" t="s">
        <v>2566</v>
      </c>
    </row>
    <row r="117" spans="1:40" ht="15.6" x14ac:dyDescent="0.3">
      <c r="A117" s="10" t="s">
        <v>562</v>
      </c>
      <c r="B117" s="10" t="s">
        <v>434</v>
      </c>
      <c r="D117" s="10" t="s">
        <v>564</v>
      </c>
      <c r="E117" s="10"/>
      <c r="F117" s="10" t="s">
        <v>2654</v>
      </c>
      <c r="G117" s="10" t="s">
        <v>597</v>
      </c>
      <c r="H117" s="10" t="s">
        <v>506</v>
      </c>
      <c r="J117" s="10" t="s">
        <v>554</v>
      </c>
      <c r="K117" s="27" t="s">
        <v>555</v>
      </c>
      <c r="L117">
        <v>3</v>
      </c>
      <c r="M117">
        <v>3</v>
      </c>
      <c r="O117" s="10">
        <v>1400</v>
      </c>
      <c r="P117" s="10"/>
      <c r="S117" s="10">
        <v>1600</v>
      </c>
      <c r="T117" s="10"/>
      <c r="Y117" s="14">
        <f t="shared" si="21"/>
        <v>1.1428571428571428</v>
      </c>
      <c r="AA117" s="14">
        <f t="shared" si="20"/>
        <v>1.1428571428571428</v>
      </c>
      <c r="AB117" s="14"/>
      <c r="AC117" s="14"/>
      <c r="AF117" s="14"/>
      <c r="AG117" s="14"/>
      <c r="AI117" s="26"/>
      <c r="AL117" s="10" t="s">
        <v>2</v>
      </c>
      <c r="AM117" s="10" t="s">
        <v>3</v>
      </c>
      <c r="AN117" s="10" t="s">
        <v>2566</v>
      </c>
    </row>
    <row r="118" spans="1:40" x14ac:dyDescent="0.3">
      <c r="A118" s="10" t="s">
        <v>598</v>
      </c>
      <c r="B118" s="10" t="s">
        <v>29</v>
      </c>
      <c r="C118" s="10" t="s">
        <v>277</v>
      </c>
      <c r="F118" s="10" t="s">
        <v>2654</v>
      </c>
      <c r="G118" s="10" t="s">
        <v>599</v>
      </c>
      <c r="H118" s="10" t="s">
        <v>506</v>
      </c>
      <c r="J118" s="10" t="s">
        <v>516</v>
      </c>
      <c r="K118" t="s">
        <v>600</v>
      </c>
      <c r="L118">
        <v>4</v>
      </c>
      <c r="M118">
        <v>5</v>
      </c>
      <c r="O118" s="10">
        <v>3400</v>
      </c>
      <c r="P118" s="10"/>
      <c r="S118" s="10">
        <v>3900</v>
      </c>
      <c r="T118" s="10"/>
      <c r="Y118" s="14">
        <f t="shared" si="21"/>
        <v>1.1470588235294117</v>
      </c>
      <c r="AA118" s="14">
        <f t="shared" si="20"/>
        <v>1.1470588235294117</v>
      </c>
      <c r="AB118" s="14"/>
      <c r="AC118" s="14"/>
      <c r="AF118" s="14"/>
      <c r="AG118" s="14"/>
      <c r="AI118" s="26"/>
      <c r="AL118" s="10" t="s">
        <v>2</v>
      </c>
      <c r="AM118" s="10" t="s">
        <v>3</v>
      </c>
      <c r="AN118" s="10" t="s">
        <v>2566</v>
      </c>
    </row>
    <row r="119" spans="1:40" ht="15.6" x14ac:dyDescent="0.3">
      <c r="A119" s="10" t="s">
        <v>601</v>
      </c>
      <c r="B119" s="10" t="s">
        <v>29</v>
      </c>
      <c r="D119" t="s">
        <v>605</v>
      </c>
      <c r="E119" s="16">
        <v>2006</v>
      </c>
      <c r="F119" s="10" t="s">
        <v>2654</v>
      </c>
      <c r="G119" s="10" t="s">
        <v>602</v>
      </c>
      <c r="H119" s="10" t="s">
        <v>506</v>
      </c>
      <c r="I119" s="10" t="s">
        <v>209</v>
      </c>
      <c r="J119" s="10" t="s">
        <v>606</v>
      </c>
      <c r="K119" s="28" t="s">
        <v>507</v>
      </c>
      <c r="L119" s="10">
        <v>4</v>
      </c>
      <c r="M119" s="10">
        <v>4</v>
      </c>
      <c r="N119" s="10"/>
      <c r="O119" s="10">
        <v>9763</v>
      </c>
      <c r="P119" s="10"/>
      <c r="S119" s="10">
        <v>10198</v>
      </c>
      <c r="T119" s="10"/>
      <c r="U119">
        <v>1310</v>
      </c>
      <c r="Y119" s="14">
        <f t="shared" si="21"/>
        <v>1.0445559766465227</v>
      </c>
      <c r="AA119" s="14">
        <f t="shared" si="20"/>
        <v>1.0445559766465227</v>
      </c>
      <c r="AB119" s="14"/>
      <c r="AC119" s="14"/>
      <c r="AF119" s="14"/>
      <c r="AG119" s="14"/>
      <c r="AI119" s="26"/>
      <c r="AJ119" t="s">
        <v>3</v>
      </c>
      <c r="AL119" s="10" t="s">
        <v>2</v>
      </c>
      <c r="AM119" s="10" t="s">
        <v>3</v>
      </c>
      <c r="AN119" s="10" t="s">
        <v>2566</v>
      </c>
    </row>
    <row r="120" spans="1:40" ht="15.6" x14ac:dyDescent="0.3">
      <c r="A120" s="10" t="s">
        <v>601</v>
      </c>
      <c r="B120" s="10" t="s">
        <v>29</v>
      </c>
      <c r="D120" t="s">
        <v>605</v>
      </c>
      <c r="E120" s="16">
        <v>2006</v>
      </c>
      <c r="F120" s="10" t="s">
        <v>2654</v>
      </c>
      <c r="G120" s="10" t="s">
        <v>533</v>
      </c>
      <c r="H120" s="10" t="s">
        <v>506</v>
      </c>
      <c r="I120" s="10" t="s">
        <v>209</v>
      </c>
      <c r="J120" s="10" t="s">
        <v>606</v>
      </c>
      <c r="K120" s="28" t="s">
        <v>532</v>
      </c>
      <c r="L120" s="10">
        <v>4</v>
      </c>
      <c r="M120" s="10">
        <v>3</v>
      </c>
      <c r="N120" s="10"/>
      <c r="O120" s="10">
        <v>9763</v>
      </c>
      <c r="P120" s="10"/>
      <c r="S120" s="10">
        <v>9241</v>
      </c>
      <c r="T120" s="10"/>
      <c r="U120">
        <v>1710</v>
      </c>
      <c r="Y120" s="14">
        <f t="shared" si="21"/>
        <v>0.94653282802417293</v>
      </c>
      <c r="AA120" s="14">
        <f t="shared" si="20"/>
        <v>0.94653282802417293</v>
      </c>
      <c r="AB120" s="14"/>
      <c r="AC120" s="14"/>
      <c r="AF120" s="14"/>
      <c r="AG120" s="14"/>
      <c r="AI120" s="26"/>
      <c r="AJ120" t="s">
        <v>3</v>
      </c>
      <c r="AL120" s="10" t="s">
        <v>2</v>
      </c>
      <c r="AM120" s="10" t="s">
        <v>3</v>
      </c>
      <c r="AN120" s="10" t="s">
        <v>2566</v>
      </c>
    </row>
    <row r="121" spans="1:40" ht="15.6" x14ac:dyDescent="0.3">
      <c r="A121" s="10" t="s">
        <v>601</v>
      </c>
      <c r="B121" s="10" t="s">
        <v>29</v>
      </c>
      <c r="D121" t="s">
        <v>605</v>
      </c>
      <c r="E121" s="16">
        <v>2006</v>
      </c>
      <c r="F121" s="10" t="s">
        <v>2654</v>
      </c>
      <c r="G121" s="10" t="s">
        <v>603</v>
      </c>
      <c r="H121" s="10" t="s">
        <v>506</v>
      </c>
      <c r="I121" s="10" t="s">
        <v>209</v>
      </c>
      <c r="J121" s="10" t="s">
        <v>606</v>
      </c>
      <c r="K121" s="28" t="s">
        <v>604</v>
      </c>
      <c r="L121" s="10">
        <v>4</v>
      </c>
      <c r="M121" s="10">
        <v>4</v>
      </c>
      <c r="N121" s="10"/>
      <c r="O121" s="10">
        <v>9763</v>
      </c>
      <c r="P121" s="10"/>
      <c r="S121" s="10">
        <v>9543</v>
      </c>
      <c r="T121" s="10"/>
      <c r="U121">
        <v>1640</v>
      </c>
      <c r="Y121" s="14">
        <f t="shared" si="21"/>
        <v>0.97746594284543686</v>
      </c>
      <c r="AA121" s="14">
        <f t="shared" si="20"/>
        <v>0.97746594284543686</v>
      </c>
      <c r="AB121" s="14"/>
      <c r="AC121" s="14"/>
      <c r="AF121" s="14"/>
      <c r="AG121" s="14"/>
      <c r="AI121" s="26"/>
      <c r="AJ121" t="s">
        <v>3</v>
      </c>
      <c r="AL121" s="10" t="s">
        <v>2</v>
      </c>
      <c r="AM121" s="10" t="s">
        <v>3</v>
      </c>
      <c r="AN121" s="10" t="s">
        <v>2566</v>
      </c>
    </row>
    <row r="122" spans="1:40" ht="15.6" x14ac:dyDescent="0.3">
      <c r="A122" s="10" t="s">
        <v>601</v>
      </c>
      <c r="B122" s="10" t="s">
        <v>29</v>
      </c>
      <c r="D122" s="10" t="s">
        <v>607</v>
      </c>
      <c r="E122" s="16">
        <v>2006</v>
      </c>
      <c r="F122" s="10" t="s">
        <v>2654</v>
      </c>
      <c r="G122" s="10" t="s">
        <v>602</v>
      </c>
      <c r="H122" s="10" t="s">
        <v>506</v>
      </c>
      <c r="I122" s="10" t="s">
        <v>2562</v>
      </c>
      <c r="J122" s="10" t="s">
        <v>606</v>
      </c>
      <c r="K122" s="28" t="s">
        <v>507</v>
      </c>
      <c r="L122" s="10">
        <v>4</v>
      </c>
      <c r="M122" s="10">
        <v>4</v>
      </c>
      <c r="N122" s="10"/>
      <c r="O122" s="10">
        <v>7225</v>
      </c>
      <c r="P122" s="10"/>
      <c r="S122" s="10">
        <v>9870</v>
      </c>
      <c r="T122" s="10"/>
      <c r="U122">
        <v>5580</v>
      </c>
      <c r="Y122" s="14">
        <f t="shared" si="21"/>
        <v>1.3660899653979239</v>
      </c>
      <c r="AA122" s="14">
        <f t="shared" ref="AA122:AA128" si="22">Y122+Z122</f>
        <v>1.3660899653979239</v>
      </c>
      <c r="AB122" s="14"/>
      <c r="AC122" s="14"/>
      <c r="AF122" s="14"/>
      <c r="AG122" s="14"/>
      <c r="AI122" s="26"/>
      <c r="AJ122" t="s">
        <v>3</v>
      </c>
      <c r="AL122" s="10" t="s">
        <v>2</v>
      </c>
      <c r="AM122" s="10" t="s">
        <v>3</v>
      </c>
      <c r="AN122" s="10" t="s">
        <v>2566</v>
      </c>
    </row>
    <row r="123" spans="1:40" ht="15.6" x14ac:dyDescent="0.3">
      <c r="A123" s="10" t="s">
        <v>601</v>
      </c>
      <c r="B123" s="10" t="s">
        <v>29</v>
      </c>
      <c r="D123" s="10" t="s">
        <v>607</v>
      </c>
      <c r="E123" s="16">
        <v>2006</v>
      </c>
      <c r="F123" s="10" t="s">
        <v>2654</v>
      </c>
      <c r="G123" s="10" t="s">
        <v>533</v>
      </c>
      <c r="H123" s="10" t="s">
        <v>506</v>
      </c>
      <c r="I123" s="10" t="s">
        <v>2562</v>
      </c>
      <c r="J123" s="10" t="s">
        <v>606</v>
      </c>
      <c r="K123" s="28" t="s">
        <v>532</v>
      </c>
      <c r="L123" s="10">
        <v>4</v>
      </c>
      <c r="M123" s="10">
        <v>3</v>
      </c>
      <c r="N123" s="10"/>
      <c r="O123" s="10">
        <v>7225</v>
      </c>
      <c r="P123" s="10"/>
      <c r="S123" s="10">
        <v>10959</v>
      </c>
      <c r="T123" s="10"/>
      <c r="U123">
        <v>4180</v>
      </c>
      <c r="Y123" s="14">
        <f t="shared" si="21"/>
        <v>1.5168166089965398</v>
      </c>
      <c r="AA123" s="14">
        <f t="shared" si="22"/>
        <v>1.5168166089965398</v>
      </c>
      <c r="AB123" s="14"/>
      <c r="AC123" s="14"/>
      <c r="AF123" s="14"/>
      <c r="AG123" s="14"/>
      <c r="AI123" s="26"/>
      <c r="AJ123" t="s">
        <v>3</v>
      </c>
      <c r="AL123" s="10" t="s">
        <v>2</v>
      </c>
      <c r="AM123" s="10" t="s">
        <v>3</v>
      </c>
      <c r="AN123" s="10" t="s">
        <v>2566</v>
      </c>
    </row>
    <row r="124" spans="1:40" ht="15.6" x14ac:dyDescent="0.3">
      <c r="A124" s="10" t="s">
        <v>601</v>
      </c>
      <c r="B124" s="10" t="s">
        <v>29</v>
      </c>
      <c r="D124" s="10" t="s">
        <v>608</v>
      </c>
      <c r="E124" s="16">
        <v>2006</v>
      </c>
      <c r="F124" s="10" t="s">
        <v>2654</v>
      </c>
      <c r="G124" s="10" t="s">
        <v>602</v>
      </c>
      <c r="H124" s="10" t="s">
        <v>506</v>
      </c>
      <c r="I124" s="10" t="s">
        <v>2563</v>
      </c>
      <c r="J124" s="10" t="s">
        <v>606</v>
      </c>
      <c r="K124" s="28" t="s">
        <v>507</v>
      </c>
      <c r="L124" s="10">
        <v>4</v>
      </c>
      <c r="M124" s="10">
        <v>4</v>
      </c>
      <c r="N124" s="10"/>
      <c r="O124" s="10">
        <v>12157</v>
      </c>
      <c r="P124" s="10"/>
      <c r="S124" s="10">
        <v>12755</v>
      </c>
      <c r="T124" s="10"/>
      <c r="U124">
        <v>4280</v>
      </c>
      <c r="Y124" s="14">
        <f t="shared" si="21"/>
        <v>1.0491897672123056</v>
      </c>
      <c r="AA124" s="14">
        <f t="shared" si="22"/>
        <v>1.0491897672123056</v>
      </c>
      <c r="AB124" s="14"/>
      <c r="AC124" s="14"/>
      <c r="AF124" s="14"/>
      <c r="AG124" s="14"/>
      <c r="AI124" s="26"/>
      <c r="AJ124" t="s">
        <v>3</v>
      </c>
      <c r="AL124" s="10" t="s">
        <v>2</v>
      </c>
      <c r="AM124" s="10" t="s">
        <v>3</v>
      </c>
      <c r="AN124" s="10" t="s">
        <v>2566</v>
      </c>
    </row>
    <row r="125" spans="1:40" ht="15.6" x14ac:dyDescent="0.3">
      <c r="A125" s="10" t="s">
        <v>601</v>
      </c>
      <c r="B125" s="10" t="s">
        <v>29</v>
      </c>
      <c r="D125" s="10" t="s">
        <v>608</v>
      </c>
      <c r="E125" s="16">
        <v>2006</v>
      </c>
      <c r="F125" s="10" t="s">
        <v>2654</v>
      </c>
      <c r="G125" s="10" t="s">
        <v>533</v>
      </c>
      <c r="H125" s="10" t="s">
        <v>506</v>
      </c>
      <c r="I125" s="10" t="s">
        <v>2563</v>
      </c>
      <c r="J125" s="10" t="s">
        <v>606</v>
      </c>
      <c r="K125" s="28" t="s">
        <v>532</v>
      </c>
      <c r="L125" s="10">
        <v>4</v>
      </c>
      <c r="M125" s="10">
        <v>3</v>
      </c>
      <c r="N125" s="10"/>
      <c r="O125" s="10">
        <v>12157</v>
      </c>
      <c r="P125" s="10"/>
      <c r="S125" s="10">
        <v>14798</v>
      </c>
      <c r="T125" s="10"/>
      <c r="U125">
        <v>7350</v>
      </c>
      <c r="Y125" s="14">
        <f t="shared" si="21"/>
        <v>1.217241095665049</v>
      </c>
      <c r="AA125" s="14">
        <f t="shared" si="22"/>
        <v>1.217241095665049</v>
      </c>
      <c r="AB125" s="14"/>
      <c r="AC125" s="14"/>
      <c r="AF125" s="14"/>
      <c r="AG125" s="14"/>
      <c r="AI125" s="26"/>
      <c r="AJ125" t="s">
        <v>3</v>
      </c>
      <c r="AL125" s="10" t="s">
        <v>2</v>
      </c>
      <c r="AM125" s="10" t="s">
        <v>3</v>
      </c>
      <c r="AN125" s="10" t="s">
        <v>2566</v>
      </c>
    </row>
    <row r="126" spans="1:40" ht="15.6" x14ac:dyDescent="0.3">
      <c r="A126" s="10" t="s">
        <v>601</v>
      </c>
      <c r="B126" s="10" t="s">
        <v>29</v>
      </c>
      <c r="D126" t="s">
        <v>605</v>
      </c>
      <c r="E126" s="16">
        <v>2007</v>
      </c>
      <c r="F126" s="10" t="s">
        <v>2654</v>
      </c>
      <c r="G126" s="10" t="s">
        <v>602</v>
      </c>
      <c r="H126" s="10" t="s">
        <v>506</v>
      </c>
      <c r="I126" s="10" t="s">
        <v>209</v>
      </c>
      <c r="J126" s="10" t="s">
        <v>606</v>
      </c>
      <c r="K126" s="28" t="s">
        <v>507</v>
      </c>
      <c r="L126" s="10">
        <v>4</v>
      </c>
      <c r="M126" s="10">
        <v>4</v>
      </c>
      <c r="N126" s="10"/>
      <c r="O126" s="10">
        <v>11825</v>
      </c>
      <c r="P126" s="10"/>
      <c r="S126" s="10">
        <v>14721</v>
      </c>
      <c r="T126" s="10"/>
      <c r="U126">
        <v>2630</v>
      </c>
      <c r="Y126" s="14">
        <f t="shared" si="21"/>
        <v>1.2449048625792811</v>
      </c>
      <c r="AA126" s="14">
        <f t="shared" si="22"/>
        <v>1.2449048625792811</v>
      </c>
      <c r="AB126" s="14"/>
      <c r="AC126" s="14"/>
      <c r="AF126" s="14"/>
      <c r="AG126" s="14"/>
      <c r="AI126" s="26"/>
      <c r="AJ126" t="s">
        <v>3</v>
      </c>
      <c r="AL126" s="10" t="s">
        <v>2</v>
      </c>
      <c r="AM126" s="10" t="s">
        <v>3</v>
      </c>
      <c r="AN126" s="10" t="s">
        <v>2566</v>
      </c>
    </row>
    <row r="127" spans="1:40" ht="15.6" x14ac:dyDescent="0.3">
      <c r="A127" s="10" t="s">
        <v>601</v>
      </c>
      <c r="B127" s="10" t="s">
        <v>29</v>
      </c>
      <c r="D127" t="s">
        <v>605</v>
      </c>
      <c r="E127" s="16">
        <v>2007</v>
      </c>
      <c r="F127" s="10" t="s">
        <v>2654</v>
      </c>
      <c r="G127" s="10" t="s">
        <v>533</v>
      </c>
      <c r="H127" s="10" t="s">
        <v>506</v>
      </c>
      <c r="I127" s="10" t="s">
        <v>209</v>
      </c>
      <c r="J127" s="10" t="s">
        <v>606</v>
      </c>
      <c r="K127" s="28" t="s">
        <v>532</v>
      </c>
      <c r="L127" s="10">
        <v>4</v>
      </c>
      <c r="M127" s="10">
        <v>6</v>
      </c>
      <c r="N127" s="10"/>
      <c r="O127" s="10">
        <v>11825</v>
      </c>
      <c r="P127" s="10"/>
      <c r="S127" s="10">
        <v>14008</v>
      </c>
      <c r="T127" s="10"/>
      <c r="U127">
        <v>1550</v>
      </c>
      <c r="Y127" s="14">
        <f t="shared" si="21"/>
        <v>1.1846088794926004</v>
      </c>
      <c r="AA127" s="14">
        <f t="shared" si="22"/>
        <v>1.1846088794926004</v>
      </c>
      <c r="AB127" s="14"/>
      <c r="AC127" s="14"/>
      <c r="AF127" s="14"/>
      <c r="AG127" s="14"/>
      <c r="AI127" s="26"/>
      <c r="AJ127" t="s">
        <v>3</v>
      </c>
      <c r="AL127" s="10" t="s">
        <v>2</v>
      </c>
      <c r="AM127" s="10" t="s">
        <v>3</v>
      </c>
      <c r="AN127" s="10" t="s">
        <v>2566</v>
      </c>
    </row>
    <row r="128" spans="1:40" ht="15.6" x14ac:dyDescent="0.3">
      <c r="A128" s="10" t="s">
        <v>601</v>
      </c>
      <c r="B128" s="10" t="s">
        <v>29</v>
      </c>
      <c r="D128" t="s">
        <v>605</v>
      </c>
      <c r="E128" s="16">
        <v>2007</v>
      </c>
      <c r="F128" s="10" t="s">
        <v>2654</v>
      </c>
      <c r="G128" s="10" t="s">
        <v>603</v>
      </c>
      <c r="H128" s="10" t="s">
        <v>506</v>
      </c>
      <c r="I128" s="10" t="s">
        <v>209</v>
      </c>
      <c r="J128" s="10" t="s">
        <v>606</v>
      </c>
      <c r="K128" s="28" t="s">
        <v>604</v>
      </c>
      <c r="L128" s="10">
        <v>4</v>
      </c>
      <c r="M128" s="10">
        <v>4</v>
      </c>
      <c r="N128" s="10"/>
      <c r="O128" s="10">
        <v>11825</v>
      </c>
      <c r="P128" s="10"/>
      <c r="S128" s="10">
        <v>13911</v>
      </c>
      <c r="T128" s="10"/>
      <c r="U128">
        <v>2580</v>
      </c>
      <c r="Y128" s="14">
        <f t="shared" si="21"/>
        <v>1.1764059196617336</v>
      </c>
      <c r="AA128" s="14">
        <f t="shared" si="22"/>
        <v>1.1764059196617336</v>
      </c>
      <c r="AB128" s="14"/>
      <c r="AC128" s="14"/>
      <c r="AF128" s="14"/>
      <c r="AG128" s="14"/>
      <c r="AI128" s="26"/>
      <c r="AJ128" t="s">
        <v>3</v>
      </c>
      <c r="AL128" s="10" t="s">
        <v>2</v>
      </c>
      <c r="AM128" s="10" t="s">
        <v>3</v>
      </c>
      <c r="AN128" s="10" t="s">
        <v>2566</v>
      </c>
    </row>
    <row r="129" spans="1:40" ht="15.6" x14ac:dyDescent="0.3">
      <c r="A129" s="10" t="s">
        <v>601</v>
      </c>
      <c r="B129" s="10" t="s">
        <v>29</v>
      </c>
      <c r="D129" s="10" t="s">
        <v>607</v>
      </c>
      <c r="E129" s="16">
        <v>2008</v>
      </c>
      <c r="F129" s="10" t="s">
        <v>2654</v>
      </c>
      <c r="G129" s="10" t="s">
        <v>602</v>
      </c>
      <c r="H129" s="10" t="s">
        <v>506</v>
      </c>
      <c r="I129" s="10" t="s">
        <v>2561</v>
      </c>
      <c r="J129" s="10" t="s">
        <v>606</v>
      </c>
      <c r="K129" s="28" t="s">
        <v>507</v>
      </c>
      <c r="L129" s="10">
        <v>4</v>
      </c>
      <c r="M129" s="10">
        <v>4</v>
      </c>
      <c r="N129" s="10"/>
      <c r="O129" s="10">
        <v>8548</v>
      </c>
      <c r="P129" s="10"/>
      <c r="S129" s="10">
        <v>10164</v>
      </c>
      <c r="T129" s="10"/>
      <c r="U129">
        <v>4640</v>
      </c>
      <c r="Y129" s="14">
        <f t="shared" si="21"/>
        <v>1.1890500701918578</v>
      </c>
      <c r="AA129" s="14">
        <f t="shared" ref="AA129:AA153" si="23">Y129+Z129</f>
        <v>1.1890500701918578</v>
      </c>
      <c r="AB129" s="14"/>
      <c r="AC129" s="14"/>
      <c r="AF129" s="14"/>
      <c r="AG129" s="14"/>
      <c r="AI129" s="26"/>
      <c r="AJ129" t="s">
        <v>3</v>
      </c>
      <c r="AL129" s="10" t="s">
        <v>2</v>
      </c>
      <c r="AM129" s="10" t="s">
        <v>3</v>
      </c>
      <c r="AN129" s="10" t="s">
        <v>2566</v>
      </c>
    </row>
    <row r="130" spans="1:40" ht="15.6" x14ac:dyDescent="0.3">
      <c r="A130" s="10" t="s">
        <v>601</v>
      </c>
      <c r="B130" s="10" t="s">
        <v>29</v>
      </c>
      <c r="D130" s="10" t="s">
        <v>607</v>
      </c>
      <c r="E130" s="16">
        <v>2008</v>
      </c>
      <c r="F130" s="10" t="s">
        <v>2654</v>
      </c>
      <c r="G130" s="10" t="s">
        <v>533</v>
      </c>
      <c r="H130" s="10" t="s">
        <v>506</v>
      </c>
      <c r="I130" s="10" t="s">
        <v>2561</v>
      </c>
      <c r="J130" s="10" t="s">
        <v>606</v>
      </c>
      <c r="K130" s="28" t="s">
        <v>532</v>
      </c>
      <c r="L130" s="10">
        <v>4</v>
      </c>
      <c r="M130" s="10">
        <v>6</v>
      </c>
      <c r="N130" s="10"/>
      <c r="O130" s="10">
        <v>8548</v>
      </c>
      <c r="P130" s="10"/>
      <c r="S130" s="10">
        <v>11213</v>
      </c>
      <c r="T130" s="10"/>
      <c r="U130">
        <v>7060</v>
      </c>
      <c r="Y130" s="14">
        <f t="shared" si="21"/>
        <v>1.3117688348151615</v>
      </c>
      <c r="AA130" s="14">
        <f t="shared" si="23"/>
        <v>1.3117688348151615</v>
      </c>
      <c r="AB130" s="14"/>
      <c r="AC130" s="14"/>
      <c r="AF130" s="14"/>
      <c r="AG130" s="14"/>
      <c r="AI130" s="26"/>
      <c r="AJ130" t="s">
        <v>3</v>
      </c>
      <c r="AL130" s="10" t="s">
        <v>2</v>
      </c>
      <c r="AM130" s="10" t="s">
        <v>3</v>
      </c>
      <c r="AN130" s="10" t="s">
        <v>2566</v>
      </c>
    </row>
    <row r="131" spans="1:40" ht="15.6" x14ac:dyDescent="0.3">
      <c r="A131" s="10" t="s">
        <v>601</v>
      </c>
      <c r="B131" s="10" t="s">
        <v>29</v>
      </c>
      <c r="D131" s="10" t="s">
        <v>608</v>
      </c>
      <c r="E131" s="16">
        <v>2008</v>
      </c>
      <c r="F131" s="10" t="s">
        <v>2654</v>
      </c>
      <c r="G131" s="10" t="s">
        <v>602</v>
      </c>
      <c r="H131" s="10" t="s">
        <v>506</v>
      </c>
      <c r="I131" s="10" t="s">
        <v>2561</v>
      </c>
      <c r="J131" s="10" t="s">
        <v>606</v>
      </c>
      <c r="K131" s="28" t="s">
        <v>507</v>
      </c>
      <c r="L131">
        <v>4</v>
      </c>
      <c r="M131">
        <v>4</v>
      </c>
      <c r="O131" s="10">
        <v>16046</v>
      </c>
      <c r="P131" s="10"/>
      <c r="S131" s="10">
        <v>17020</v>
      </c>
      <c r="T131" s="10"/>
      <c r="U131">
        <v>4030</v>
      </c>
      <c r="Y131" s="14">
        <f t="shared" si="21"/>
        <v>1.0607004861024554</v>
      </c>
      <c r="AA131" s="14">
        <f t="shared" si="23"/>
        <v>1.0607004861024554</v>
      </c>
      <c r="AB131" s="14"/>
      <c r="AC131" s="14"/>
      <c r="AF131" s="14"/>
      <c r="AG131" s="14"/>
      <c r="AI131" s="26"/>
      <c r="AJ131" t="s">
        <v>3</v>
      </c>
      <c r="AL131" s="10" t="s">
        <v>2</v>
      </c>
      <c r="AM131" s="10" t="s">
        <v>3</v>
      </c>
      <c r="AN131" s="10" t="s">
        <v>2566</v>
      </c>
    </row>
    <row r="132" spans="1:40" ht="15.6" x14ac:dyDescent="0.3">
      <c r="A132" s="10" t="s">
        <v>601</v>
      </c>
      <c r="B132" s="10" t="s">
        <v>29</v>
      </c>
      <c r="D132" s="10" t="s">
        <v>608</v>
      </c>
      <c r="E132" s="16">
        <v>2008</v>
      </c>
      <c r="F132" s="10" t="s">
        <v>2654</v>
      </c>
      <c r="G132" s="10" t="s">
        <v>533</v>
      </c>
      <c r="H132" s="10" t="s">
        <v>506</v>
      </c>
      <c r="I132" s="10" t="s">
        <v>2561</v>
      </c>
      <c r="J132" s="10" t="s">
        <v>606</v>
      </c>
      <c r="K132" s="28" t="s">
        <v>532</v>
      </c>
      <c r="L132">
        <v>4</v>
      </c>
      <c r="M132">
        <v>4</v>
      </c>
      <c r="O132" s="10">
        <v>16046</v>
      </c>
      <c r="P132" s="10"/>
      <c r="S132" s="10">
        <v>9759</v>
      </c>
      <c r="T132" s="10"/>
      <c r="U132">
        <v>4120</v>
      </c>
      <c r="Y132" s="14">
        <f t="shared" si="21"/>
        <v>0.60818895674934559</v>
      </c>
      <c r="AA132" s="14">
        <f t="shared" si="23"/>
        <v>0.60818895674934559</v>
      </c>
      <c r="AB132" s="14"/>
      <c r="AC132" s="14"/>
      <c r="AF132" s="14"/>
      <c r="AG132" s="14"/>
      <c r="AI132" s="26"/>
      <c r="AJ132" t="s">
        <v>3</v>
      </c>
      <c r="AL132" s="10" t="s">
        <v>2</v>
      </c>
      <c r="AM132" s="10" t="s">
        <v>3</v>
      </c>
      <c r="AN132" s="10" t="s">
        <v>2566</v>
      </c>
    </row>
    <row r="133" spans="1:40" ht="15.6" x14ac:dyDescent="0.3">
      <c r="A133" s="10" t="s">
        <v>609</v>
      </c>
      <c r="B133" s="10" t="s">
        <v>29</v>
      </c>
      <c r="F133" s="10" t="s">
        <v>2654</v>
      </c>
      <c r="G133" s="10" t="s">
        <v>548</v>
      </c>
      <c r="H133" s="10" t="s">
        <v>506</v>
      </c>
      <c r="J133" s="10" t="s">
        <v>63</v>
      </c>
      <c r="K133" s="28" t="s">
        <v>516</v>
      </c>
      <c r="L133" s="10">
        <v>3</v>
      </c>
      <c r="M133" s="10">
        <v>4</v>
      </c>
      <c r="N133" s="10"/>
      <c r="O133" s="10">
        <v>9000</v>
      </c>
      <c r="P133" s="25">
        <f>900*SQRT(L133)</f>
        <v>1558.8457268119894</v>
      </c>
      <c r="S133" s="10">
        <v>18400</v>
      </c>
      <c r="T133" s="25">
        <f>2500*SQRT(M133)</f>
        <v>5000</v>
      </c>
      <c r="Y133" s="14">
        <f t="shared" si="21"/>
        <v>2.0444444444444443</v>
      </c>
      <c r="AA133" s="14">
        <f t="shared" si="23"/>
        <v>2.0444444444444443</v>
      </c>
      <c r="AB133" s="14"/>
      <c r="AC133" s="14"/>
      <c r="AD133">
        <f>((T133^2)/(O133^2))+((P133^2)*(S133^2)/(O133^4))</f>
        <v>0.43403456790123451</v>
      </c>
      <c r="AF133" s="14">
        <f>AD133+AE133</f>
        <v>0.43403456790123451</v>
      </c>
      <c r="AG133">
        <f t="shared" ref="AG133" si="24">SQRT(AF133)/AA133</f>
        <v>0.32224548873405784</v>
      </c>
      <c r="AI133" s="26"/>
      <c r="AJ133" t="s">
        <v>2</v>
      </c>
      <c r="AL133" s="10" t="s">
        <v>2</v>
      </c>
      <c r="AM133" s="10" t="s">
        <v>3</v>
      </c>
      <c r="AN133" s="10" t="s">
        <v>2566</v>
      </c>
    </row>
    <row r="134" spans="1:40" x14ac:dyDescent="0.3">
      <c r="A134" s="10" t="s">
        <v>610</v>
      </c>
      <c r="B134" s="10" t="s">
        <v>611</v>
      </c>
      <c r="D134" s="10" t="s">
        <v>617</v>
      </c>
      <c r="E134" s="10"/>
      <c r="F134" s="10" t="s">
        <v>2654</v>
      </c>
      <c r="G134" s="10" t="s">
        <v>614</v>
      </c>
      <c r="H134" s="10" t="s">
        <v>506</v>
      </c>
      <c r="J134" s="10" t="s">
        <v>71</v>
      </c>
      <c r="K134" t="s">
        <v>618</v>
      </c>
      <c r="L134" s="10">
        <v>4</v>
      </c>
      <c r="M134" s="10">
        <v>4</v>
      </c>
      <c r="N134" s="10"/>
      <c r="O134" s="10">
        <v>2615</v>
      </c>
      <c r="P134" s="10"/>
      <c r="S134" s="10">
        <v>2721</v>
      </c>
      <c r="T134" s="10"/>
      <c r="U134">
        <v>1790</v>
      </c>
      <c r="Y134" s="14">
        <f t="shared" si="21"/>
        <v>1.0405353728489484</v>
      </c>
      <c r="AA134" s="14">
        <f t="shared" si="23"/>
        <v>1.0405353728489484</v>
      </c>
      <c r="AB134" s="14"/>
      <c r="AC134" s="14"/>
      <c r="AF134" s="14"/>
      <c r="AG134" s="14"/>
      <c r="AI134" s="26"/>
      <c r="AJ134" t="s">
        <v>2</v>
      </c>
      <c r="AL134" s="10" t="s">
        <v>2</v>
      </c>
      <c r="AM134" s="10" t="s">
        <v>3</v>
      </c>
      <c r="AN134" s="10" t="s">
        <v>2566</v>
      </c>
    </row>
    <row r="135" spans="1:40" x14ac:dyDescent="0.3">
      <c r="A135" s="10" t="s">
        <v>610</v>
      </c>
      <c r="B135" s="10" t="s">
        <v>611</v>
      </c>
      <c r="D135" s="10" t="s">
        <v>617</v>
      </c>
      <c r="E135" s="10"/>
      <c r="F135" s="10" t="s">
        <v>2654</v>
      </c>
      <c r="G135" s="10" t="s">
        <v>612</v>
      </c>
      <c r="H135" s="10" t="s">
        <v>506</v>
      </c>
      <c r="J135" s="10" t="s">
        <v>71</v>
      </c>
      <c r="K135" t="s">
        <v>514</v>
      </c>
      <c r="L135" s="10">
        <v>4</v>
      </c>
      <c r="M135" s="10">
        <v>3</v>
      </c>
      <c r="N135" s="10"/>
      <c r="O135" s="10">
        <v>2615</v>
      </c>
      <c r="P135" s="10"/>
      <c r="S135" s="10">
        <v>2520</v>
      </c>
      <c r="T135" s="10"/>
      <c r="U135">
        <v>2200</v>
      </c>
      <c r="Y135" s="14">
        <f t="shared" si="21"/>
        <v>0.96367112810707456</v>
      </c>
      <c r="AA135" s="14">
        <f t="shared" si="23"/>
        <v>0.96367112810707456</v>
      </c>
      <c r="AB135" s="14"/>
      <c r="AC135" s="14"/>
      <c r="AF135" s="14"/>
      <c r="AG135" s="14"/>
      <c r="AI135" s="26"/>
      <c r="AJ135" t="s">
        <v>2</v>
      </c>
      <c r="AL135" s="10" t="s">
        <v>2</v>
      </c>
      <c r="AM135" s="10" t="s">
        <v>3</v>
      </c>
      <c r="AN135" s="10" t="s">
        <v>2566</v>
      </c>
    </row>
    <row r="136" spans="1:40" x14ac:dyDescent="0.3">
      <c r="A136" s="10" t="s">
        <v>610</v>
      </c>
      <c r="B136" s="10" t="s">
        <v>611</v>
      </c>
      <c r="D136" s="10" t="s">
        <v>617</v>
      </c>
      <c r="E136" s="10"/>
      <c r="F136" s="10" t="s">
        <v>2654</v>
      </c>
      <c r="G136" s="10" t="s">
        <v>615</v>
      </c>
      <c r="H136" s="10" t="s">
        <v>506</v>
      </c>
      <c r="J136" s="10" t="s">
        <v>71</v>
      </c>
      <c r="K136" t="s">
        <v>619</v>
      </c>
      <c r="L136" s="10">
        <v>4</v>
      </c>
      <c r="M136" s="10">
        <v>6</v>
      </c>
      <c r="N136" s="10"/>
      <c r="O136" s="10">
        <v>2615</v>
      </c>
      <c r="P136" s="10"/>
      <c r="S136" s="10">
        <v>2638</v>
      </c>
      <c r="T136" s="10"/>
      <c r="U136">
        <v>1660</v>
      </c>
      <c r="Y136" s="14">
        <f t="shared" si="21"/>
        <v>1.0087954110898663</v>
      </c>
      <c r="AA136" s="14">
        <f t="shared" si="23"/>
        <v>1.0087954110898663</v>
      </c>
      <c r="AB136" s="14"/>
      <c r="AC136" s="14"/>
      <c r="AF136" s="14"/>
      <c r="AG136" s="14"/>
      <c r="AI136" s="26"/>
      <c r="AJ136" t="s">
        <v>2</v>
      </c>
      <c r="AL136" s="10" t="s">
        <v>2</v>
      </c>
      <c r="AM136" s="10" t="s">
        <v>3</v>
      </c>
      <c r="AN136" s="10" t="s">
        <v>2566</v>
      </c>
    </row>
    <row r="137" spans="1:40" x14ac:dyDescent="0.3">
      <c r="A137" s="10" t="s">
        <v>610</v>
      </c>
      <c r="B137" s="10" t="s">
        <v>611</v>
      </c>
      <c r="D137" s="10" t="s">
        <v>617</v>
      </c>
      <c r="E137" s="10"/>
      <c r="F137" s="10" t="s">
        <v>2654</v>
      </c>
      <c r="G137" s="10" t="s">
        <v>613</v>
      </c>
      <c r="H137" s="10" t="s">
        <v>506</v>
      </c>
      <c r="J137" s="10" t="s">
        <v>71</v>
      </c>
      <c r="K137" t="s">
        <v>620</v>
      </c>
      <c r="L137" s="10">
        <v>4</v>
      </c>
      <c r="M137" s="10">
        <v>3</v>
      </c>
      <c r="N137" s="10"/>
      <c r="O137" s="10">
        <v>2615</v>
      </c>
      <c r="P137" s="10"/>
      <c r="S137" s="10">
        <v>2579</v>
      </c>
      <c r="T137" s="10"/>
      <c r="U137">
        <v>1320</v>
      </c>
      <c r="Y137" s="14">
        <f t="shared" si="21"/>
        <v>0.98623326959847035</v>
      </c>
      <c r="AA137" s="14">
        <f t="shared" si="23"/>
        <v>0.98623326959847035</v>
      </c>
      <c r="AB137" s="14"/>
      <c r="AC137" s="14"/>
      <c r="AF137" s="14"/>
      <c r="AG137" s="14"/>
      <c r="AI137" s="26"/>
      <c r="AJ137" t="s">
        <v>2</v>
      </c>
      <c r="AL137" s="10" t="s">
        <v>2</v>
      </c>
      <c r="AM137" s="10" t="s">
        <v>3</v>
      </c>
      <c r="AN137" s="10" t="s">
        <v>2566</v>
      </c>
    </row>
    <row r="138" spans="1:40" x14ac:dyDescent="0.3">
      <c r="A138" s="10" t="s">
        <v>610</v>
      </c>
      <c r="B138" s="10" t="s">
        <v>611</v>
      </c>
      <c r="D138" s="10" t="s">
        <v>617</v>
      </c>
      <c r="E138" s="10"/>
      <c r="F138" s="10" t="s">
        <v>2654</v>
      </c>
      <c r="G138" s="10" t="s">
        <v>616</v>
      </c>
      <c r="H138" s="10" t="s">
        <v>506</v>
      </c>
      <c r="J138" s="10" t="s">
        <v>71</v>
      </c>
      <c r="K138" t="s">
        <v>621</v>
      </c>
      <c r="L138" s="10">
        <v>4</v>
      </c>
      <c r="M138" s="10">
        <v>3</v>
      </c>
      <c r="N138" s="10"/>
      <c r="O138" s="10">
        <v>2615</v>
      </c>
      <c r="P138" s="10"/>
      <c r="S138" s="10">
        <v>2568</v>
      </c>
      <c r="T138" s="10"/>
      <c r="U138">
        <v>2040</v>
      </c>
      <c r="Y138" s="14">
        <f t="shared" si="21"/>
        <v>0.98202676864244742</v>
      </c>
      <c r="AA138" s="14">
        <f t="shared" si="23"/>
        <v>0.98202676864244742</v>
      </c>
      <c r="AB138" s="14"/>
      <c r="AC138" s="14"/>
      <c r="AF138" s="14"/>
      <c r="AG138" s="14"/>
      <c r="AI138" s="26"/>
      <c r="AJ138" t="s">
        <v>2</v>
      </c>
      <c r="AL138" s="10" t="s">
        <v>2</v>
      </c>
      <c r="AM138" s="10" t="s">
        <v>3</v>
      </c>
      <c r="AN138" s="10" t="s">
        <v>2566</v>
      </c>
    </row>
    <row r="139" spans="1:40" x14ac:dyDescent="0.3">
      <c r="A139" s="10" t="s">
        <v>626</v>
      </c>
      <c r="B139" s="10" t="s">
        <v>622</v>
      </c>
      <c r="C139" s="10" t="s">
        <v>625</v>
      </c>
      <c r="D139" s="10" t="s">
        <v>624</v>
      </c>
      <c r="F139" s="10" t="s">
        <v>2654</v>
      </c>
      <c r="G139" s="10" t="s">
        <v>631</v>
      </c>
      <c r="H139" s="10" t="s">
        <v>506</v>
      </c>
      <c r="I139" t="s">
        <v>627</v>
      </c>
      <c r="J139" s="10" t="s">
        <v>554</v>
      </c>
      <c r="K139" t="s">
        <v>623</v>
      </c>
      <c r="L139">
        <v>4</v>
      </c>
      <c r="M139">
        <v>4</v>
      </c>
      <c r="O139" s="10">
        <v>3400</v>
      </c>
      <c r="P139" s="10"/>
      <c r="S139" s="10">
        <v>3600</v>
      </c>
      <c r="T139" s="10"/>
      <c r="Y139" s="14">
        <f t="shared" si="21"/>
        <v>1.0588235294117647</v>
      </c>
      <c r="AA139" s="14">
        <f t="shared" si="23"/>
        <v>1.0588235294117647</v>
      </c>
      <c r="AB139" s="14"/>
      <c r="AC139" s="14"/>
      <c r="AF139" s="14"/>
      <c r="AG139" s="14"/>
      <c r="AH139">
        <f>90*0.46</f>
        <v>41.4</v>
      </c>
      <c r="AI139" s="10" t="s">
        <v>1</v>
      </c>
      <c r="AL139" s="10" t="s">
        <v>2</v>
      </c>
      <c r="AM139" s="10" t="s">
        <v>3</v>
      </c>
      <c r="AN139" s="10" t="s">
        <v>2566</v>
      </c>
    </row>
    <row r="140" spans="1:40" x14ac:dyDescent="0.3">
      <c r="A140" s="10" t="s">
        <v>626</v>
      </c>
      <c r="B140" s="10" t="s">
        <v>622</v>
      </c>
      <c r="C140" s="10" t="s">
        <v>625</v>
      </c>
      <c r="D140" s="10" t="s">
        <v>624</v>
      </c>
      <c r="F140" s="10" t="s">
        <v>2654</v>
      </c>
      <c r="G140" s="10" t="s">
        <v>631</v>
      </c>
      <c r="H140" s="10" t="s">
        <v>506</v>
      </c>
      <c r="I140" t="s">
        <v>628</v>
      </c>
      <c r="J140" s="10" t="s">
        <v>554</v>
      </c>
      <c r="K140" t="s">
        <v>623</v>
      </c>
      <c r="L140">
        <v>4</v>
      </c>
      <c r="M140">
        <v>4</v>
      </c>
      <c r="O140" s="10">
        <v>3800</v>
      </c>
      <c r="P140" s="10"/>
      <c r="S140" s="10">
        <v>4000</v>
      </c>
      <c r="T140" s="10"/>
      <c r="Y140" s="14">
        <f t="shared" si="21"/>
        <v>1.0526315789473684</v>
      </c>
      <c r="AA140" s="14">
        <f t="shared" si="23"/>
        <v>1.0526315789473684</v>
      </c>
      <c r="AB140" s="14"/>
      <c r="AC140" s="14"/>
      <c r="AF140" s="14"/>
      <c r="AG140" s="14"/>
      <c r="AH140">
        <f t="shared" ref="AH140:AH142" si="25">90*0.46</f>
        <v>41.4</v>
      </c>
      <c r="AI140" s="10" t="s">
        <v>1</v>
      </c>
      <c r="AL140" s="10" t="s">
        <v>2</v>
      </c>
      <c r="AM140" s="10" t="s">
        <v>3</v>
      </c>
      <c r="AN140" s="10" t="s">
        <v>2566</v>
      </c>
    </row>
    <row r="141" spans="1:40" x14ac:dyDescent="0.3">
      <c r="A141" s="10" t="s">
        <v>626</v>
      </c>
      <c r="B141" s="10" t="s">
        <v>622</v>
      </c>
      <c r="C141" s="10" t="s">
        <v>625</v>
      </c>
      <c r="D141" s="10" t="s">
        <v>624</v>
      </c>
      <c r="F141" s="10" t="s">
        <v>2654</v>
      </c>
      <c r="G141" s="10" t="s">
        <v>631</v>
      </c>
      <c r="H141" s="10" t="s">
        <v>506</v>
      </c>
      <c r="I141" t="s">
        <v>629</v>
      </c>
      <c r="J141" s="10" t="s">
        <v>554</v>
      </c>
      <c r="K141" t="s">
        <v>623</v>
      </c>
      <c r="L141">
        <v>4</v>
      </c>
      <c r="M141">
        <v>4</v>
      </c>
      <c r="O141" s="10">
        <v>3400</v>
      </c>
      <c r="P141" s="10"/>
      <c r="S141" s="10">
        <v>3500</v>
      </c>
      <c r="T141" s="10"/>
      <c r="Y141" s="14">
        <f t="shared" si="21"/>
        <v>1.0294117647058822</v>
      </c>
      <c r="AA141" s="14">
        <f t="shared" si="23"/>
        <v>1.0294117647058822</v>
      </c>
      <c r="AB141" s="14"/>
      <c r="AC141" s="14"/>
      <c r="AF141" s="14"/>
      <c r="AG141" s="14"/>
      <c r="AH141">
        <f t="shared" si="25"/>
        <v>41.4</v>
      </c>
      <c r="AI141" s="10" t="s">
        <v>1</v>
      </c>
      <c r="AL141" s="10" t="s">
        <v>2</v>
      </c>
      <c r="AM141" s="10" t="s">
        <v>3</v>
      </c>
      <c r="AN141" s="10" t="s">
        <v>2566</v>
      </c>
    </row>
    <row r="142" spans="1:40" x14ac:dyDescent="0.3">
      <c r="A142" s="10" t="s">
        <v>626</v>
      </c>
      <c r="B142" s="10" t="s">
        <v>622</v>
      </c>
      <c r="C142" s="10" t="s">
        <v>625</v>
      </c>
      <c r="D142" s="10" t="s">
        <v>624</v>
      </c>
      <c r="F142" s="10" t="s">
        <v>2654</v>
      </c>
      <c r="G142" s="10" t="s">
        <v>631</v>
      </c>
      <c r="H142" s="10" t="s">
        <v>506</v>
      </c>
      <c r="I142" t="s">
        <v>630</v>
      </c>
      <c r="J142" s="10" t="s">
        <v>554</v>
      </c>
      <c r="K142" t="s">
        <v>623</v>
      </c>
      <c r="L142">
        <v>4</v>
      </c>
      <c r="M142">
        <v>4</v>
      </c>
      <c r="O142" s="10">
        <v>3800</v>
      </c>
      <c r="P142" s="10"/>
      <c r="S142" s="10">
        <v>4100</v>
      </c>
      <c r="T142" s="10"/>
      <c r="Y142" s="14">
        <f t="shared" si="21"/>
        <v>1.0789473684210527</v>
      </c>
      <c r="AA142" s="14">
        <f t="shared" si="23"/>
        <v>1.0789473684210527</v>
      </c>
      <c r="AB142" s="14"/>
      <c r="AC142" s="14"/>
      <c r="AF142" s="14"/>
      <c r="AG142" s="14"/>
      <c r="AH142">
        <f t="shared" si="25"/>
        <v>41.4</v>
      </c>
      <c r="AI142" s="10" t="s">
        <v>1</v>
      </c>
      <c r="AL142" s="10" t="s">
        <v>2</v>
      </c>
      <c r="AM142" s="10" t="s">
        <v>3</v>
      </c>
      <c r="AN142" s="10" t="s">
        <v>2566</v>
      </c>
    </row>
    <row r="143" spans="1:40" x14ac:dyDescent="0.3">
      <c r="A143" s="10" t="s">
        <v>632</v>
      </c>
      <c r="B143" s="10" t="s">
        <v>633</v>
      </c>
      <c r="F143" s="10" t="s">
        <v>2654</v>
      </c>
      <c r="G143" s="10" t="s">
        <v>634</v>
      </c>
      <c r="H143" s="10" t="s">
        <v>506</v>
      </c>
      <c r="J143" s="10" t="s">
        <v>554</v>
      </c>
      <c r="K143" t="s">
        <v>635</v>
      </c>
      <c r="L143">
        <v>4</v>
      </c>
      <c r="M143">
        <v>4</v>
      </c>
      <c r="O143" s="10">
        <v>196</v>
      </c>
      <c r="P143" s="10"/>
      <c r="S143" s="10">
        <v>442</v>
      </c>
      <c r="T143" s="10"/>
      <c r="Y143" s="14">
        <f t="shared" si="21"/>
        <v>2.2551020408163267</v>
      </c>
      <c r="AA143" s="14">
        <f t="shared" si="23"/>
        <v>2.2551020408163267</v>
      </c>
      <c r="AB143" s="14"/>
      <c r="AC143" s="14"/>
      <c r="AF143" s="14"/>
      <c r="AG143" s="14"/>
      <c r="AI143" s="26"/>
      <c r="AL143" s="10" t="s">
        <v>2</v>
      </c>
      <c r="AM143" s="10" t="s">
        <v>3</v>
      </c>
      <c r="AN143" s="10" t="s">
        <v>2566</v>
      </c>
    </row>
    <row r="144" spans="1:40" x14ac:dyDescent="0.3">
      <c r="A144" s="10" t="s">
        <v>636</v>
      </c>
      <c r="B144" s="10" t="s">
        <v>637</v>
      </c>
      <c r="E144" s="16" t="s">
        <v>648</v>
      </c>
      <c r="F144" s="10" t="s">
        <v>2654</v>
      </c>
      <c r="G144" s="10" t="s">
        <v>638</v>
      </c>
      <c r="H144" s="10" t="s">
        <v>506</v>
      </c>
      <c r="I144" s="10"/>
      <c r="J144" s="10" t="s">
        <v>63</v>
      </c>
      <c r="K144" s="10" t="s">
        <v>642</v>
      </c>
      <c r="L144" s="10">
        <v>3</v>
      </c>
      <c r="M144" s="10">
        <v>3</v>
      </c>
      <c r="N144" s="10"/>
      <c r="O144" s="10">
        <v>10800</v>
      </c>
      <c r="P144" s="10"/>
      <c r="S144" s="10">
        <v>11800</v>
      </c>
      <c r="T144" s="10"/>
      <c r="U144">
        <v>4300</v>
      </c>
      <c r="Y144" s="14">
        <f t="shared" ref="Y144:Y175" si="26">S144/O144</f>
        <v>1.0925925925925926</v>
      </c>
      <c r="AA144" s="14">
        <f t="shared" si="23"/>
        <v>1.0925925925925926</v>
      </c>
      <c r="AB144" s="14"/>
      <c r="AC144" s="14"/>
      <c r="AF144" s="14"/>
      <c r="AG144" s="14"/>
      <c r="AI144" s="26"/>
      <c r="AL144" s="10" t="s">
        <v>2</v>
      </c>
      <c r="AM144" s="10" t="s">
        <v>3</v>
      </c>
      <c r="AN144" s="10" t="s">
        <v>2566</v>
      </c>
    </row>
    <row r="145" spans="1:40" x14ac:dyDescent="0.3">
      <c r="A145" s="10" t="s">
        <v>636</v>
      </c>
      <c r="B145" s="10" t="s">
        <v>637</v>
      </c>
      <c r="E145" s="16" t="s">
        <v>648</v>
      </c>
      <c r="F145" s="10" t="s">
        <v>2654</v>
      </c>
      <c r="G145" s="10" t="s">
        <v>639</v>
      </c>
      <c r="H145" s="10" t="s">
        <v>506</v>
      </c>
      <c r="I145" s="10"/>
      <c r="J145" s="10" t="s">
        <v>63</v>
      </c>
      <c r="K145" s="10" t="s">
        <v>643</v>
      </c>
      <c r="L145" s="10">
        <v>3</v>
      </c>
      <c r="M145" s="10">
        <v>3</v>
      </c>
      <c r="N145" s="10"/>
      <c r="O145" s="10">
        <v>10800</v>
      </c>
      <c r="P145" s="10"/>
      <c r="S145" s="10">
        <v>11500</v>
      </c>
      <c r="T145" s="10"/>
      <c r="U145">
        <v>7280</v>
      </c>
      <c r="Y145" s="14">
        <f t="shared" si="26"/>
        <v>1.0648148148148149</v>
      </c>
      <c r="AA145" s="14">
        <f t="shared" si="23"/>
        <v>1.0648148148148149</v>
      </c>
      <c r="AB145" s="14"/>
      <c r="AC145" s="14"/>
      <c r="AF145" s="14"/>
      <c r="AG145" s="14"/>
      <c r="AI145" s="26"/>
      <c r="AL145" s="10" t="s">
        <v>2</v>
      </c>
      <c r="AM145" s="10" t="s">
        <v>3</v>
      </c>
      <c r="AN145" s="10" t="s">
        <v>2566</v>
      </c>
    </row>
    <row r="146" spans="1:40" x14ac:dyDescent="0.3">
      <c r="A146" s="10" t="s">
        <v>636</v>
      </c>
      <c r="B146" s="10" t="s">
        <v>637</v>
      </c>
      <c r="E146" s="16" t="s">
        <v>648</v>
      </c>
      <c r="F146" s="10" t="s">
        <v>2654</v>
      </c>
      <c r="G146" s="10" t="s">
        <v>602</v>
      </c>
      <c r="H146" s="10" t="s">
        <v>506</v>
      </c>
      <c r="I146" s="10"/>
      <c r="J146" s="10" t="s">
        <v>63</v>
      </c>
      <c r="K146" s="10" t="s">
        <v>644</v>
      </c>
      <c r="L146" s="10">
        <v>3</v>
      </c>
      <c r="M146" s="10">
        <v>4</v>
      </c>
      <c r="N146" s="10"/>
      <c r="O146" s="10">
        <v>10800</v>
      </c>
      <c r="P146" s="10"/>
      <c r="S146" s="10">
        <v>10100</v>
      </c>
      <c r="T146" s="10"/>
      <c r="U146">
        <v>13370</v>
      </c>
      <c r="Y146" s="14">
        <f t="shared" si="26"/>
        <v>0.93518518518518523</v>
      </c>
      <c r="AA146" s="14">
        <f t="shared" si="23"/>
        <v>0.93518518518518523</v>
      </c>
      <c r="AB146" s="14"/>
      <c r="AC146" s="14"/>
      <c r="AF146" s="14"/>
      <c r="AG146" s="14"/>
      <c r="AI146" s="26"/>
      <c r="AL146" s="10" t="s">
        <v>2</v>
      </c>
      <c r="AM146" s="10" t="s">
        <v>3</v>
      </c>
      <c r="AN146" s="10" t="s">
        <v>2566</v>
      </c>
    </row>
    <row r="147" spans="1:40" x14ac:dyDescent="0.3">
      <c r="A147" s="10" t="s">
        <v>636</v>
      </c>
      <c r="B147" s="10" t="s">
        <v>637</v>
      </c>
      <c r="E147" s="16" t="s">
        <v>648</v>
      </c>
      <c r="F147" s="10" t="s">
        <v>2654</v>
      </c>
      <c r="G147" s="10" t="s">
        <v>511</v>
      </c>
      <c r="H147" s="10" t="s">
        <v>506</v>
      </c>
      <c r="I147" s="10"/>
      <c r="J147" s="10" t="s">
        <v>63</v>
      </c>
      <c r="K147" s="10" t="s">
        <v>645</v>
      </c>
      <c r="L147" s="10">
        <v>3</v>
      </c>
      <c r="M147" s="10">
        <v>4</v>
      </c>
      <c r="N147" s="10"/>
      <c r="O147" s="10">
        <v>10800</v>
      </c>
      <c r="P147" s="10"/>
      <c r="S147" s="10">
        <v>10700</v>
      </c>
      <c r="T147" s="10"/>
      <c r="U147">
        <v>4310</v>
      </c>
      <c r="Y147" s="14">
        <f t="shared" si="26"/>
        <v>0.9907407407407407</v>
      </c>
      <c r="AA147" s="14">
        <f t="shared" si="23"/>
        <v>0.9907407407407407</v>
      </c>
      <c r="AB147" s="14"/>
      <c r="AC147" s="14"/>
      <c r="AF147" s="14"/>
      <c r="AG147" s="14"/>
      <c r="AI147" s="26"/>
      <c r="AL147" s="10" t="s">
        <v>2</v>
      </c>
      <c r="AM147" s="10" t="s">
        <v>3</v>
      </c>
      <c r="AN147" s="10" t="s">
        <v>2566</v>
      </c>
    </row>
    <row r="148" spans="1:40" x14ac:dyDescent="0.3">
      <c r="A148" s="10" t="s">
        <v>636</v>
      </c>
      <c r="B148" s="10" t="s">
        <v>637</v>
      </c>
      <c r="E148" s="16" t="s">
        <v>648</v>
      </c>
      <c r="F148" s="10" t="s">
        <v>2654</v>
      </c>
      <c r="G148" s="10" t="s">
        <v>640</v>
      </c>
      <c r="H148" s="10" t="s">
        <v>506</v>
      </c>
      <c r="I148" s="10"/>
      <c r="J148" s="10" t="s">
        <v>63</v>
      </c>
      <c r="K148" s="10" t="s">
        <v>647</v>
      </c>
      <c r="L148" s="10">
        <v>3</v>
      </c>
      <c r="M148" s="10">
        <v>4</v>
      </c>
      <c r="N148" s="10"/>
      <c r="O148" s="10">
        <v>10800</v>
      </c>
      <c r="P148" s="10"/>
      <c r="S148" s="10">
        <v>11300</v>
      </c>
      <c r="T148" s="10"/>
      <c r="U148">
        <v>7920</v>
      </c>
      <c r="Y148" s="14">
        <f t="shared" si="26"/>
        <v>1.0462962962962963</v>
      </c>
      <c r="AA148" s="14">
        <f t="shared" si="23"/>
        <v>1.0462962962962963</v>
      </c>
      <c r="AB148" s="14"/>
      <c r="AC148" s="14"/>
      <c r="AF148" s="14"/>
      <c r="AG148" s="14"/>
      <c r="AI148" s="26"/>
      <c r="AL148" s="10" t="s">
        <v>2</v>
      </c>
      <c r="AM148" s="10" t="s">
        <v>3</v>
      </c>
      <c r="AN148" s="10" t="s">
        <v>2566</v>
      </c>
    </row>
    <row r="149" spans="1:40" x14ac:dyDescent="0.3">
      <c r="A149" s="10" t="s">
        <v>636</v>
      </c>
      <c r="B149" s="10" t="s">
        <v>637</v>
      </c>
      <c r="E149" s="16" t="s">
        <v>648</v>
      </c>
      <c r="F149" s="10" t="s">
        <v>2654</v>
      </c>
      <c r="G149" s="10" t="s">
        <v>641</v>
      </c>
      <c r="H149" s="10" t="s">
        <v>506</v>
      </c>
      <c r="I149" s="10"/>
      <c r="J149" s="10" t="s">
        <v>63</v>
      </c>
      <c r="K149" s="10" t="s">
        <v>646</v>
      </c>
      <c r="L149" s="10">
        <v>3</v>
      </c>
      <c r="M149" s="10">
        <v>3</v>
      </c>
      <c r="N149" s="10"/>
      <c r="O149" s="10">
        <v>10800</v>
      </c>
      <c r="P149" s="10"/>
      <c r="S149" s="10">
        <v>11000</v>
      </c>
      <c r="T149" s="10"/>
      <c r="U149">
        <v>3380</v>
      </c>
      <c r="Y149" s="14">
        <f t="shared" si="26"/>
        <v>1.0185185185185186</v>
      </c>
      <c r="AA149" s="14">
        <f t="shared" si="23"/>
        <v>1.0185185185185186</v>
      </c>
      <c r="AB149" s="14"/>
      <c r="AC149" s="14"/>
      <c r="AF149" s="14"/>
      <c r="AG149" s="14"/>
      <c r="AI149" s="26"/>
      <c r="AL149" s="10" t="s">
        <v>2</v>
      </c>
      <c r="AM149" s="10" t="s">
        <v>3</v>
      </c>
      <c r="AN149" s="10" t="s">
        <v>2566</v>
      </c>
    </row>
    <row r="150" spans="1:40" x14ac:dyDescent="0.3">
      <c r="A150" s="10" t="s">
        <v>649</v>
      </c>
      <c r="B150" s="10" t="s">
        <v>529</v>
      </c>
      <c r="E150" s="16">
        <v>2009</v>
      </c>
      <c r="F150" s="10" t="s">
        <v>2654</v>
      </c>
      <c r="G150" s="10" t="s">
        <v>652</v>
      </c>
      <c r="H150" s="10" t="s">
        <v>506</v>
      </c>
      <c r="J150" s="10" t="s">
        <v>516</v>
      </c>
      <c r="K150" s="10" t="s">
        <v>53</v>
      </c>
      <c r="L150">
        <v>3</v>
      </c>
      <c r="M150">
        <v>3</v>
      </c>
      <c r="O150" s="10">
        <v>3850</v>
      </c>
      <c r="P150" s="25">
        <f>(4075-3850)*SQRT(L150)</f>
        <v>389.71143170299734</v>
      </c>
      <c r="S150" s="10">
        <v>4000</v>
      </c>
      <c r="T150" s="25">
        <f>(4123-4000)*SQRT(M150)</f>
        <v>213.04224933097188</v>
      </c>
      <c r="U150">
        <v>10620</v>
      </c>
      <c r="V150" s="5">
        <f>1210*SQRT(M150)</f>
        <v>2095.7814771583412</v>
      </c>
      <c r="Y150" s="14">
        <f t="shared" si="26"/>
        <v>1.0389610389610389</v>
      </c>
      <c r="AA150" s="14">
        <f t="shared" si="23"/>
        <v>1.0389610389610389</v>
      </c>
      <c r="AB150" s="14"/>
      <c r="AC150" s="14"/>
      <c r="AD150">
        <f t="shared" ref="AD150:AD165" si="27">((T150^2)/(O150^2))+((P150^2)*(S150^2)/(O150^4))</f>
        <v>1.4122243626091975E-2</v>
      </c>
      <c r="AF150" s="14">
        <f>AD150+AE150</f>
        <v>1.4122243626091975E-2</v>
      </c>
      <c r="AG150">
        <f t="shared" ref="AG150:AG165" si="28">SQRT(AF150)/AA150</f>
        <v>0.11438065727750593</v>
      </c>
      <c r="AI150" s="26"/>
      <c r="AL150" s="10" t="s">
        <v>2</v>
      </c>
      <c r="AM150" s="10" t="s">
        <v>3</v>
      </c>
      <c r="AN150" s="10" t="s">
        <v>2567</v>
      </c>
    </row>
    <row r="151" spans="1:40" x14ac:dyDescent="0.3">
      <c r="A151" s="10" t="s">
        <v>649</v>
      </c>
      <c r="B151" s="10" t="s">
        <v>529</v>
      </c>
      <c r="E151" s="16">
        <v>2009</v>
      </c>
      <c r="F151" s="10" t="s">
        <v>2654</v>
      </c>
      <c r="G151" s="10" t="s">
        <v>508</v>
      </c>
      <c r="H151" s="10" t="s">
        <v>506</v>
      </c>
      <c r="J151" s="10" t="s">
        <v>516</v>
      </c>
      <c r="K151" s="10" t="s">
        <v>650</v>
      </c>
      <c r="L151">
        <v>3</v>
      </c>
      <c r="M151">
        <v>3</v>
      </c>
      <c r="O151" s="10">
        <v>3850</v>
      </c>
      <c r="P151" s="25">
        <f>(4075-3850)*SQRT(L151)</f>
        <v>389.71143170299734</v>
      </c>
      <c r="S151" s="10">
        <v>3767</v>
      </c>
      <c r="T151" s="25">
        <f>(3960-S151)*SQRT(M151)</f>
        <v>334.28580586079329</v>
      </c>
      <c r="U151">
        <v>3850</v>
      </c>
      <c r="V151" s="5">
        <f>140*SQRT(M151)</f>
        <v>242.48711305964281</v>
      </c>
      <c r="Y151" s="14">
        <f t="shared" si="26"/>
        <v>0.97844155844155845</v>
      </c>
      <c r="AA151" s="14">
        <f t="shared" si="23"/>
        <v>0.97844155844155845</v>
      </c>
      <c r="AB151" s="14"/>
      <c r="AC151" s="14"/>
      <c r="AD151">
        <f t="shared" si="27"/>
        <v>1.7348234762961188E-2</v>
      </c>
      <c r="AF151" s="14">
        <f t="shared" ref="AF151:AF165" si="29">AD151+AE151</f>
        <v>1.7348234762961188E-2</v>
      </c>
      <c r="AG151">
        <f t="shared" si="28"/>
        <v>0.13461478273099053</v>
      </c>
      <c r="AI151" s="26"/>
      <c r="AL151" s="10" t="s">
        <v>2</v>
      </c>
      <c r="AM151" s="10" t="s">
        <v>3</v>
      </c>
      <c r="AN151" s="10" t="s">
        <v>2567</v>
      </c>
    </row>
    <row r="152" spans="1:40" x14ac:dyDescent="0.3">
      <c r="A152" s="10" t="s">
        <v>649</v>
      </c>
      <c r="B152" s="10" t="s">
        <v>529</v>
      </c>
      <c r="E152" s="16">
        <v>2009</v>
      </c>
      <c r="F152" s="10" t="s">
        <v>2654</v>
      </c>
      <c r="G152" s="10" t="s">
        <v>653</v>
      </c>
      <c r="H152" s="10" t="s">
        <v>506</v>
      </c>
      <c r="J152" s="10" t="s">
        <v>516</v>
      </c>
      <c r="K152" s="10" t="s">
        <v>501</v>
      </c>
      <c r="L152">
        <v>3</v>
      </c>
      <c r="M152">
        <v>3</v>
      </c>
      <c r="O152" s="10">
        <v>3850</v>
      </c>
      <c r="P152" s="25">
        <f>(4075-3850)*SQRT(L152)</f>
        <v>389.71143170299734</v>
      </c>
      <c r="S152" s="10">
        <v>4041</v>
      </c>
      <c r="T152" s="25">
        <f>(4590-S152)*SQRT(M152)</f>
        <v>950.89589335531355</v>
      </c>
      <c r="U152">
        <v>3390</v>
      </c>
      <c r="V152" s="5">
        <f>40*SQRT(M152)</f>
        <v>69.282032302755084</v>
      </c>
      <c r="Y152" s="14">
        <f t="shared" si="26"/>
        <v>1.0496103896103897</v>
      </c>
      <c r="AA152" s="14">
        <f t="shared" si="23"/>
        <v>1.0496103896103897</v>
      </c>
      <c r="AB152" s="14"/>
      <c r="AC152" s="14"/>
      <c r="AD152">
        <f t="shared" si="27"/>
        <v>7.2290163548012806E-2</v>
      </c>
      <c r="AF152" s="14">
        <f t="shared" si="29"/>
        <v>7.2290163548012806E-2</v>
      </c>
      <c r="AG152">
        <f t="shared" si="28"/>
        <v>0.25616009917101445</v>
      </c>
      <c r="AI152" s="26"/>
      <c r="AL152" s="10" t="s">
        <v>2</v>
      </c>
      <c r="AM152" s="10" t="s">
        <v>3</v>
      </c>
      <c r="AN152" s="10" t="s">
        <v>2567</v>
      </c>
    </row>
    <row r="153" spans="1:40" x14ac:dyDescent="0.3">
      <c r="A153" s="10" t="s">
        <v>649</v>
      </c>
      <c r="B153" s="10" t="s">
        <v>529</v>
      </c>
      <c r="E153" s="16">
        <v>2009</v>
      </c>
      <c r="F153" s="10" t="s">
        <v>2654</v>
      </c>
      <c r="G153" s="10" t="s">
        <v>654</v>
      </c>
      <c r="H153" s="10" t="s">
        <v>506</v>
      </c>
      <c r="J153" s="10" t="s">
        <v>516</v>
      </c>
      <c r="K153" s="10" t="s">
        <v>651</v>
      </c>
      <c r="L153">
        <v>3</v>
      </c>
      <c r="M153">
        <v>3</v>
      </c>
      <c r="O153" s="10">
        <v>3850</v>
      </c>
      <c r="P153" s="25">
        <f>(4075-3850)*SQRT(L153)</f>
        <v>389.71143170299734</v>
      </c>
      <c r="S153" s="10">
        <v>4041</v>
      </c>
      <c r="T153" s="25">
        <f>(4438-S153)*SQRT(M153)</f>
        <v>687.62417060484427</v>
      </c>
      <c r="U153">
        <v>1340</v>
      </c>
      <c r="V153" s="5">
        <f>360*SQRT(M153)</f>
        <v>623.53829072479584</v>
      </c>
      <c r="Y153" s="14">
        <f t="shared" si="26"/>
        <v>1.0496103896103897</v>
      </c>
      <c r="AA153" s="14">
        <f t="shared" si="23"/>
        <v>1.0496103896103897</v>
      </c>
      <c r="AB153" s="14"/>
      <c r="AC153" s="14"/>
      <c r="AD153">
        <f t="shared" si="27"/>
        <v>4.3187380616658458E-2</v>
      </c>
      <c r="AF153" s="14">
        <f t="shared" si="29"/>
        <v>4.3187380616658458E-2</v>
      </c>
      <c r="AG153">
        <f t="shared" si="28"/>
        <v>0.19799321655905305</v>
      </c>
      <c r="AI153" s="26"/>
      <c r="AL153" s="10" t="s">
        <v>2</v>
      </c>
      <c r="AM153" s="10" t="s">
        <v>3</v>
      </c>
      <c r="AN153" s="10" t="s">
        <v>2567</v>
      </c>
    </row>
    <row r="154" spans="1:40" x14ac:dyDescent="0.3">
      <c r="A154" s="10" t="s">
        <v>649</v>
      </c>
      <c r="B154" s="10" t="s">
        <v>529</v>
      </c>
      <c r="E154" s="16">
        <v>2010</v>
      </c>
      <c r="F154" s="10" t="s">
        <v>2654</v>
      </c>
      <c r="G154" s="10" t="s">
        <v>652</v>
      </c>
      <c r="H154" s="10" t="s">
        <v>506</v>
      </c>
      <c r="J154" s="10" t="s">
        <v>516</v>
      </c>
      <c r="K154" s="10" t="s">
        <v>53</v>
      </c>
      <c r="L154">
        <v>3</v>
      </c>
      <c r="M154">
        <v>3</v>
      </c>
      <c r="O154" s="10">
        <v>4200</v>
      </c>
      <c r="P154" s="25">
        <f>(4534-3850)*SQRT(L154)</f>
        <v>1184.7227523771121</v>
      </c>
      <c r="S154" s="10">
        <v>3034</v>
      </c>
      <c r="T154" s="25">
        <f>(3233-S154)*SQRT(M154)</f>
        <v>344.67811070620655</v>
      </c>
      <c r="U154">
        <v>9100</v>
      </c>
      <c r="V154" s="5">
        <f>930*SQRT(M154)</f>
        <v>1610.8072510390557</v>
      </c>
      <c r="Y154" s="14">
        <f t="shared" si="26"/>
        <v>0.72238095238095235</v>
      </c>
      <c r="AA154" s="14">
        <f t="shared" ref="AA154:AA161" si="30">Y154+Z154</f>
        <v>0.72238095238095235</v>
      </c>
      <c r="AB154" s="14"/>
      <c r="AC154" s="14"/>
      <c r="AD154">
        <f t="shared" si="27"/>
        <v>4.8255829993058441E-2</v>
      </c>
      <c r="AF154" s="14">
        <f t="shared" si="29"/>
        <v>4.8255829993058441E-2</v>
      </c>
      <c r="AG154">
        <f t="shared" si="28"/>
        <v>0.30409453046080825</v>
      </c>
      <c r="AI154" s="26"/>
      <c r="AL154" s="10" t="s">
        <v>2</v>
      </c>
      <c r="AM154" s="10" t="s">
        <v>3</v>
      </c>
      <c r="AN154" s="10" t="s">
        <v>2567</v>
      </c>
    </row>
    <row r="155" spans="1:40" x14ac:dyDescent="0.3">
      <c r="A155" s="10" t="s">
        <v>649</v>
      </c>
      <c r="B155" s="10" t="s">
        <v>529</v>
      </c>
      <c r="E155" s="16">
        <v>2010</v>
      </c>
      <c r="F155" s="10" t="s">
        <v>2654</v>
      </c>
      <c r="G155" s="10" t="s">
        <v>508</v>
      </c>
      <c r="H155" s="10" t="s">
        <v>506</v>
      </c>
      <c r="J155" s="10" t="s">
        <v>516</v>
      </c>
      <c r="K155" s="10" t="s">
        <v>650</v>
      </c>
      <c r="L155">
        <v>3</v>
      </c>
      <c r="M155">
        <v>3</v>
      </c>
      <c r="O155" s="10">
        <v>4200</v>
      </c>
      <c r="P155" s="25">
        <f>(4534-3850)*SQRT(L155)</f>
        <v>1184.7227523771121</v>
      </c>
      <c r="S155" s="10">
        <v>4160</v>
      </c>
      <c r="T155" s="25">
        <f>(4550-S155)*SQRT(M155)</f>
        <v>675.49981495186205</v>
      </c>
      <c r="U155">
        <v>2970</v>
      </c>
      <c r="V155" s="5">
        <f>190*SQRT(M155)</f>
        <v>329.08965343808666</v>
      </c>
      <c r="Y155" s="14">
        <f t="shared" si="26"/>
        <v>0.99047619047619051</v>
      </c>
      <c r="AA155" s="14">
        <f t="shared" si="30"/>
        <v>0.99047619047619051</v>
      </c>
      <c r="AB155" s="14"/>
      <c r="AC155" s="14"/>
      <c r="AD155">
        <f t="shared" si="27"/>
        <v>0.1039263423573511</v>
      </c>
      <c r="AF155" s="14">
        <f t="shared" si="29"/>
        <v>0.1039263423573511</v>
      </c>
      <c r="AG155">
        <f t="shared" si="28"/>
        <v>0.32547585845769805</v>
      </c>
      <c r="AI155" s="26"/>
      <c r="AL155" s="10" t="s">
        <v>2</v>
      </c>
      <c r="AM155" s="10" t="s">
        <v>3</v>
      </c>
      <c r="AN155" s="10" t="s">
        <v>2567</v>
      </c>
    </row>
    <row r="156" spans="1:40" x14ac:dyDescent="0.3">
      <c r="A156" s="10" t="s">
        <v>649</v>
      </c>
      <c r="B156" s="10" t="s">
        <v>529</v>
      </c>
      <c r="E156" s="16">
        <v>2010</v>
      </c>
      <c r="F156" s="10" t="s">
        <v>2654</v>
      </c>
      <c r="G156" s="10" t="s">
        <v>653</v>
      </c>
      <c r="H156" s="10" t="s">
        <v>506</v>
      </c>
      <c r="J156" s="10" t="s">
        <v>516</v>
      </c>
      <c r="K156" s="10" t="s">
        <v>501</v>
      </c>
      <c r="L156">
        <v>3</v>
      </c>
      <c r="M156">
        <v>3</v>
      </c>
      <c r="O156" s="10">
        <v>4200</v>
      </c>
      <c r="P156" s="25">
        <f>(4534-3850)*SQRT(L156)</f>
        <v>1184.7227523771121</v>
      </c>
      <c r="S156" s="10">
        <v>4274</v>
      </c>
      <c r="T156" s="25">
        <f>(4836-S156)*SQRT(M156)</f>
        <v>973.41255385370903</v>
      </c>
      <c r="U156">
        <v>4310</v>
      </c>
      <c r="V156" s="5">
        <f>200*SQRT(M156)</f>
        <v>346.41016151377545</v>
      </c>
      <c r="Y156" s="14">
        <f t="shared" si="26"/>
        <v>1.0176190476190476</v>
      </c>
      <c r="AA156" s="14">
        <f t="shared" si="30"/>
        <v>1.0176190476190476</v>
      </c>
      <c r="AB156" s="14"/>
      <c r="AC156" s="14"/>
      <c r="AD156">
        <f t="shared" si="27"/>
        <v>0.13611081483270859</v>
      </c>
      <c r="AF156" s="14">
        <f t="shared" si="29"/>
        <v>0.13611081483270859</v>
      </c>
      <c r="AG156">
        <f t="shared" si="28"/>
        <v>0.36254430674669064</v>
      </c>
      <c r="AI156" s="26"/>
      <c r="AL156" s="10" t="s">
        <v>2</v>
      </c>
      <c r="AM156" s="10" t="s">
        <v>3</v>
      </c>
      <c r="AN156" s="10" t="s">
        <v>2567</v>
      </c>
    </row>
    <row r="157" spans="1:40" x14ac:dyDescent="0.3">
      <c r="A157" s="10" t="s">
        <v>649</v>
      </c>
      <c r="B157" s="10" t="s">
        <v>529</v>
      </c>
      <c r="E157" s="16">
        <v>2010</v>
      </c>
      <c r="F157" s="10" t="s">
        <v>2654</v>
      </c>
      <c r="G157" s="10" t="s">
        <v>654</v>
      </c>
      <c r="H157" s="10" t="s">
        <v>506</v>
      </c>
      <c r="J157" s="10" t="s">
        <v>516</v>
      </c>
      <c r="K157" s="10" t="s">
        <v>651</v>
      </c>
      <c r="L157">
        <v>3</v>
      </c>
      <c r="M157">
        <v>3</v>
      </c>
      <c r="O157" s="10">
        <v>4200</v>
      </c>
      <c r="P157" s="25">
        <f>(4534-3850)*SQRT(L157)</f>
        <v>1184.7227523771121</v>
      </c>
      <c r="S157" s="10">
        <v>3808</v>
      </c>
      <c r="T157" s="25">
        <f>(4350-S157)*SQRT(M157)</f>
        <v>938.77153770233144</v>
      </c>
      <c r="U157">
        <v>3370</v>
      </c>
      <c r="V157" s="5">
        <f>490*SQRT(M157)</f>
        <v>848.70489570874986</v>
      </c>
      <c r="Y157" s="14">
        <f t="shared" si="26"/>
        <v>0.90666666666666662</v>
      </c>
      <c r="AA157" s="14">
        <f t="shared" si="30"/>
        <v>0.90666666666666662</v>
      </c>
      <c r="AB157" s="14"/>
      <c r="AC157" s="14"/>
      <c r="AD157">
        <f t="shared" si="27"/>
        <v>0.11536775945578231</v>
      </c>
      <c r="AF157" s="14">
        <f t="shared" si="29"/>
        <v>0.11536775945578231</v>
      </c>
      <c r="AG157">
        <f t="shared" si="28"/>
        <v>0.37462312288426913</v>
      </c>
      <c r="AI157" s="26"/>
      <c r="AL157" s="10" t="s">
        <v>2</v>
      </c>
      <c r="AM157" s="10" t="s">
        <v>3</v>
      </c>
      <c r="AN157" s="10" t="s">
        <v>2567</v>
      </c>
    </row>
    <row r="158" spans="1:40" x14ac:dyDescent="0.3">
      <c r="A158" s="10" t="s">
        <v>649</v>
      </c>
      <c r="B158" s="10" t="s">
        <v>529</v>
      </c>
      <c r="E158" s="16">
        <v>2010</v>
      </c>
      <c r="F158" s="10" t="s">
        <v>2654</v>
      </c>
      <c r="G158" s="10" t="s">
        <v>659</v>
      </c>
      <c r="H158" s="10" t="s">
        <v>506</v>
      </c>
      <c r="J158" s="10" t="s">
        <v>180</v>
      </c>
      <c r="K158" s="10" t="s">
        <v>550</v>
      </c>
      <c r="L158">
        <v>3</v>
      </c>
      <c r="M158">
        <v>3</v>
      </c>
      <c r="O158" s="10">
        <v>6360</v>
      </c>
      <c r="P158" s="25">
        <f>(6400-O158)*SQRT(L158)</f>
        <v>69.282032302755084</v>
      </c>
      <c r="S158" s="10">
        <v>7083</v>
      </c>
      <c r="T158" s="25">
        <f>(7377-S158)*SQRT(M158)</f>
        <v>509.22293742524988</v>
      </c>
      <c r="U158">
        <v>13190</v>
      </c>
      <c r="V158" s="5">
        <f>970*(SQRT(M158))</f>
        <v>1680.0892833418109</v>
      </c>
      <c r="Y158" s="14">
        <f t="shared" si="26"/>
        <v>1.1136792452830189</v>
      </c>
      <c r="AA158" s="14">
        <f t="shared" si="30"/>
        <v>1.1136792452830189</v>
      </c>
      <c r="AB158" s="14"/>
      <c r="AC158" s="14"/>
      <c r="AD158">
        <f t="shared" si="27"/>
        <v>6.5578238354543905E-3</v>
      </c>
      <c r="AF158" s="14">
        <f t="shared" si="29"/>
        <v>6.5578238354543905E-3</v>
      </c>
      <c r="AG158">
        <f t="shared" si="28"/>
        <v>7.2714286465904082E-2</v>
      </c>
      <c r="AI158" s="26"/>
      <c r="AL158" s="10" t="s">
        <v>2</v>
      </c>
      <c r="AM158" s="10" t="s">
        <v>3</v>
      </c>
      <c r="AN158" s="10" t="s">
        <v>2567</v>
      </c>
    </row>
    <row r="159" spans="1:40" x14ac:dyDescent="0.3">
      <c r="A159" s="10" t="s">
        <v>649</v>
      </c>
      <c r="B159" s="10" t="s">
        <v>529</v>
      </c>
      <c r="E159" s="16">
        <v>2010</v>
      </c>
      <c r="F159" s="10" t="s">
        <v>2654</v>
      </c>
      <c r="G159" s="10" t="s">
        <v>657</v>
      </c>
      <c r="H159" s="10" t="s">
        <v>506</v>
      </c>
      <c r="J159" s="10" t="s">
        <v>180</v>
      </c>
      <c r="K159" s="10" t="s">
        <v>532</v>
      </c>
      <c r="L159">
        <v>3</v>
      </c>
      <c r="M159">
        <v>3</v>
      </c>
      <c r="O159" s="10">
        <v>6360</v>
      </c>
      <c r="P159" s="25">
        <f>(6400-O159)*SQRT(L159)</f>
        <v>69.282032302755084</v>
      </c>
      <c r="S159" s="10">
        <v>6150</v>
      </c>
      <c r="T159" s="25">
        <f>(6506-S159)*SQRT(M159)</f>
        <v>616.61008749452026</v>
      </c>
      <c r="U159">
        <v>12020</v>
      </c>
      <c r="V159" s="5">
        <f>1240*(SQRT(M159))</f>
        <v>2147.7430013854078</v>
      </c>
      <c r="Y159" s="14">
        <f t="shared" si="26"/>
        <v>0.96698113207547165</v>
      </c>
      <c r="AA159" s="14">
        <f t="shared" si="30"/>
        <v>0.96698113207547165</v>
      </c>
      <c r="AB159" s="14"/>
      <c r="AC159" s="14"/>
      <c r="AD159">
        <f t="shared" si="27"/>
        <v>9.5105081891289842E-3</v>
      </c>
      <c r="AF159" s="14">
        <f t="shared" si="29"/>
        <v>9.5105081891289842E-3</v>
      </c>
      <c r="AG159">
        <f t="shared" si="28"/>
        <v>0.10085184828082651</v>
      </c>
      <c r="AI159" s="26"/>
      <c r="AL159" s="10" t="s">
        <v>2</v>
      </c>
      <c r="AM159" s="10" t="s">
        <v>3</v>
      </c>
      <c r="AN159" s="10" t="s">
        <v>2567</v>
      </c>
    </row>
    <row r="160" spans="1:40" x14ac:dyDescent="0.3">
      <c r="A160" s="10" t="s">
        <v>649</v>
      </c>
      <c r="B160" s="10" t="s">
        <v>529</v>
      </c>
      <c r="E160" s="16">
        <v>2010</v>
      </c>
      <c r="F160" s="10" t="s">
        <v>2654</v>
      </c>
      <c r="G160" s="10" t="s">
        <v>658</v>
      </c>
      <c r="H160" s="10" t="s">
        <v>506</v>
      </c>
      <c r="J160" s="10" t="s">
        <v>180</v>
      </c>
      <c r="K160" s="10" t="s">
        <v>544</v>
      </c>
      <c r="L160">
        <v>3</v>
      </c>
      <c r="M160">
        <v>3</v>
      </c>
      <c r="O160" s="10">
        <v>6360</v>
      </c>
      <c r="P160" s="25">
        <f>(6400-O160)*SQRT(L160)</f>
        <v>69.282032302755084</v>
      </c>
      <c r="S160" s="10">
        <v>6768</v>
      </c>
      <c r="T160" s="25">
        <f>(6936-S160)*SQRT(M160)</f>
        <v>290.98453567157139</v>
      </c>
      <c r="U160">
        <v>4420</v>
      </c>
      <c r="V160" s="5">
        <f>610*(SQRT(M160))</f>
        <v>1056.550992617015</v>
      </c>
      <c r="Y160" s="14">
        <f t="shared" si="26"/>
        <v>1.0641509433962264</v>
      </c>
      <c r="AA160" s="14">
        <f t="shared" si="30"/>
        <v>1.0641509433962264</v>
      </c>
      <c r="AB160" s="14"/>
      <c r="AC160" s="14"/>
      <c r="AD160">
        <f t="shared" si="27"/>
        <v>2.2276512673942185E-3</v>
      </c>
      <c r="AF160" s="14">
        <f t="shared" si="29"/>
        <v>2.2276512673942185E-3</v>
      </c>
      <c r="AG160">
        <f t="shared" si="28"/>
        <v>4.4352731127546112E-2</v>
      </c>
      <c r="AI160" s="26"/>
      <c r="AL160" s="10" t="s">
        <v>2</v>
      </c>
      <c r="AM160" s="10" t="s">
        <v>3</v>
      </c>
      <c r="AN160" s="10" t="s">
        <v>2567</v>
      </c>
    </row>
    <row r="161" spans="1:40" x14ac:dyDescent="0.3">
      <c r="A161" s="10" t="s">
        <v>649</v>
      </c>
      <c r="B161" s="10" t="s">
        <v>529</v>
      </c>
      <c r="E161" s="16">
        <v>2010</v>
      </c>
      <c r="F161" s="10" t="s">
        <v>2654</v>
      </c>
      <c r="G161" s="10" t="s">
        <v>656</v>
      </c>
      <c r="H161" s="10" t="s">
        <v>506</v>
      </c>
      <c r="J161" s="10" t="s">
        <v>180</v>
      </c>
      <c r="K161" s="10" t="s">
        <v>655</v>
      </c>
      <c r="L161">
        <v>3</v>
      </c>
      <c r="M161">
        <v>3</v>
      </c>
      <c r="O161" s="10">
        <v>6360</v>
      </c>
      <c r="P161" s="25">
        <f>(6400-O161)*SQRT(L161)</f>
        <v>69.282032302755084</v>
      </c>
      <c r="S161" s="10">
        <v>6894</v>
      </c>
      <c r="T161" s="25">
        <f>(7303-S161)*SQRT(M161)</f>
        <v>708.40878029567079</v>
      </c>
      <c r="U161">
        <v>1760</v>
      </c>
      <c r="V161" s="5">
        <f>420*(SQRT(M161))</f>
        <v>727.46133917892837</v>
      </c>
      <c r="Y161" s="14">
        <f t="shared" si="26"/>
        <v>1.0839622641509434</v>
      </c>
      <c r="AA161" s="14">
        <f t="shared" si="30"/>
        <v>1.0839622641509434</v>
      </c>
      <c r="AB161" s="14"/>
      <c r="AC161" s="14"/>
      <c r="AD161">
        <f t="shared" si="27"/>
        <v>1.2546054253008572E-2</v>
      </c>
      <c r="AF161" s="14">
        <f t="shared" si="29"/>
        <v>1.2546054253008572E-2</v>
      </c>
      <c r="AG161">
        <f t="shared" si="28"/>
        <v>0.10333309018341701</v>
      </c>
      <c r="AI161" s="26"/>
      <c r="AL161" s="10" t="s">
        <v>2</v>
      </c>
      <c r="AM161" s="10" t="s">
        <v>3</v>
      </c>
      <c r="AN161" s="10" t="s">
        <v>2567</v>
      </c>
    </row>
    <row r="162" spans="1:40" x14ac:dyDescent="0.3">
      <c r="A162" s="10" t="s">
        <v>649</v>
      </c>
      <c r="B162" s="10" t="s">
        <v>529</v>
      </c>
      <c r="E162" s="16">
        <v>2011</v>
      </c>
      <c r="F162" s="10" t="s">
        <v>2654</v>
      </c>
      <c r="G162" s="10" t="s">
        <v>659</v>
      </c>
      <c r="H162" s="10" t="s">
        <v>506</v>
      </c>
      <c r="J162" s="10" t="s">
        <v>180</v>
      </c>
      <c r="K162" s="10" t="s">
        <v>550</v>
      </c>
      <c r="L162">
        <v>3</v>
      </c>
      <c r="M162">
        <v>3</v>
      </c>
      <c r="O162" s="10">
        <v>3116</v>
      </c>
      <c r="P162" s="25">
        <f>(3263-O162)*SQRT(L162)</f>
        <v>254.61146871262494</v>
      </c>
      <c r="S162" s="10">
        <v>5162</v>
      </c>
      <c r="T162" s="25">
        <f>(6348-S162)*SQRT(M162)</f>
        <v>2054.2122577766881</v>
      </c>
      <c r="U162">
        <v>11210</v>
      </c>
      <c r="V162" s="5">
        <f>600*(SQRT(M162))</f>
        <v>1039.2304845413264</v>
      </c>
      <c r="Y162" s="14">
        <f t="shared" si="26"/>
        <v>1.6566110397946086</v>
      </c>
      <c r="AA162" s="14">
        <f t="shared" ref="AA162:AA170" si="31">Y162+Z162</f>
        <v>1.6566110397946086</v>
      </c>
      <c r="AB162" s="14"/>
      <c r="AC162" s="14"/>
      <c r="AD162">
        <f t="shared" si="27"/>
        <v>0.45292925109421972</v>
      </c>
      <c r="AF162" s="14">
        <f t="shared" si="29"/>
        <v>0.45292925109421972</v>
      </c>
      <c r="AG162">
        <f t="shared" si="28"/>
        <v>0.40625117808696309</v>
      </c>
      <c r="AI162" s="26"/>
      <c r="AL162" s="10" t="s">
        <v>2</v>
      </c>
      <c r="AM162" s="10" t="s">
        <v>3</v>
      </c>
      <c r="AN162" s="10" t="s">
        <v>2567</v>
      </c>
    </row>
    <row r="163" spans="1:40" x14ac:dyDescent="0.3">
      <c r="A163" s="10" t="s">
        <v>649</v>
      </c>
      <c r="B163" s="10" t="s">
        <v>529</v>
      </c>
      <c r="E163" s="16">
        <v>2011</v>
      </c>
      <c r="F163" s="10" t="s">
        <v>2654</v>
      </c>
      <c r="G163" s="10" t="s">
        <v>657</v>
      </c>
      <c r="H163" s="10" t="s">
        <v>506</v>
      </c>
      <c r="J163" s="10" t="s">
        <v>180</v>
      </c>
      <c r="K163" s="10" t="s">
        <v>532</v>
      </c>
      <c r="L163">
        <v>3</v>
      </c>
      <c r="M163">
        <v>3</v>
      </c>
      <c r="O163" s="10">
        <v>3116</v>
      </c>
      <c r="P163" s="25">
        <f>(3263-O163)*SQRT(L163)</f>
        <v>254.61146871262494</v>
      </c>
      <c r="S163" s="10">
        <v>4522</v>
      </c>
      <c r="T163" s="25">
        <f>(4732-S163)*SQRT(M163)</f>
        <v>363.73066958946418</v>
      </c>
      <c r="U163">
        <v>12710</v>
      </c>
      <c r="V163" s="5">
        <f>1270*(SQRT(M163))</f>
        <v>2199.7045256124738</v>
      </c>
      <c r="Y163" s="14">
        <f t="shared" si="26"/>
        <v>1.4512195121951219</v>
      </c>
      <c r="AA163" s="14">
        <f t="shared" si="31"/>
        <v>1.4512195121951219</v>
      </c>
      <c r="AB163" s="14"/>
      <c r="AC163" s="14"/>
      <c r="AD163">
        <f t="shared" si="27"/>
        <v>2.7687249433014004E-2</v>
      </c>
      <c r="AF163" s="14">
        <f t="shared" si="29"/>
        <v>2.7687249433014004E-2</v>
      </c>
      <c r="AG163">
        <f t="shared" si="28"/>
        <v>0.11465864302229965</v>
      </c>
      <c r="AI163" s="26"/>
      <c r="AL163" s="10" t="s">
        <v>2</v>
      </c>
      <c r="AM163" s="10" t="s">
        <v>3</v>
      </c>
      <c r="AN163" s="10" t="s">
        <v>2567</v>
      </c>
    </row>
    <row r="164" spans="1:40" x14ac:dyDescent="0.3">
      <c r="A164" s="10" t="s">
        <v>649</v>
      </c>
      <c r="B164" s="10" t="s">
        <v>529</v>
      </c>
      <c r="E164" s="16">
        <v>2011</v>
      </c>
      <c r="F164" s="10" t="s">
        <v>2654</v>
      </c>
      <c r="G164" s="10" t="s">
        <v>658</v>
      </c>
      <c r="H164" s="10" t="s">
        <v>506</v>
      </c>
      <c r="J164" s="10" t="s">
        <v>180</v>
      </c>
      <c r="K164" s="10" t="s">
        <v>544</v>
      </c>
      <c r="L164">
        <v>3</v>
      </c>
      <c r="M164">
        <v>3</v>
      </c>
      <c r="O164" s="10">
        <v>3116</v>
      </c>
      <c r="P164" s="25">
        <f>(3263-O164)*SQRT(L164)</f>
        <v>254.61146871262494</v>
      </c>
      <c r="S164" s="10">
        <v>6527</v>
      </c>
      <c r="T164" s="25">
        <f>(7420-S164)*SQRT(M164)</f>
        <v>1546.7213711590073</v>
      </c>
      <c r="U164">
        <v>5270</v>
      </c>
      <c r="V164" s="5">
        <f>360*(SQRT(M164))</f>
        <v>623.53829072479584</v>
      </c>
      <c r="Y164" s="14">
        <f t="shared" si="26"/>
        <v>2.0946726572528882</v>
      </c>
      <c r="AA164" s="14">
        <f t="shared" si="31"/>
        <v>2.0946726572528882</v>
      </c>
      <c r="AB164" s="14"/>
      <c r="AC164" s="14"/>
      <c r="AD164">
        <f t="shared" si="27"/>
        <v>0.27568850573144221</v>
      </c>
      <c r="AF164" s="14">
        <f t="shared" si="29"/>
        <v>0.27568850573144221</v>
      </c>
      <c r="AG164">
        <f t="shared" si="28"/>
        <v>0.25066469280892789</v>
      </c>
      <c r="AI164" s="26"/>
      <c r="AL164" s="10" t="s">
        <v>2</v>
      </c>
      <c r="AM164" s="10" t="s">
        <v>3</v>
      </c>
      <c r="AN164" s="10" t="s">
        <v>2567</v>
      </c>
    </row>
    <row r="165" spans="1:40" x14ac:dyDescent="0.3">
      <c r="A165" s="10" t="s">
        <v>649</v>
      </c>
      <c r="B165" s="10" t="s">
        <v>529</v>
      </c>
      <c r="E165" s="16">
        <v>2011</v>
      </c>
      <c r="F165" s="10" t="s">
        <v>2654</v>
      </c>
      <c r="G165" s="10" t="s">
        <v>656</v>
      </c>
      <c r="H165" s="10" t="s">
        <v>506</v>
      </c>
      <c r="J165" s="10" t="s">
        <v>180</v>
      </c>
      <c r="K165" s="10" t="s">
        <v>655</v>
      </c>
      <c r="L165">
        <v>3</v>
      </c>
      <c r="M165">
        <v>3</v>
      </c>
      <c r="O165" s="10">
        <v>3116</v>
      </c>
      <c r="P165" s="25">
        <f>(3263-O165)*SQRT(L165)</f>
        <v>254.61146871262494</v>
      </c>
      <c r="S165" s="10">
        <v>5708</v>
      </c>
      <c r="T165" s="25">
        <f>(5940-S165)*SQRT(M165)</f>
        <v>401.83578735597951</v>
      </c>
      <c r="U165">
        <v>680</v>
      </c>
      <c r="V165" s="5">
        <f>120*(SQRT(M165))</f>
        <v>207.84609690826525</v>
      </c>
      <c r="Y165" s="14">
        <f t="shared" si="26"/>
        <v>1.8318356867779204</v>
      </c>
      <c r="AA165" s="14">
        <f t="shared" si="31"/>
        <v>1.8318356867779204</v>
      </c>
      <c r="AB165" s="14"/>
      <c r="AC165" s="14"/>
      <c r="AD165">
        <f t="shared" si="27"/>
        <v>3.9034824022564564E-2</v>
      </c>
      <c r="AF165" s="14">
        <f t="shared" si="29"/>
        <v>3.9034824022564564E-2</v>
      </c>
      <c r="AG165">
        <f t="shared" si="28"/>
        <v>0.10785482971017092</v>
      </c>
      <c r="AI165" s="26"/>
      <c r="AL165" s="10" t="s">
        <v>2</v>
      </c>
      <c r="AM165" s="10" t="s">
        <v>3</v>
      </c>
      <c r="AN165" s="10" t="s">
        <v>2567</v>
      </c>
    </row>
    <row r="166" spans="1:40" x14ac:dyDescent="0.3">
      <c r="A166" s="10" t="s">
        <v>660</v>
      </c>
      <c r="B166" s="10" t="s">
        <v>434</v>
      </c>
      <c r="F166" s="10" t="s">
        <v>2654</v>
      </c>
      <c r="G166" s="10" t="s">
        <v>662</v>
      </c>
      <c r="H166" s="10" t="s">
        <v>506</v>
      </c>
      <c r="I166" s="10" t="s">
        <v>663</v>
      </c>
      <c r="J166" s="10" t="s">
        <v>554</v>
      </c>
      <c r="K166" t="s">
        <v>661</v>
      </c>
      <c r="L166" s="10">
        <v>5</v>
      </c>
      <c r="M166" s="10">
        <v>3</v>
      </c>
      <c r="N166" s="10"/>
      <c r="O166" s="10">
        <v>2555</v>
      </c>
      <c r="P166" s="10"/>
      <c r="S166" s="10">
        <v>4397</v>
      </c>
      <c r="T166" s="10"/>
      <c r="U166">
        <v>1830</v>
      </c>
      <c r="Y166" s="14">
        <f t="shared" si="26"/>
        <v>1.7209393346379647</v>
      </c>
      <c r="AA166" s="14">
        <f t="shared" si="31"/>
        <v>1.7209393346379647</v>
      </c>
      <c r="AB166" s="14"/>
      <c r="AC166" s="14"/>
      <c r="AF166" s="14"/>
      <c r="AG166" s="14"/>
      <c r="AI166" s="26"/>
      <c r="AL166" s="10" t="s">
        <v>2</v>
      </c>
      <c r="AM166" s="10" t="s">
        <v>3</v>
      </c>
      <c r="AN166" s="10" t="s">
        <v>2566</v>
      </c>
    </row>
    <row r="167" spans="1:40" x14ac:dyDescent="0.3">
      <c r="A167" s="10" t="s">
        <v>660</v>
      </c>
      <c r="B167" s="10" t="s">
        <v>434</v>
      </c>
      <c r="F167" s="10" t="s">
        <v>2654</v>
      </c>
      <c r="G167" s="10" t="s">
        <v>662</v>
      </c>
      <c r="H167" s="10" t="s">
        <v>506</v>
      </c>
      <c r="I167" t="s">
        <v>664</v>
      </c>
      <c r="J167" s="10" t="s">
        <v>554</v>
      </c>
      <c r="K167" t="s">
        <v>661</v>
      </c>
      <c r="L167">
        <v>5</v>
      </c>
      <c r="M167">
        <v>3</v>
      </c>
      <c r="O167" s="10">
        <v>3551</v>
      </c>
      <c r="P167" s="10"/>
      <c r="S167" s="10">
        <v>3957</v>
      </c>
      <c r="T167" s="10"/>
      <c r="U167">
        <v>5370</v>
      </c>
      <c r="Y167" s="14">
        <f t="shared" si="26"/>
        <v>1.1143339904252323</v>
      </c>
      <c r="AA167" s="14">
        <f t="shared" si="31"/>
        <v>1.1143339904252323</v>
      </c>
      <c r="AB167" s="14"/>
      <c r="AC167" s="14"/>
      <c r="AF167" s="14"/>
      <c r="AG167" s="14"/>
      <c r="AI167" s="26" t="s">
        <v>1</v>
      </c>
      <c r="AL167" s="10" t="s">
        <v>2</v>
      </c>
      <c r="AM167" s="10" t="s">
        <v>3</v>
      </c>
      <c r="AN167" s="10" t="s">
        <v>2566</v>
      </c>
    </row>
    <row r="168" spans="1:40" x14ac:dyDescent="0.3">
      <c r="A168" s="10" t="s">
        <v>660</v>
      </c>
      <c r="B168" s="10" t="s">
        <v>434</v>
      </c>
      <c r="F168" s="10" t="s">
        <v>2654</v>
      </c>
      <c r="G168" s="10" t="s">
        <v>662</v>
      </c>
      <c r="H168" s="10" t="s">
        <v>506</v>
      </c>
      <c r="I168" t="s">
        <v>665</v>
      </c>
      <c r="J168" s="10" t="s">
        <v>554</v>
      </c>
      <c r="K168" t="s">
        <v>661</v>
      </c>
      <c r="L168">
        <v>5</v>
      </c>
      <c r="M168">
        <v>3</v>
      </c>
      <c r="O168" s="10">
        <v>4570</v>
      </c>
      <c r="P168" s="10"/>
      <c r="S168" s="10">
        <v>4608</v>
      </c>
      <c r="T168" s="10"/>
      <c r="U168">
        <v>7630</v>
      </c>
      <c r="Y168" s="14">
        <f t="shared" si="26"/>
        <v>1.0083150984682714</v>
      </c>
      <c r="AA168" s="14">
        <f t="shared" si="31"/>
        <v>1.0083150984682714</v>
      </c>
      <c r="AB168" s="14"/>
      <c r="AC168" s="14"/>
      <c r="AF168" s="14"/>
      <c r="AG168" s="14"/>
      <c r="AI168" s="26" t="s">
        <v>1</v>
      </c>
      <c r="AL168" s="10" t="s">
        <v>2</v>
      </c>
      <c r="AM168" s="10" t="s">
        <v>3</v>
      </c>
      <c r="AN168" s="10" t="s">
        <v>2566</v>
      </c>
    </row>
    <row r="169" spans="1:40" x14ac:dyDescent="0.3">
      <c r="A169" s="10" t="s">
        <v>666</v>
      </c>
      <c r="B169" s="10" t="s">
        <v>29</v>
      </c>
      <c r="C169" s="10" t="s">
        <v>667</v>
      </c>
      <c r="D169" s="10" t="s">
        <v>668</v>
      </c>
      <c r="E169" s="10"/>
      <c r="F169" s="10" t="s">
        <v>2654</v>
      </c>
      <c r="G169" s="10" t="s">
        <v>670</v>
      </c>
      <c r="H169" s="10" t="s">
        <v>506</v>
      </c>
      <c r="I169" s="10"/>
      <c r="J169" s="10" t="s">
        <v>669</v>
      </c>
      <c r="K169" s="10" t="s">
        <v>671</v>
      </c>
      <c r="L169">
        <v>3</v>
      </c>
      <c r="M169">
        <v>3</v>
      </c>
      <c r="O169" s="10">
        <v>76</v>
      </c>
      <c r="P169" s="10"/>
      <c r="S169" s="10">
        <v>76.8</v>
      </c>
      <c r="T169" s="10"/>
      <c r="U169">
        <v>6690</v>
      </c>
      <c r="Y169" s="14">
        <f t="shared" si="26"/>
        <v>1.0105263157894737</v>
      </c>
      <c r="AA169" s="14">
        <f t="shared" si="31"/>
        <v>1.0105263157894737</v>
      </c>
      <c r="AB169" s="14"/>
      <c r="AC169" s="14"/>
      <c r="AF169" s="14"/>
      <c r="AG169" s="14"/>
      <c r="AI169" s="26"/>
      <c r="AL169" s="10" t="s">
        <v>2</v>
      </c>
      <c r="AM169" s="10" t="s">
        <v>3</v>
      </c>
      <c r="AN169" s="10" t="s">
        <v>2566</v>
      </c>
    </row>
    <row r="170" spans="1:40" x14ac:dyDescent="0.3">
      <c r="A170" s="10" t="s">
        <v>666</v>
      </c>
      <c r="B170" s="10" t="s">
        <v>29</v>
      </c>
      <c r="C170" s="10" t="s">
        <v>667</v>
      </c>
      <c r="D170" s="10" t="s">
        <v>668</v>
      </c>
      <c r="E170" s="10"/>
      <c r="F170" s="10" t="s">
        <v>2654</v>
      </c>
      <c r="G170" s="10" t="s">
        <v>657</v>
      </c>
      <c r="H170" s="10" t="s">
        <v>506</v>
      </c>
      <c r="I170" s="10"/>
      <c r="J170" s="10" t="s">
        <v>669</v>
      </c>
      <c r="K170" s="10" t="s">
        <v>532</v>
      </c>
      <c r="L170">
        <v>3</v>
      </c>
      <c r="M170">
        <v>3</v>
      </c>
      <c r="O170" s="10">
        <v>76</v>
      </c>
      <c r="P170" s="10"/>
      <c r="S170" s="10">
        <v>72.7</v>
      </c>
      <c r="T170" s="10"/>
      <c r="U170">
        <v>8090</v>
      </c>
      <c r="Y170" s="14">
        <f t="shared" si="26"/>
        <v>0.95657894736842108</v>
      </c>
      <c r="AA170" s="14">
        <f t="shared" si="31"/>
        <v>0.95657894736842108</v>
      </c>
      <c r="AB170" s="14"/>
      <c r="AC170" s="14"/>
      <c r="AF170" s="14"/>
      <c r="AG170" s="14"/>
      <c r="AI170" s="26"/>
      <c r="AL170" s="10" t="s">
        <v>2</v>
      </c>
      <c r="AM170" s="10" t="s">
        <v>3</v>
      </c>
      <c r="AN170" s="10" t="s">
        <v>2566</v>
      </c>
    </row>
    <row r="171" spans="1:40" x14ac:dyDescent="0.3">
      <c r="A171" s="10" t="s">
        <v>672</v>
      </c>
      <c r="B171" s="10" t="s">
        <v>29</v>
      </c>
      <c r="C171" s="10"/>
      <c r="D171" s="10"/>
      <c r="E171" s="10"/>
      <c r="F171" s="10" t="s">
        <v>2654</v>
      </c>
      <c r="G171" s="10" t="s">
        <v>675</v>
      </c>
      <c r="H171" s="10" t="s">
        <v>506</v>
      </c>
      <c r="I171" s="10"/>
      <c r="J171" s="10" t="s">
        <v>673</v>
      </c>
      <c r="K171" s="10" t="s">
        <v>678</v>
      </c>
      <c r="L171">
        <v>3</v>
      </c>
      <c r="M171" s="10">
        <v>4</v>
      </c>
      <c r="N171" s="10"/>
      <c r="O171" s="10">
        <v>365.1</v>
      </c>
      <c r="P171" s="10"/>
      <c r="S171">
        <v>425.37</v>
      </c>
      <c r="U171">
        <v>3.0680000000000001</v>
      </c>
      <c r="Y171" s="14">
        <f t="shared" si="26"/>
        <v>1.1650780608052587</v>
      </c>
      <c r="AA171" s="14">
        <f t="shared" ref="AA171:AA183" si="32">Y171+Z171</f>
        <v>1.1650780608052587</v>
      </c>
      <c r="AB171" s="14"/>
      <c r="AC171" s="14"/>
      <c r="AF171" s="14"/>
      <c r="AG171" s="14"/>
      <c r="AI171" s="26"/>
      <c r="AL171" s="10" t="s">
        <v>2</v>
      </c>
      <c r="AM171" s="10" t="s">
        <v>3</v>
      </c>
      <c r="AN171" s="10" t="s">
        <v>2566</v>
      </c>
    </row>
    <row r="172" spans="1:40" x14ac:dyDescent="0.3">
      <c r="A172" s="10" t="s">
        <v>672</v>
      </c>
      <c r="B172" s="10" t="s">
        <v>29</v>
      </c>
      <c r="C172" s="10"/>
      <c r="D172" s="10"/>
      <c r="E172" s="10"/>
      <c r="F172" s="10" t="s">
        <v>2654</v>
      </c>
      <c r="G172" s="10" t="s">
        <v>676</v>
      </c>
      <c r="H172" s="10" t="s">
        <v>506</v>
      </c>
      <c r="I172" s="10"/>
      <c r="J172" s="10" t="s">
        <v>673</v>
      </c>
      <c r="K172" s="10" t="s">
        <v>507</v>
      </c>
      <c r="L172">
        <v>3</v>
      </c>
      <c r="M172" s="10">
        <v>4</v>
      </c>
      <c r="N172" s="10"/>
      <c r="O172" s="10">
        <v>365.1</v>
      </c>
      <c r="P172" s="10"/>
      <c r="S172">
        <v>377.21</v>
      </c>
      <c r="U172">
        <v>3.1309999999999998</v>
      </c>
      <c r="Y172" s="14">
        <f t="shared" si="26"/>
        <v>1.0331689947959461</v>
      </c>
      <c r="AA172" s="14">
        <f t="shared" si="32"/>
        <v>1.0331689947959461</v>
      </c>
      <c r="AB172" s="14"/>
      <c r="AC172" s="14"/>
      <c r="AF172" s="14"/>
      <c r="AG172" s="14"/>
      <c r="AI172" s="26"/>
      <c r="AL172" s="10" t="s">
        <v>2</v>
      </c>
      <c r="AM172" s="10" t="s">
        <v>3</v>
      </c>
      <c r="AN172" s="10" t="s">
        <v>2566</v>
      </c>
    </row>
    <row r="173" spans="1:40" x14ac:dyDescent="0.3">
      <c r="A173" s="10" t="s">
        <v>672</v>
      </c>
      <c r="B173" s="10" t="s">
        <v>29</v>
      </c>
      <c r="C173" s="10"/>
      <c r="D173" s="10"/>
      <c r="E173" s="10"/>
      <c r="F173" s="10" t="s">
        <v>2654</v>
      </c>
      <c r="G173" s="10" t="s">
        <v>677</v>
      </c>
      <c r="H173" s="10" t="s">
        <v>506</v>
      </c>
      <c r="I173" s="10"/>
      <c r="J173" s="10" t="s">
        <v>673</v>
      </c>
      <c r="K173" s="10" t="s">
        <v>679</v>
      </c>
      <c r="L173">
        <v>3</v>
      </c>
      <c r="M173" s="10">
        <v>4</v>
      </c>
      <c r="N173" s="10"/>
      <c r="O173" s="10">
        <v>365.1</v>
      </c>
      <c r="P173" s="10"/>
      <c r="S173">
        <v>409.56</v>
      </c>
      <c r="U173">
        <v>4.117</v>
      </c>
      <c r="Y173" s="14">
        <f t="shared" si="26"/>
        <v>1.1217748562037797</v>
      </c>
      <c r="AA173" s="14">
        <f t="shared" si="32"/>
        <v>1.1217748562037797</v>
      </c>
      <c r="AB173" s="14"/>
      <c r="AC173" s="14"/>
      <c r="AF173" s="14"/>
      <c r="AG173" s="14"/>
      <c r="AI173" s="26"/>
      <c r="AL173" s="10" t="s">
        <v>2</v>
      </c>
      <c r="AM173" s="10" t="s">
        <v>3</v>
      </c>
      <c r="AN173" s="10" t="s">
        <v>2566</v>
      </c>
    </row>
    <row r="174" spans="1:40" x14ac:dyDescent="0.3">
      <c r="A174" s="10" t="s">
        <v>672</v>
      </c>
      <c r="B174" s="10" t="s">
        <v>29</v>
      </c>
      <c r="C174" s="10"/>
      <c r="D174" s="10"/>
      <c r="E174" s="10"/>
      <c r="F174" s="10" t="s">
        <v>2654</v>
      </c>
      <c r="G174" s="10" t="s">
        <v>523</v>
      </c>
      <c r="H174" s="10" t="s">
        <v>506</v>
      </c>
      <c r="I174" s="10"/>
      <c r="J174" s="10" t="s">
        <v>673</v>
      </c>
      <c r="K174" s="10" t="s">
        <v>525</v>
      </c>
      <c r="L174">
        <v>3</v>
      </c>
      <c r="M174" s="10">
        <v>4</v>
      </c>
      <c r="N174" s="10"/>
      <c r="O174" s="10">
        <v>365.1</v>
      </c>
      <c r="P174" s="10"/>
      <c r="S174">
        <v>434.56</v>
      </c>
      <c r="U174">
        <v>3.5459999999999998</v>
      </c>
      <c r="Y174" s="14">
        <f t="shared" si="26"/>
        <v>1.1902492467817036</v>
      </c>
      <c r="AA174" s="14">
        <f t="shared" si="32"/>
        <v>1.1902492467817036</v>
      </c>
      <c r="AB174" s="14"/>
      <c r="AC174" s="14"/>
      <c r="AF174" s="14"/>
      <c r="AG174" s="14"/>
      <c r="AI174" s="26"/>
      <c r="AL174" s="10" t="s">
        <v>2</v>
      </c>
      <c r="AM174" s="10" t="s">
        <v>3</v>
      </c>
      <c r="AN174" s="10" t="s">
        <v>2566</v>
      </c>
    </row>
    <row r="175" spans="1:40" x14ac:dyDescent="0.3">
      <c r="A175" s="10" t="s">
        <v>672</v>
      </c>
      <c r="B175" s="10" t="s">
        <v>29</v>
      </c>
      <c r="C175" s="10"/>
      <c r="D175" s="10"/>
      <c r="E175" s="10"/>
      <c r="F175" s="10" t="s">
        <v>2654</v>
      </c>
      <c r="G175" s="10" t="s">
        <v>674</v>
      </c>
      <c r="H175" s="10" t="s">
        <v>506</v>
      </c>
      <c r="I175" s="10"/>
      <c r="J175" s="10" t="s">
        <v>673</v>
      </c>
      <c r="K175" s="10" t="s">
        <v>680</v>
      </c>
      <c r="L175">
        <v>3</v>
      </c>
      <c r="M175" s="10">
        <v>3</v>
      </c>
      <c r="N175" s="10"/>
      <c r="O175" s="10">
        <v>365.1</v>
      </c>
      <c r="P175" s="10"/>
      <c r="S175">
        <v>409.56</v>
      </c>
      <c r="U175">
        <v>4.016</v>
      </c>
      <c r="Y175" s="14">
        <f t="shared" si="26"/>
        <v>1.1217748562037797</v>
      </c>
      <c r="AA175" s="14">
        <f t="shared" si="32"/>
        <v>1.1217748562037797</v>
      </c>
      <c r="AB175" s="14"/>
      <c r="AC175" s="14"/>
      <c r="AF175" s="14"/>
      <c r="AG175" s="14"/>
      <c r="AI175" s="26"/>
      <c r="AL175" s="10" t="s">
        <v>2</v>
      </c>
      <c r="AM175" s="10" t="s">
        <v>3</v>
      </c>
      <c r="AN175" s="10" t="s">
        <v>2566</v>
      </c>
    </row>
    <row r="176" spans="1:40" x14ac:dyDescent="0.3">
      <c r="A176" s="10" t="s">
        <v>681</v>
      </c>
      <c r="B176" s="10" t="s">
        <v>131</v>
      </c>
      <c r="C176" s="10"/>
      <c r="D176" s="10" t="s">
        <v>684</v>
      </c>
      <c r="E176" s="16">
        <v>1997</v>
      </c>
      <c r="F176" s="10" t="s">
        <v>2654</v>
      </c>
      <c r="G176" s="10" t="s">
        <v>75</v>
      </c>
      <c r="H176" s="10" t="s">
        <v>489</v>
      </c>
      <c r="I176" s="10">
        <v>1997</v>
      </c>
      <c r="J176" s="10" t="s">
        <v>63</v>
      </c>
      <c r="K176" t="s">
        <v>682</v>
      </c>
      <c r="L176" s="10">
        <v>3</v>
      </c>
      <c r="M176" s="10">
        <v>3</v>
      </c>
      <c r="O176" s="10">
        <v>1950</v>
      </c>
      <c r="P176" s="10"/>
      <c r="S176" s="10">
        <v>2920</v>
      </c>
      <c r="T176" s="10"/>
      <c r="Y176" s="14">
        <f t="shared" ref="Y176:Y183" si="33">S176/O176</f>
        <v>1.4974358974358974</v>
      </c>
      <c r="AA176" s="14">
        <f t="shared" si="32"/>
        <v>1.4974358974358974</v>
      </c>
      <c r="AB176" s="14"/>
      <c r="AC176" s="14"/>
      <c r="AF176" s="14"/>
      <c r="AG176" s="14"/>
      <c r="AI176" s="26"/>
      <c r="AL176" s="10" t="s">
        <v>2</v>
      </c>
      <c r="AM176" s="10" t="s">
        <v>3</v>
      </c>
      <c r="AN176" s="10" t="s">
        <v>2568</v>
      </c>
    </row>
    <row r="177" spans="1:40" x14ac:dyDescent="0.3">
      <c r="A177" s="10" t="s">
        <v>681</v>
      </c>
      <c r="B177" s="10" t="s">
        <v>131</v>
      </c>
      <c r="C177" s="10"/>
      <c r="D177" s="10" t="s">
        <v>684</v>
      </c>
      <c r="E177" s="16">
        <v>1997</v>
      </c>
      <c r="F177" s="10" t="s">
        <v>2654</v>
      </c>
      <c r="G177" s="10" t="s">
        <v>75</v>
      </c>
      <c r="H177" s="10" t="s">
        <v>489</v>
      </c>
      <c r="I177" s="10">
        <v>1997</v>
      </c>
      <c r="J177" s="10" t="s">
        <v>63</v>
      </c>
      <c r="K177" t="s">
        <v>683</v>
      </c>
      <c r="L177" s="10">
        <v>3</v>
      </c>
      <c r="M177" s="10">
        <v>3</v>
      </c>
      <c r="O177" s="10">
        <v>1950</v>
      </c>
      <c r="P177" s="10"/>
      <c r="S177" s="10">
        <v>3370</v>
      </c>
      <c r="T177" s="10"/>
      <c r="Y177" s="14">
        <f t="shared" si="33"/>
        <v>1.7282051282051283</v>
      </c>
      <c r="AA177" s="14">
        <f t="shared" si="32"/>
        <v>1.7282051282051283</v>
      </c>
      <c r="AB177" s="14"/>
      <c r="AC177" s="14"/>
      <c r="AF177" s="14"/>
      <c r="AG177" s="14"/>
      <c r="AI177" s="26"/>
      <c r="AL177" s="10" t="s">
        <v>2</v>
      </c>
      <c r="AM177" s="10" t="s">
        <v>3</v>
      </c>
      <c r="AN177" s="10" t="s">
        <v>2568</v>
      </c>
    </row>
    <row r="178" spans="1:40" x14ac:dyDescent="0.3">
      <c r="A178" s="10" t="s">
        <v>681</v>
      </c>
      <c r="B178" s="10" t="s">
        <v>131</v>
      </c>
      <c r="C178" s="10"/>
      <c r="D178" s="10" t="s">
        <v>684</v>
      </c>
      <c r="E178" s="16" t="s">
        <v>685</v>
      </c>
      <c r="F178" s="10" t="s">
        <v>2654</v>
      </c>
      <c r="G178" s="10" t="s">
        <v>75</v>
      </c>
      <c r="H178" s="10" t="s">
        <v>489</v>
      </c>
      <c r="I178" s="29" t="s">
        <v>685</v>
      </c>
      <c r="J178" s="10" t="s">
        <v>63</v>
      </c>
      <c r="K178" t="s">
        <v>682</v>
      </c>
      <c r="L178" s="10">
        <v>3</v>
      </c>
      <c r="M178" s="10">
        <v>3</v>
      </c>
      <c r="O178" s="10">
        <v>320</v>
      </c>
      <c r="P178" s="10"/>
      <c r="S178">
        <v>620</v>
      </c>
      <c r="Y178" s="14">
        <f t="shared" si="33"/>
        <v>1.9375</v>
      </c>
      <c r="AA178" s="14">
        <f t="shared" si="32"/>
        <v>1.9375</v>
      </c>
      <c r="AB178" s="14"/>
      <c r="AC178" s="14"/>
      <c r="AF178" s="14"/>
      <c r="AG178" s="14"/>
      <c r="AI178" s="26"/>
      <c r="AL178" s="10" t="s">
        <v>2</v>
      </c>
      <c r="AM178" s="10" t="s">
        <v>3</v>
      </c>
      <c r="AN178" s="10" t="s">
        <v>2568</v>
      </c>
    </row>
    <row r="179" spans="1:40" x14ac:dyDescent="0.3">
      <c r="A179" s="10" t="s">
        <v>681</v>
      </c>
      <c r="B179" s="10" t="s">
        <v>131</v>
      </c>
      <c r="C179" s="10"/>
      <c r="D179" s="10" t="s">
        <v>684</v>
      </c>
      <c r="E179" s="16" t="s">
        <v>685</v>
      </c>
      <c r="F179" s="10" t="s">
        <v>2654</v>
      </c>
      <c r="G179" s="10" t="s">
        <v>75</v>
      </c>
      <c r="H179" s="10" t="s">
        <v>489</v>
      </c>
      <c r="I179" s="29" t="s">
        <v>685</v>
      </c>
      <c r="J179" s="10" t="s">
        <v>63</v>
      </c>
      <c r="K179" t="s">
        <v>683</v>
      </c>
      <c r="L179" s="10">
        <v>3</v>
      </c>
      <c r="M179" s="10">
        <v>3</v>
      </c>
      <c r="O179" s="10">
        <v>320</v>
      </c>
      <c r="P179" s="10"/>
      <c r="S179">
        <v>290</v>
      </c>
      <c r="Y179" s="14">
        <f t="shared" si="33"/>
        <v>0.90625</v>
      </c>
      <c r="AA179" s="14">
        <f t="shared" si="32"/>
        <v>0.90625</v>
      </c>
      <c r="AB179" s="14"/>
      <c r="AC179" s="14"/>
      <c r="AF179" s="14"/>
      <c r="AG179" s="14"/>
      <c r="AI179" s="26"/>
      <c r="AL179" s="10" t="s">
        <v>2</v>
      </c>
      <c r="AM179" s="10" t="s">
        <v>3</v>
      </c>
      <c r="AN179" s="10" t="s">
        <v>2568</v>
      </c>
    </row>
    <row r="180" spans="1:40" x14ac:dyDescent="0.3">
      <c r="A180" s="10" t="s">
        <v>681</v>
      </c>
      <c r="B180" s="10" t="s">
        <v>131</v>
      </c>
      <c r="C180" s="10"/>
      <c r="D180" s="10" t="s">
        <v>684</v>
      </c>
      <c r="E180" s="16" t="s">
        <v>686</v>
      </c>
      <c r="F180" s="10" t="s">
        <v>2654</v>
      </c>
      <c r="G180" s="10" t="s">
        <v>75</v>
      </c>
      <c r="H180" s="10" t="s">
        <v>489</v>
      </c>
      <c r="I180" s="29" t="s">
        <v>686</v>
      </c>
      <c r="J180" s="10" t="s">
        <v>63</v>
      </c>
      <c r="K180" t="s">
        <v>682</v>
      </c>
      <c r="L180" s="10">
        <v>3</v>
      </c>
      <c r="M180" s="10">
        <v>3</v>
      </c>
      <c r="O180" s="10">
        <v>1550</v>
      </c>
      <c r="P180" s="10"/>
      <c r="S180">
        <v>3250</v>
      </c>
      <c r="Y180" s="14">
        <f t="shared" si="33"/>
        <v>2.096774193548387</v>
      </c>
      <c r="AA180" s="14">
        <f t="shared" si="32"/>
        <v>2.096774193548387</v>
      </c>
      <c r="AB180" s="14"/>
      <c r="AC180" s="14"/>
      <c r="AF180" s="14"/>
      <c r="AG180" s="14"/>
      <c r="AI180" s="26"/>
      <c r="AL180" s="10" t="s">
        <v>2</v>
      </c>
      <c r="AM180" s="10" t="s">
        <v>3</v>
      </c>
      <c r="AN180" s="10" t="s">
        <v>2568</v>
      </c>
    </row>
    <row r="181" spans="1:40" x14ac:dyDescent="0.3">
      <c r="A181" s="10" t="s">
        <v>681</v>
      </c>
      <c r="B181" s="10" t="s">
        <v>131</v>
      </c>
      <c r="C181" s="10"/>
      <c r="D181" s="10" t="s">
        <v>684</v>
      </c>
      <c r="E181" s="16" t="s">
        <v>686</v>
      </c>
      <c r="F181" s="10" t="s">
        <v>2654</v>
      </c>
      <c r="G181" s="10" t="s">
        <v>75</v>
      </c>
      <c r="H181" s="10" t="s">
        <v>489</v>
      </c>
      <c r="I181" s="29" t="s">
        <v>686</v>
      </c>
      <c r="J181" s="10" t="s">
        <v>63</v>
      </c>
      <c r="K181" t="s">
        <v>683</v>
      </c>
      <c r="L181" s="10">
        <v>3</v>
      </c>
      <c r="M181" s="10">
        <v>3</v>
      </c>
      <c r="O181" s="10">
        <v>1550</v>
      </c>
      <c r="P181" s="10"/>
      <c r="S181">
        <v>3450</v>
      </c>
      <c r="Y181" s="14">
        <f t="shared" si="33"/>
        <v>2.225806451612903</v>
      </c>
      <c r="AA181" s="14">
        <f t="shared" si="32"/>
        <v>2.225806451612903</v>
      </c>
      <c r="AB181" s="14"/>
      <c r="AC181" s="14"/>
      <c r="AF181" s="14"/>
      <c r="AG181" s="14"/>
      <c r="AI181" s="26"/>
      <c r="AL181" s="10" t="s">
        <v>2</v>
      </c>
      <c r="AM181" s="10" t="s">
        <v>3</v>
      </c>
      <c r="AN181" s="10" t="s">
        <v>2568</v>
      </c>
    </row>
    <row r="182" spans="1:40" x14ac:dyDescent="0.3">
      <c r="A182" s="10" t="s">
        <v>681</v>
      </c>
      <c r="B182" s="10" t="s">
        <v>131</v>
      </c>
      <c r="C182" s="10"/>
      <c r="D182" s="10" t="s">
        <v>684</v>
      </c>
      <c r="E182" s="16">
        <v>1999</v>
      </c>
      <c r="F182" s="10" t="s">
        <v>2654</v>
      </c>
      <c r="G182" s="10" t="s">
        <v>75</v>
      </c>
      <c r="H182" s="10" t="s">
        <v>489</v>
      </c>
      <c r="I182" s="10">
        <v>1999</v>
      </c>
      <c r="J182" s="10" t="s">
        <v>63</v>
      </c>
      <c r="K182" t="s">
        <v>682</v>
      </c>
      <c r="L182" s="10">
        <v>3</v>
      </c>
      <c r="M182" s="10">
        <v>3</v>
      </c>
      <c r="O182" s="10">
        <v>900</v>
      </c>
      <c r="P182" s="10"/>
      <c r="S182" s="10">
        <v>2430</v>
      </c>
      <c r="T182" s="10"/>
      <c r="Y182" s="14">
        <f t="shared" si="33"/>
        <v>2.7</v>
      </c>
      <c r="AA182" s="14">
        <f t="shared" si="32"/>
        <v>2.7</v>
      </c>
      <c r="AB182" s="14"/>
      <c r="AC182" s="14"/>
      <c r="AF182" s="14"/>
      <c r="AG182" s="14"/>
      <c r="AI182" s="26"/>
      <c r="AL182" s="10" t="s">
        <v>2</v>
      </c>
      <c r="AM182" s="10" t="s">
        <v>3</v>
      </c>
      <c r="AN182" s="10" t="s">
        <v>2568</v>
      </c>
    </row>
    <row r="183" spans="1:40" x14ac:dyDescent="0.3">
      <c r="A183" s="10" t="s">
        <v>681</v>
      </c>
      <c r="B183" s="10" t="s">
        <v>131</v>
      </c>
      <c r="C183" s="10"/>
      <c r="D183" s="10" t="s">
        <v>684</v>
      </c>
      <c r="E183" s="16">
        <v>1999</v>
      </c>
      <c r="F183" s="10" t="s">
        <v>2654</v>
      </c>
      <c r="G183" s="10" t="s">
        <v>75</v>
      </c>
      <c r="H183" s="10" t="s">
        <v>489</v>
      </c>
      <c r="I183" s="10">
        <v>1999</v>
      </c>
      <c r="J183" s="10" t="s">
        <v>63</v>
      </c>
      <c r="K183" t="s">
        <v>683</v>
      </c>
      <c r="L183" s="10">
        <v>3</v>
      </c>
      <c r="M183" s="10">
        <v>3</v>
      </c>
      <c r="O183" s="10">
        <v>900</v>
      </c>
      <c r="P183" s="10"/>
      <c r="S183" s="10">
        <v>3180</v>
      </c>
      <c r="T183" s="10"/>
      <c r="Y183" s="14">
        <f t="shared" si="33"/>
        <v>3.5333333333333332</v>
      </c>
      <c r="AA183" s="14">
        <f t="shared" si="32"/>
        <v>3.5333333333333332</v>
      </c>
      <c r="AB183" s="14"/>
      <c r="AC183" s="14"/>
      <c r="AF183" s="14"/>
      <c r="AG183" s="14"/>
      <c r="AI183" s="26"/>
      <c r="AL183" s="10" t="s">
        <v>2</v>
      </c>
      <c r="AM183" s="10" t="s">
        <v>3</v>
      </c>
      <c r="AN183" s="10" t="s">
        <v>2568</v>
      </c>
    </row>
    <row r="184" spans="1:40" s="10" customFormat="1" x14ac:dyDescent="0.3">
      <c r="A184" s="10" t="s">
        <v>747</v>
      </c>
      <c r="B184" s="10" t="s">
        <v>5</v>
      </c>
      <c r="F184" s="10" t="s">
        <v>2654</v>
      </c>
      <c r="G184" s="10" t="s">
        <v>13</v>
      </c>
      <c r="H184" s="10" t="s">
        <v>506</v>
      </c>
      <c r="K184" s="10" t="s">
        <v>748</v>
      </c>
      <c r="L184" s="10">
        <v>88</v>
      </c>
      <c r="M184" s="10">
        <v>88</v>
      </c>
      <c r="N184" s="10">
        <v>16</v>
      </c>
      <c r="Y184" s="14">
        <f>(100-3.67)/100</f>
        <v>0.96329999999999993</v>
      </c>
      <c r="Z184" s="14"/>
      <c r="AA184" s="14">
        <f>Y184</f>
        <v>0.96329999999999993</v>
      </c>
      <c r="AB184" s="14">
        <f>(100-8.88)/100</f>
        <v>0.91120000000000001</v>
      </c>
      <c r="AC184" s="14">
        <f>(100+2.04)/100</f>
        <v>1.0204</v>
      </c>
      <c r="AI184" s="26"/>
      <c r="AL184" s="10" t="s">
        <v>3</v>
      </c>
      <c r="AM184" s="10" t="s">
        <v>2023</v>
      </c>
      <c r="AN184" s="10" t="s">
        <v>2569</v>
      </c>
    </row>
    <row r="185" spans="1:40" s="10" customFormat="1" x14ac:dyDescent="0.3">
      <c r="A185" s="10" t="s">
        <v>747</v>
      </c>
      <c r="B185" s="10" t="s">
        <v>5</v>
      </c>
      <c r="F185" s="10" t="s">
        <v>2654</v>
      </c>
      <c r="G185" s="10" t="s">
        <v>13</v>
      </c>
      <c r="H185" s="10" t="s">
        <v>506</v>
      </c>
      <c r="K185" s="10" t="s">
        <v>749</v>
      </c>
      <c r="L185" s="10">
        <v>5</v>
      </c>
      <c r="M185" s="10">
        <v>5</v>
      </c>
      <c r="N185" s="10">
        <v>2</v>
      </c>
      <c r="Y185" s="14">
        <f>(100+20.59)/100</f>
        <v>1.2059</v>
      </c>
      <c r="Z185" s="14"/>
      <c r="AA185" s="14">
        <f t="shared" ref="AA185:AA189" si="34">Y185</f>
        <v>1.2059</v>
      </c>
      <c r="AB185" s="14">
        <f>(100-6.77)/100</f>
        <v>0.93230000000000002</v>
      </c>
      <c r="AC185" s="14">
        <f>(100+56.06)/100</f>
        <v>1.5606</v>
      </c>
      <c r="AL185" s="10" t="s">
        <v>3</v>
      </c>
      <c r="AM185" s="10" t="s">
        <v>2023</v>
      </c>
      <c r="AN185" s="10" t="s">
        <v>2569</v>
      </c>
    </row>
    <row r="186" spans="1:40" s="10" customFormat="1" x14ac:dyDescent="0.3">
      <c r="A186" s="10" t="s">
        <v>750</v>
      </c>
      <c r="B186" s="10" t="s">
        <v>5</v>
      </c>
      <c r="F186" s="10" t="s">
        <v>2654</v>
      </c>
      <c r="G186" s="10" t="s">
        <v>13</v>
      </c>
      <c r="H186" s="10" t="s">
        <v>506</v>
      </c>
      <c r="L186" s="10">
        <v>3</v>
      </c>
      <c r="M186" s="10">
        <v>3</v>
      </c>
      <c r="N186" s="10">
        <v>2</v>
      </c>
      <c r="Y186" s="14">
        <f>(100+48)/100</f>
        <v>1.48</v>
      </c>
      <c r="Z186" s="14"/>
      <c r="AA186" s="14">
        <f t="shared" si="34"/>
        <v>1.48</v>
      </c>
      <c r="AB186" s="14">
        <f>(100+35)/100</f>
        <v>1.35</v>
      </c>
      <c r="AC186" s="14">
        <f>(100+63)/100</f>
        <v>1.63</v>
      </c>
      <c r="AL186" s="10" t="s">
        <v>3</v>
      </c>
      <c r="AM186" s="26" t="s">
        <v>3</v>
      </c>
      <c r="AN186" s="10" t="s">
        <v>1924</v>
      </c>
    </row>
    <row r="187" spans="1:40" s="10" customFormat="1" x14ac:dyDescent="0.3">
      <c r="A187" s="10" t="s">
        <v>845</v>
      </c>
      <c r="B187" s="10" t="s">
        <v>846</v>
      </c>
      <c r="F187" s="10" t="s">
        <v>2654</v>
      </c>
      <c r="G187" s="10" t="s">
        <v>13</v>
      </c>
      <c r="H187" s="10" t="s">
        <v>506</v>
      </c>
      <c r="J187" s="10" t="s">
        <v>47</v>
      </c>
      <c r="K187" s="10" t="s">
        <v>847</v>
      </c>
      <c r="L187" s="10">
        <v>71</v>
      </c>
      <c r="M187" s="10">
        <v>71</v>
      </c>
      <c r="N187" s="10">
        <v>26</v>
      </c>
      <c r="Y187" s="14">
        <v>0.99</v>
      </c>
      <c r="Z187" s="14"/>
      <c r="AA187" s="14">
        <v>0.99</v>
      </c>
      <c r="AB187" s="14">
        <v>0.98</v>
      </c>
      <c r="AC187" s="14">
        <v>1.02</v>
      </c>
      <c r="AL187" s="10" t="s">
        <v>3</v>
      </c>
      <c r="AM187" s="26" t="s">
        <v>3</v>
      </c>
      <c r="AN187" s="10" t="s">
        <v>1924</v>
      </c>
    </row>
    <row r="188" spans="1:40" s="10" customFormat="1" x14ac:dyDescent="0.3">
      <c r="A188" s="10" t="s">
        <v>845</v>
      </c>
      <c r="B188" s="10" t="s">
        <v>846</v>
      </c>
      <c r="F188" s="10" t="s">
        <v>2654</v>
      </c>
      <c r="G188" s="10" t="s">
        <v>13</v>
      </c>
      <c r="H188" s="10" t="s">
        <v>506</v>
      </c>
      <c r="J188" s="10" t="s">
        <v>47</v>
      </c>
      <c r="K188" s="10" t="s">
        <v>848</v>
      </c>
      <c r="L188" s="10">
        <v>80</v>
      </c>
      <c r="M188" s="10">
        <v>80</v>
      </c>
      <c r="N188" s="10">
        <v>30</v>
      </c>
      <c r="Y188" s="14">
        <f>(100+24)/100</f>
        <v>1.24</v>
      </c>
      <c r="Z188" s="14"/>
      <c r="AA188" s="14">
        <f t="shared" si="34"/>
        <v>1.24</v>
      </c>
      <c r="AB188" s="14">
        <f>(100+19)/100</f>
        <v>1.19</v>
      </c>
      <c r="AC188" s="14">
        <f>(100+30)/100</f>
        <v>1.3</v>
      </c>
      <c r="AL188" s="10" t="s">
        <v>3</v>
      </c>
      <c r="AM188" s="26" t="s">
        <v>3</v>
      </c>
      <c r="AN188" s="10" t="s">
        <v>1924</v>
      </c>
    </row>
    <row r="189" spans="1:40" s="10" customFormat="1" x14ac:dyDescent="0.3">
      <c r="A189" s="10" t="s">
        <v>845</v>
      </c>
      <c r="B189" s="10" t="s">
        <v>846</v>
      </c>
      <c r="F189" s="10" t="s">
        <v>2654</v>
      </c>
      <c r="G189" s="10" t="s">
        <v>13</v>
      </c>
      <c r="H189" s="10" t="s">
        <v>506</v>
      </c>
      <c r="J189" s="10" t="s">
        <v>47</v>
      </c>
      <c r="K189" s="10" t="s">
        <v>849</v>
      </c>
      <c r="L189" s="10">
        <v>10</v>
      </c>
      <c r="M189" s="10">
        <v>10</v>
      </c>
      <c r="N189" s="10">
        <v>10</v>
      </c>
      <c r="Y189" s="14">
        <f>(100+21.5)/100</f>
        <v>1.2150000000000001</v>
      </c>
      <c r="Z189" s="14"/>
      <c r="AA189" s="14">
        <f t="shared" si="34"/>
        <v>1.2150000000000001</v>
      </c>
      <c r="AB189" s="14">
        <f>(100+6)/100</f>
        <v>1.06</v>
      </c>
      <c r="AC189" s="14">
        <f>(100+39)/100</f>
        <v>1.39</v>
      </c>
      <c r="AL189" s="10" t="s">
        <v>3</v>
      </c>
      <c r="AM189" s="26" t="s">
        <v>3</v>
      </c>
      <c r="AN189" s="10" t="s">
        <v>1924</v>
      </c>
    </row>
    <row r="190" spans="1:40" s="26" customFormat="1" x14ac:dyDescent="0.3">
      <c r="A190" s="26" t="s">
        <v>1926</v>
      </c>
      <c r="B190" s="26" t="s">
        <v>81</v>
      </c>
      <c r="C190" s="26" t="s">
        <v>1927</v>
      </c>
      <c r="D190" s="34" t="s">
        <v>1928</v>
      </c>
      <c r="E190" s="26" t="s">
        <v>1929</v>
      </c>
      <c r="F190" s="34" t="s">
        <v>2655</v>
      </c>
      <c r="G190" s="26" t="s">
        <v>7</v>
      </c>
      <c r="H190" s="26" t="s">
        <v>859</v>
      </c>
      <c r="I190" s="26" t="s">
        <v>1931</v>
      </c>
      <c r="J190" s="26" t="s">
        <v>516</v>
      </c>
      <c r="K190" s="26" t="s">
        <v>63</v>
      </c>
      <c r="L190" s="26">
        <v>3</v>
      </c>
      <c r="M190" s="26">
        <v>3</v>
      </c>
      <c r="O190" s="26">
        <v>4949</v>
      </c>
      <c r="P190" s="42">
        <f>197*SQRT(L190)</f>
        <v>341.21400909106882</v>
      </c>
      <c r="Q190" s="26">
        <v>9207</v>
      </c>
      <c r="R190" s="42">
        <f>219*SQRT(L190)</f>
        <v>379.31912685758408</v>
      </c>
      <c r="S190" s="26">
        <v>5157</v>
      </c>
      <c r="T190" s="42">
        <f>135*SQRT(M190)</f>
        <v>233.82685902179841</v>
      </c>
      <c r="U190" s="26">
        <v>7935</v>
      </c>
      <c r="V190" s="42">
        <f>178*SQRT(M190)</f>
        <v>308.30504374726013</v>
      </c>
      <c r="Y190" s="20">
        <f>S190/O190</f>
        <v>1.0420286926651849</v>
      </c>
      <c r="Z190" s="20">
        <f>U190/Q190</f>
        <v>0.86184424894102318</v>
      </c>
      <c r="AA190" s="20">
        <f>Y190+Z190</f>
        <v>1.9038729416062081</v>
      </c>
      <c r="AD190">
        <f>((T190^2)/(O190^2))+((P190^2)*(S190^2)/(O190^4))</f>
        <v>7.3938332289081006E-3</v>
      </c>
      <c r="AE190">
        <f>((V190^2)/(Q190^2))+((R190^2)*(U190^2)/(Q190^4))</f>
        <v>2.3820633523490152E-3</v>
      </c>
      <c r="AF190" s="26">
        <f>AD190+AE190</f>
        <v>9.7758965812571163E-3</v>
      </c>
      <c r="AG190">
        <f t="shared" ref="AG190:AG192" si="35">SQRT(AF190)/AA190</f>
        <v>5.1932632481953095E-2</v>
      </c>
      <c r="AH190" s="26">
        <v>150</v>
      </c>
      <c r="AI190" s="26" t="s">
        <v>14</v>
      </c>
      <c r="AJ190" s="26" t="s">
        <v>3</v>
      </c>
      <c r="AK190" s="26" t="s">
        <v>2</v>
      </c>
      <c r="AL190" s="26" t="s">
        <v>2</v>
      </c>
      <c r="AM190" s="26" t="s">
        <v>3</v>
      </c>
      <c r="AN190" s="26" t="s">
        <v>1933</v>
      </c>
    </row>
    <row r="191" spans="1:40" s="26" customFormat="1" x14ac:dyDescent="0.3">
      <c r="A191" s="26" t="s">
        <v>1926</v>
      </c>
      <c r="B191" s="26" t="s">
        <v>81</v>
      </c>
      <c r="C191" s="26" t="s">
        <v>1927</v>
      </c>
      <c r="D191" s="34" t="s">
        <v>1928</v>
      </c>
      <c r="E191" s="26" t="s">
        <v>1929</v>
      </c>
      <c r="F191" s="34" t="s">
        <v>2655</v>
      </c>
      <c r="G191" s="26" t="s">
        <v>7</v>
      </c>
      <c r="H191" s="26" t="s">
        <v>859</v>
      </c>
      <c r="I191" s="26" t="s">
        <v>1932</v>
      </c>
      <c r="J191" s="26" t="s">
        <v>516</v>
      </c>
      <c r="K191" s="26" t="s">
        <v>63</v>
      </c>
      <c r="L191" s="26">
        <v>3</v>
      </c>
      <c r="M191" s="26">
        <v>3</v>
      </c>
      <c r="O191" s="26">
        <v>5244</v>
      </c>
      <c r="P191" s="42">
        <f>230*SQRT(L191)</f>
        <v>398.37168574084177</v>
      </c>
      <c r="Q191" s="26">
        <v>9199</v>
      </c>
      <c r="R191" s="42">
        <f>159*SQRT(L191)</f>
        <v>275.3960784034515</v>
      </c>
      <c r="S191" s="26">
        <v>5958</v>
      </c>
      <c r="T191" s="42">
        <f>197*SQRT(M191)</f>
        <v>341.21400909106882</v>
      </c>
      <c r="U191" s="26">
        <v>8752</v>
      </c>
      <c r="V191" s="42">
        <f>172*SQRT(M191)</f>
        <v>297.91273890184686</v>
      </c>
      <c r="Y191" s="20">
        <f>S191/O191</f>
        <v>1.1361556064073226</v>
      </c>
      <c r="Z191" s="20">
        <f>U191/Q191</f>
        <v>0.95140776171322972</v>
      </c>
      <c r="AA191" s="20">
        <f t="shared" ref="AA191:AA192" si="36">Y191+Z191</f>
        <v>2.0875633681205521</v>
      </c>
      <c r="AD191">
        <f>((T191^2)/(O191^2))+((P191^2)*(S191^2)/(O191^4))</f>
        <v>1.1683281691907986E-2</v>
      </c>
      <c r="AE191">
        <f>((V191^2)/(Q191^2))+((R191^2)*(U191^2)/(Q191^4))</f>
        <v>1.8600843850874545E-3</v>
      </c>
      <c r="AF191" s="26">
        <f t="shared" ref="AF191:AF192" si="37">AD191+AE191</f>
        <v>1.3543366076995441E-2</v>
      </c>
      <c r="AG191">
        <f t="shared" si="35"/>
        <v>5.5747274749887769E-2</v>
      </c>
      <c r="AH191" s="26">
        <v>150</v>
      </c>
      <c r="AI191" s="26" t="s">
        <v>14</v>
      </c>
      <c r="AJ191" s="26" t="s">
        <v>3</v>
      </c>
      <c r="AK191" s="26" t="s">
        <v>2</v>
      </c>
      <c r="AL191" s="26" t="s">
        <v>2</v>
      </c>
      <c r="AM191" s="26" t="s">
        <v>3</v>
      </c>
      <c r="AN191" s="26" t="s">
        <v>1933</v>
      </c>
    </row>
    <row r="192" spans="1:40" s="26" customFormat="1" x14ac:dyDescent="0.3">
      <c r="A192" s="26" t="s">
        <v>1926</v>
      </c>
      <c r="B192" s="26" t="s">
        <v>81</v>
      </c>
      <c r="C192" s="26" t="s">
        <v>1927</v>
      </c>
      <c r="D192" s="34" t="s">
        <v>1928</v>
      </c>
      <c r="E192" s="26" t="s">
        <v>1929</v>
      </c>
      <c r="F192" s="34" t="s">
        <v>2655</v>
      </c>
      <c r="G192" s="26" t="s">
        <v>7</v>
      </c>
      <c r="H192" s="26" t="s">
        <v>859</v>
      </c>
      <c r="I192" s="26" t="s">
        <v>1930</v>
      </c>
      <c r="J192" s="26" t="s">
        <v>516</v>
      </c>
      <c r="K192" s="26" t="s">
        <v>63</v>
      </c>
      <c r="L192" s="26">
        <v>3</v>
      </c>
      <c r="M192" s="26">
        <v>3</v>
      </c>
      <c r="O192" s="26">
        <v>4926</v>
      </c>
      <c r="P192" s="42">
        <f>217*SQRT(L192)</f>
        <v>375.85502524244635</v>
      </c>
      <c r="Q192" s="26">
        <v>8435</v>
      </c>
      <c r="R192" s="42">
        <f>174*SQRT(L192)</f>
        <v>301.37684051698466</v>
      </c>
      <c r="S192" s="26">
        <v>5318</v>
      </c>
      <c r="T192" s="42">
        <f>147*SQRT(M192)</f>
        <v>254.61146871262494</v>
      </c>
      <c r="U192" s="26">
        <v>8031</v>
      </c>
      <c r="V192" s="42">
        <f>189*SQRT(M192)</f>
        <v>327.35760263051782</v>
      </c>
      <c r="Y192" s="20">
        <f>S192/O192</f>
        <v>1.0795777507105155</v>
      </c>
      <c r="Z192" s="20">
        <f>U192/Q192</f>
        <v>0.9521043272080616</v>
      </c>
      <c r="AA192" s="20">
        <f t="shared" si="36"/>
        <v>2.0316820779185774</v>
      </c>
      <c r="AD192">
        <f>((T192^2)/(O192^2))+((P192^2)*(S192^2)/(O192^4))</f>
        <v>9.4567281607790508E-3</v>
      </c>
      <c r="AE192">
        <f>((V192^2)/(Q192^2))+((R192^2)*(U192^2)/(Q192^4))</f>
        <v>2.6633996741925996E-3</v>
      </c>
      <c r="AF192" s="26">
        <f t="shared" si="37"/>
        <v>1.212012783497165E-2</v>
      </c>
      <c r="AG192">
        <f t="shared" si="35"/>
        <v>5.418734227151565E-2</v>
      </c>
      <c r="AH192" s="26">
        <v>150</v>
      </c>
      <c r="AI192" s="26" t="s">
        <v>14</v>
      </c>
      <c r="AJ192" s="26" t="s">
        <v>3</v>
      </c>
      <c r="AK192" s="26" t="s">
        <v>2</v>
      </c>
      <c r="AL192" s="26" t="s">
        <v>2</v>
      </c>
      <c r="AM192" s="26" t="s">
        <v>3</v>
      </c>
      <c r="AN192" s="26" t="s">
        <v>1933</v>
      </c>
    </row>
    <row r="193" spans="1:40" ht="43.2" x14ac:dyDescent="0.3">
      <c r="A193" s="10" t="s">
        <v>860</v>
      </c>
      <c r="B193" s="10" t="s">
        <v>862</v>
      </c>
      <c r="C193" s="10" t="s">
        <v>861</v>
      </c>
      <c r="F193" s="34" t="s">
        <v>2654</v>
      </c>
      <c r="G193" s="10" t="s">
        <v>13</v>
      </c>
      <c r="H193" s="10" t="s">
        <v>863</v>
      </c>
      <c r="I193" s="10" t="s">
        <v>848</v>
      </c>
      <c r="J193" s="10" t="s">
        <v>47</v>
      </c>
      <c r="K193" s="24" t="s">
        <v>865</v>
      </c>
      <c r="L193" s="10">
        <v>68</v>
      </c>
      <c r="M193" s="10">
        <v>68</v>
      </c>
      <c r="N193" s="10">
        <v>16</v>
      </c>
      <c r="O193">
        <v>9740</v>
      </c>
      <c r="P193">
        <v>2550</v>
      </c>
      <c r="Y193" s="14">
        <f>(100+6.9)/100</f>
        <v>1.069</v>
      </c>
      <c r="Z193" s="26"/>
      <c r="AA193" s="14">
        <f t="shared" ref="AA193:AA196" si="38">Y193</f>
        <v>1.069</v>
      </c>
      <c r="AB193" s="14">
        <f>(100+1.9)/100</f>
        <v>1.0190000000000001</v>
      </c>
      <c r="AC193" s="14">
        <f>(100+11.2)/100</f>
        <v>1.1120000000000001</v>
      </c>
      <c r="AL193" s="10" t="s">
        <v>3</v>
      </c>
      <c r="AM193" s="26" t="s">
        <v>2023</v>
      </c>
      <c r="AN193" s="10" t="s">
        <v>1924</v>
      </c>
    </row>
    <row r="194" spans="1:40" x14ac:dyDescent="0.3">
      <c r="A194" s="10" t="s">
        <v>860</v>
      </c>
      <c r="B194" s="10" t="s">
        <v>862</v>
      </c>
      <c r="C194" s="10" t="s">
        <v>861</v>
      </c>
      <c r="F194" s="34" t="s">
        <v>2654</v>
      </c>
      <c r="G194" s="10" t="s">
        <v>13</v>
      </c>
      <c r="H194" s="10" t="s">
        <v>863</v>
      </c>
      <c r="I194" s="10" t="s">
        <v>866</v>
      </c>
      <c r="J194" s="10" t="s">
        <v>47</v>
      </c>
      <c r="K194" s="4" t="s">
        <v>868</v>
      </c>
      <c r="L194" s="10">
        <v>14</v>
      </c>
      <c r="M194" s="10">
        <v>14</v>
      </c>
      <c r="N194" s="10">
        <v>6</v>
      </c>
      <c r="O194">
        <v>8210</v>
      </c>
      <c r="P194">
        <v>1750</v>
      </c>
      <c r="Y194" s="14">
        <f>(100-2)/100</f>
        <v>0.98</v>
      </c>
      <c r="Z194" s="26"/>
      <c r="AA194" s="14">
        <f t="shared" si="38"/>
        <v>0.98</v>
      </c>
      <c r="AB194" s="14">
        <f>(100-11.4)/100</f>
        <v>0.8859999999999999</v>
      </c>
      <c r="AC194" s="14">
        <f>(100+5.4)/100</f>
        <v>1.054</v>
      </c>
      <c r="AL194" s="10" t="s">
        <v>3</v>
      </c>
      <c r="AM194" s="26" t="s">
        <v>2023</v>
      </c>
      <c r="AN194" s="10" t="s">
        <v>1924</v>
      </c>
    </row>
    <row r="195" spans="1:40" ht="144" x14ac:dyDescent="0.3">
      <c r="A195" s="10" t="s">
        <v>860</v>
      </c>
      <c r="B195" s="10" t="s">
        <v>862</v>
      </c>
      <c r="C195" s="10" t="s">
        <v>861</v>
      </c>
      <c r="F195" s="34" t="s">
        <v>2654</v>
      </c>
      <c r="G195" s="10" t="s">
        <v>13</v>
      </c>
      <c r="H195" s="10" t="s">
        <v>863</v>
      </c>
      <c r="I195" s="10" t="s">
        <v>275</v>
      </c>
      <c r="J195" s="10" t="s">
        <v>47</v>
      </c>
      <c r="K195" s="24" t="s">
        <v>864</v>
      </c>
      <c r="L195" s="10">
        <v>48</v>
      </c>
      <c r="M195" s="10">
        <v>48</v>
      </c>
      <c r="N195" s="10">
        <v>12</v>
      </c>
      <c r="O195">
        <v>7020</v>
      </c>
      <c r="P195">
        <v>2020</v>
      </c>
      <c r="Y195" s="14">
        <f>(100-7.6)/100</f>
        <v>0.92400000000000004</v>
      </c>
      <c r="Z195" s="26"/>
      <c r="AA195" s="14">
        <f t="shared" si="38"/>
        <v>0.92400000000000004</v>
      </c>
      <c r="AB195" s="14">
        <f>(100-18)/100</f>
        <v>0.82</v>
      </c>
      <c r="AC195" s="14">
        <f>(100+0.9)/100</f>
        <v>1.0090000000000001</v>
      </c>
      <c r="AL195" s="10" t="s">
        <v>3</v>
      </c>
      <c r="AM195" s="26" t="s">
        <v>2023</v>
      </c>
      <c r="AN195" s="10" t="s">
        <v>1924</v>
      </c>
    </row>
    <row r="196" spans="1:40" ht="201.6" x14ac:dyDescent="0.3">
      <c r="A196" s="10" t="s">
        <v>860</v>
      </c>
      <c r="B196" s="10" t="s">
        <v>862</v>
      </c>
      <c r="C196" s="10" t="s">
        <v>861</v>
      </c>
      <c r="F196" s="34" t="s">
        <v>2654</v>
      </c>
      <c r="G196" s="10" t="s">
        <v>13</v>
      </c>
      <c r="H196" s="10" t="s">
        <v>863</v>
      </c>
      <c r="J196" s="10" t="s">
        <v>180</v>
      </c>
      <c r="K196" s="24" t="s">
        <v>867</v>
      </c>
      <c r="L196" s="10">
        <v>160</v>
      </c>
      <c r="M196" s="10">
        <v>160</v>
      </c>
      <c r="N196" s="10">
        <v>32</v>
      </c>
      <c r="Y196" s="14">
        <f>(100-2.6)/100</f>
        <v>0.97400000000000009</v>
      </c>
      <c r="Z196" s="26"/>
      <c r="AA196" s="14">
        <f t="shared" si="38"/>
        <v>0.97400000000000009</v>
      </c>
      <c r="AB196" s="14">
        <f>(100-4.2)/100</f>
        <v>0.95799999999999996</v>
      </c>
      <c r="AC196" s="14">
        <f>(100-1)/100</f>
        <v>0.99</v>
      </c>
      <c r="AL196" s="10" t="s">
        <v>3</v>
      </c>
      <c r="AM196" s="26" t="s">
        <v>2023</v>
      </c>
      <c r="AN196" s="10" t="s">
        <v>1924</v>
      </c>
    </row>
    <row r="197" spans="1:40" s="10" customFormat="1" x14ac:dyDescent="0.3">
      <c r="A197" s="10" t="s">
        <v>1061</v>
      </c>
      <c r="B197" s="10" t="s">
        <v>777</v>
      </c>
      <c r="C197" s="10" t="s">
        <v>1064</v>
      </c>
      <c r="D197" s="10" t="s">
        <v>1065</v>
      </c>
      <c r="E197" s="10" t="s">
        <v>1066</v>
      </c>
      <c r="F197" s="10" t="s">
        <v>2655</v>
      </c>
      <c r="G197" s="10" t="s">
        <v>1067</v>
      </c>
      <c r="H197" s="10" t="s">
        <v>217</v>
      </c>
      <c r="J197" s="10" t="s">
        <v>1063</v>
      </c>
      <c r="K197" s="10" t="s">
        <v>566</v>
      </c>
      <c r="L197" s="10">
        <v>6</v>
      </c>
      <c r="M197" s="10">
        <v>6</v>
      </c>
      <c r="O197" s="26">
        <v>1689</v>
      </c>
      <c r="Q197" s="10">
        <v>1135</v>
      </c>
      <c r="S197" s="10">
        <v>1433</v>
      </c>
      <c r="U197" s="10">
        <v>1153</v>
      </c>
      <c r="Y197" s="14">
        <f t="shared" ref="Y197:Y228" si="39">S197/O197</f>
        <v>0.84843102427471873</v>
      </c>
      <c r="Z197" s="14">
        <f>U197/Q197</f>
        <v>1.0158590308370044</v>
      </c>
      <c r="AA197" s="14">
        <f>Y197+Z197</f>
        <v>1.8642900551117232</v>
      </c>
      <c r="AD197"/>
      <c r="AE197"/>
      <c r="AK197" s="10" t="s">
        <v>2</v>
      </c>
      <c r="AL197" s="10" t="s">
        <v>2</v>
      </c>
      <c r="AM197" s="10" t="s">
        <v>3</v>
      </c>
      <c r="AN197"/>
    </row>
    <row r="198" spans="1:40" s="10" customFormat="1" x14ac:dyDescent="0.3">
      <c r="A198" s="10" t="s">
        <v>1069</v>
      </c>
      <c r="B198" s="10" t="s">
        <v>143</v>
      </c>
      <c r="C198" s="10" t="s">
        <v>1073</v>
      </c>
      <c r="D198" s="10" t="s">
        <v>1072</v>
      </c>
      <c r="E198" s="10">
        <v>2004</v>
      </c>
      <c r="F198" s="10" t="s">
        <v>2655</v>
      </c>
      <c r="G198" s="10" t="s">
        <v>7</v>
      </c>
      <c r="H198" s="10" t="s">
        <v>1935</v>
      </c>
      <c r="I198" s="10" t="s">
        <v>1076</v>
      </c>
      <c r="J198" s="10" t="s">
        <v>53</v>
      </c>
      <c r="K198" s="10" t="s">
        <v>173</v>
      </c>
      <c r="L198" s="10">
        <v>6</v>
      </c>
      <c r="M198" s="10">
        <v>6</v>
      </c>
      <c r="O198" s="10">
        <f>670*2</f>
        <v>1340</v>
      </c>
      <c r="S198" s="10">
        <v>1430</v>
      </c>
      <c r="Y198" s="14">
        <f t="shared" si="39"/>
        <v>1.0671641791044777</v>
      </c>
      <c r="Z198" s="14"/>
      <c r="AA198" s="14">
        <f t="shared" ref="AA198:AA241" si="40">Y198+Z198</f>
        <v>1.0671641791044777</v>
      </c>
      <c r="AK198" s="10" t="s">
        <v>2</v>
      </c>
      <c r="AL198" s="10" t="s">
        <v>2</v>
      </c>
      <c r="AM198" s="10" t="s">
        <v>2023</v>
      </c>
      <c r="AN198" s="10" t="s">
        <v>2570</v>
      </c>
    </row>
    <row r="199" spans="1:40" s="10" customFormat="1" x14ac:dyDescent="0.3">
      <c r="A199" s="10" t="s">
        <v>1069</v>
      </c>
      <c r="B199" s="10" t="s">
        <v>143</v>
      </c>
      <c r="C199" s="10" t="s">
        <v>1073</v>
      </c>
      <c r="D199" s="10" t="s">
        <v>1072</v>
      </c>
      <c r="E199" s="10">
        <v>2005</v>
      </c>
      <c r="F199" s="10" t="s">
        <v>2655</v>
      </c>
      <c r="G199" s="10" t="s">
        <v>7</v>
      </c>
      <c r="H199" s="10" t="s">
        <v>1935</v>
      </c>
      <c r="I199" s="10" t="s">
        <v>1076</v>
      </c>
      <c r="J199" s="10" t="s">
        <v>53</v>
      </c>
      <c r="K199" s="10" t="s">
        <v>173</v>
      </c>
      <c r="L199" s="10">
        <v>5</v>
      </c>
      <c r="M199" s="10">
        <v>5</v>
      </c>
      <c r="O199" s="10">
        <f>960*2</f>
        <v>1920</v>
      </c>
      <c r="S199" s="10">
        <v>1180</v>
      </c>
      <c r="Y199" s="14">
        <f t="shared" si="39"/>
        <v>0.61458333333333337</v>
      </c>
      <c r="Z199" s="14"/>
      <c r="AA199" s="14">
        <f t="shared" ref="AA199" si="41">Y199+Z199</f>
        <v>0.61458333333333337</v>
      </c>
      <c r="AK199" s="10" t="s">
        <v>2</v>
      </c>
      <c r="AL199" s="10" t="s">
        <v>2</v>
      </c>
      <c r="AM199" s="10" t="s">
        <v>2023</v>
      </c>
      <c r="AN199" s="10" t="s">
        <v>2570</v>
      </c>
    </row>
    <row r="200" spans="1:40" s="10" customFormat="1" x14ac:dyDescent="0.3">
      <c r="A200" s="10" t="s">
        <v>1069</v>
      </c>
      <c r="B200" s="10" t="s">
        <v>143</v>
      </c>
      <c r="C200" s="10" t="s">
        <v>1074</v>
      </c>
      <c r="D200" s="10" t="s">
        <v>1070</v>
      </c>
      <c r="E200" s="10">
        <v>2004</v>
      </c>
      <c r="F200" s="10" t="s">
        <v>2654</v>
      </c>
      <c r="G200" s="10" t="s">
        <v>75</v>
      </c>
      <c r="H200" s="10" t="s">
        <v>1935</v>
      </c>
      <c r="I200" s="10" t="s">
        <v>75</v>
      </c>
      <c r="J200" s="10" t="s">
        <v>53</v>
      </c>
      <c r="K200" s="10" t="s">
        <v>235</v>
      </c>
      <c r="L200" s="10">
        <v>5</v>
      </c>
      <c r="M200" s="10">
        <v>5</v>
      </c>
      <c r="O200" s="10">
        <f>1030*2</f>
        <v>2060</v>
      </c>
      <c r="S200" s="10">
        <v>2640</v>
      </c>
      <c r="Y200" s="14">
        <f t="shared" si="39"/>
        <v>1.2815533980582525</v>
      </c>
      <c r="Z200" s="14"/>
      <c r="AA200" s="14">
        <f t="shared" si="40"/>
        <v>1.2815533980582525</v>
      </c>
      <c r="AI200" s="26"/>
      <c r="AK200" s="10" t="s">
        <v>2</v>
      </c>
      <c r="AL200" s="10" t="s">
        <v>2</v>
      </c>
      <c r="AM200" s="10" t="s">
        <v>3</v>
      </c>
      <c r="AN200" s="10" t="s">
        <v>1923</v>
      </c>
    </row>
    <row r="201" spans="1:40" s="10" customFormat="1" x14ac:dyDescent="0.3">
      <c r="A201" s="10" t="s">
        <v>1069</v>
      </c>
      <c r="B201" s="10" t="s">
        <v>143</v>
      </c>
      <c r="C201" s="10" t="s">
        <v>1074</v>
      </c>
      <c r="D201" s="10" t="s">
        <v>1070</v>
      </c>
      <c r="E201" s="10">
        <v>2005</v>
      </c>
      <c r="F201" s="10" t="s">
        <v>2654</v>
      </c>
      <c r="G201" s="10" t="s">
        <v>75</v>
      </c>
      <c r="H201" s="10" t="s">
        <v>1935</v>
      </c>
      <c r="I201" s="10" t="s">
        <v>75</v>
      </c>
      <c r="J201" s="10" t="s">
        <v>53</v>
      </c>
      <c r="K201" s="10" t="s">
        <v>235</v>
      </c>
      <c r="L201" s="10">
        <v>8</v>
      </c>
      <c r="M201" s="10">
        <v>8</v>
      </c>
      <c r="O201" s="10">
        <f>1760*2</f>
        <v>3520</v>
      </c>
      <c r="S201" s="10">
        <v>3980</v>
      </c>
      <c r="Y201" s="14">
        <f t="shared" si="39"/>
        <v>1.1306818181818181</v>
      </c>
      <c r="Z201" s="14"/>
      <c r="AA201" s="14">
        <f t="shared" si="40"/>
        <v>1.1306818181818181</v>
      </c>
      <c r="AI201" s="26"/>
      <c r="AK201" s="10" t="s">
        <v>2</v>
      </c>
      <c r="AL201" s="10" t="s">
        <v>2</v>
      </c>
      <c r="AM201" s="10" t="s">
        <v>3</v>
      </c>
      <c r="AN201" s="10" t="s">
        <v>1923</v>
      </c>
    </row>
    <row r="202" spans="1:40" s="10" customFormat="1" x14ac:dyDescent="0.3">
      <c r="A202" s="10" t="s">
        <v>1069</v>
      </c>
      <c r="B202" s="10" t="s">
        <v>143</v>
      </c>
      <c r="C202" s="10" t="s">
        <v>1074</v>
      </c>
      <c r="D202" s="10" t="s">
        <v>1070</v>
      </c>
      <c r="E202" s="10">
        <v>2004</v>
      </c>
      <c r="F202" s="10" t="s">
        <v>2655</v>
      </c>
      <c r="G202" s="10" t="s">
        <v>7</v>
      </c>
      <c r="H202" s="10" t="s">
        <v>1935</v>
      </c>
      <c r="I202" s="10" t="s">
        <v>1076</v>
      </c>
      <c r="J202" s="10" t="s">
        <v>53</v>
      </c>
      <c r="K202" s="10" t="s">
        <v>173</v>
      </c>
      <c r="L202" s="10">
        <v>5</v>
      </c>
      <c r="M202" s="10">
        <v>5</v>
      </c>
      <c r="O202" s="10">
        <f>1030*2</f>
        <v>2060</v>
      </c>
      <c r="S202" s="10">
        <v>1840</v>
      </c>
      <c r="Y202" s="14">
        <f t="shared" si="39"/>
        <v>0.89320388349514568</v>
      </c>
      <c r="Z202" s="14"/>
      <c r="AA202" s="14">
        <f t="shared" si="40"/>
        <v>0.89320388349514568</v>
      </c>
      <c r="AI202" s="26"/>
      <c r="AK202" s="10" t="s">
        <v>2</v>
      </c>
      <c r="AL202" s="10" t="s">
        <v>2</v>
      </c>
      <c r="AM202" s="10" t="s">
        <v>2023</v>
      </c>
      <c r="AN202" s="10" t="s">
        <v>2570</v>
      </c>
    </row>
    <row r="203" spans="1:40" s="10" customFormat="1" x14ac:dyDescent="0.3">
      <c r="A203" s="10" t="s">
        <v>1069</v>
      </c>
      <c r="B203" s="10" t="s">
        <v>143</v>
      </c>
      <c r="C203" s="10" t="s">
        <v>1074</v>
      </c>
      <c r="D203" s="10" t="s">
        <v>1070</v>
      </c>
      <c r="E203" s="10">
        <v>2005</v>
      </c>
      <c r="F203" s="10" t="s">
        <v>2655</v>
      </c>
      <c r="G203" s="10" t="s">
        <v>7</v>
      </c>
      <c r="H203" s="10" t="s">
        <v>1935</v>
      </c>
      <c r="I203" s="10" t="s">
        <v>1076</v>
      </c>
      <c r="J203" s="10" t="s">
        <v>53</v>
      </c>
      <c r="K203" s="10" t="s">
        <v>173</v>
      </c>
      <c r="L203" s="10">
        <v>8</v>
      </c>
      <c r="M203" s="10">
        <v>8</v>
      </c>
      <c r="O203" s="10">
        <f>1760*2</f>
        <v>3520</v>
      </c>
      <c r="S203" s="10">
        <v>3190</v>
      </c>
      <c r="Y203" s="14">
        <f t="shared" si="39"/>
        <v>0.90625</v>
      </c>
      <c r="Z203" s="14"/>
      <c r="AA203" s="14">
        <f t="shared" si="40"/>
        <v>0.90625</v>
      </c>
      <c r="AI203" s="26"/>
      <c r="AK203" s="10" t="s">
        <v>2</v>
      </c>
      <c r="AL203" s="10" t="s">
        <v>2</v>
      </c>
      <c r="AM203" s="10" t="s">
        <v>2023</v>
      </c>
      <c r="AN203" s="10" t="s">
        <v>2570</v>
      </c>
    </row>
    <row r="204" spans="1:40" s="10" customFormat="1" x14ac:dyDescent="0.3">
      <c r="A204" s="10" t="s">
        <v>1069</v>
      </c>
      <c r="B204" s="10" t="s">
        <v>143</v>
      </c>
      <c r="C204" s="10" t="s">
        <v>1075</v>
      </c>
      <c r="D204" s="10" t="s">
        <v>1071</v>
      </c>
      <c r="E204" s="10">
        <v>2004</v>
      </c>
      <c r="F204" s="10" t="s">
        <v>2654</v>
      </c>
      <c r="G204" s="10" t="s">
        <v>75</v>
      </c>
      <c r="H204" s="10" t="s">
        <v>1935</v>
      </c>
      <c r="I204" s="10" t="s">
        <v>75</v>
      </c>
      <c r="J204" s="10" t="s">
        <v>53</v>
      </c>
      <c r="K204" s="10" t="s">
        <v>235</v>
      </c>
      <c r="L204" s="10">
        <v>5</v>
      </c>
      <c r="M204" s="10">
        <v>5</v>
      </c>
      <c r="O204" s="10">
        <f>1170*2</f>
        <v>2340</v>
      </c>
      <c r="S204" s="10">
        <v>1760</v>
      </c>
      <c r="Y204" s="14">
        <f t="shared" si="39"/>
        <v>0.75213675213675213</v>
      </c>
      <c r="Z204" s="14"/>
      <c r="AA204" s="14">
        <f t="shared" si="40"/>
        <v>0.75213675213675213</v>
      </c>
      <c r="AI204" s="26"/>
      <c r="AK204" s="10" t="s">
        <v>2</v>
      </c>
      <c r="AL204" s="10" t="s">
        <v>2</v>
      </c>
      <c r="AM204" s="10" t="s">
        <v>3</v>
      </c>
      <c r="AN204" s="10" t="s">
        <v>1923</v>
      </c>
    </row>
    <row r="205" spans="1:40" s="10" customFormat="1" x14ac:dyDescent="0.3">
      <c r="A205" s="10" t="s">
        <v>1069</v>
      </c>
      <c r="B205" s="10" t="s">
        <v>143</v>
      </c>
      <c r="C205" s="10" t="s">
        <v>1075</v>
      </c>
      <c r="D205" s="10" t="s">
        <v>1071</v>
      </c>
      <c r="E205" s="10">
        <v>2005</v>
      </c>
      <c r="F205" s="10" t="s">
        <v>2654</v>
      </c>
      <c r="G205" s="10" t="s">
        <v>75</v>
      </c>
      <c r="H205" s="10" t="s">
        <v>1935</v>
      </c>
      <c r="I205" s="10" t="s">
        <v>75</v>
      </c>
      <c r="J205" s="10" t="s">
        <v>53</v>
      </c>
      <c r="K205" s="10" t="s">
        <v>235</v>
      </c>
      <c r="L205" s="10">
        <v>7</v>
      </c>
      <c r="M205" s="10">
        <v>7</v>
      </c>
      <c r="O205" s="10">
        <f>1390*2</f>
        <v>2780</v>
      </c>
      <c r="S205" s="10">
        <v>3000</v>
      </c>
      <c r="Y205" s="14">
        <f t="shared" si="39"/>
        <v>1.079136690647482</v>
      </c>
      <c r="Z205" s="14"/>
      <c r="AA205" s="14">
        <f t="shared" si="40"/>
        <v>1.079136690647482</v>
      </c>
      <c r="AI205" s="26"/>
      <c r="AK205" s="10" t="s">
        <v>2</v>
      </c>
      <c r="AL205" s="10" t="s">
        <v>2</v>
      </c>
      <c r="AM205" s="10" t="s">
        <v>3</v>
      </c>
      <c r="AN205" s="10" t="s">
        <v>1923</v>
      </c>
    </row>
    <row r="206" spans="1:40" s="10" customFormat="1" x14ac:dyDescent="0.3">
      <c r="A206" s="10" t="s">
        <v>1069</v>
      </c>
      <c r="B206" s="10" t="s">
        <v>143</v>
      </c>
      <c r="C206" s="10" t="s">
        <v>1075</v>
      </c>
      <c r="D206" s="10" t="s">
        <v>1071</v>
      </c>
      <c r="E206" s="10">
        <v>2004</v>
      </c>
      <c r="F206" s="10" t="s">
        <v>2655</v>
      </c>
      <c r="G206" s="10" t="s">
        <v>7</v>
      </c>
      <c r="H206" s="10" t="s">
        <v>1935</v>
      </c>
      <c r="I206" s="10" t="s">
        <v>1076</v>
      </c>
      <c r="J206" s="10" t="s">
        <v>53</v>
      </c>
      <c r="K206" s="10" t="s">
        <v>173</v>
      </c>
      <c r="L206" s="10">
        <v>5</v>
      </c>
      <c r="M206" s="10">
        <v>5</v>
      </c>
      <c r="O206" s="10">
        <f>1170*2</f>
        <v>2340</v>
      </c>
      <c r="S206" s="10">
        <v>1610</v>
      </c>
      <c r="Y206" s="14">
        <f t="shared" si="39"/>
        <v>0.68803418803418803</v>
      </c>
      <c r="Z206" s="14"/>
      <c r="AA206" s="14">
        <f t="shared" si="40"/>
        <v>0.68803418803418803</v>
      </c>
      <c r="AI206" s="26"/>
      <c r="AK206" s="10" t="s">
        <v>2</v>
      </c>
      <c r="AL206" s="10" t="s">
        <v>2</v>
      </c>
      <c r="AM206" s="10" t="s">
        <v>2023</v>
      </c>
      <c r="AN206" s="10" t="s">
        <v>2570</v>
      </c>
    </row>
    <row r="207" spans="1:40" s="10" customFormat="1" x14ac:dyDescent="0.3">
      <c r="A207" s="10" t="s">
        <v>1069</v>
      </c>
      <c r="B207" s="10" t="s">
        <v>143</v>
      </c>
      <c r="C207" s="10" t="s">
        <v>1075</v>
      </c>
      <c r="D207" s="10" t="s">
        <v>1071</v>
      </c>
      <c r="E207" s="10">
        <v>2005</v>
      </c>
      <c r="F207" s="10" t="s">
        <v>2655</v>
      </c>
      <c r="G207" s="10" t="s">
        <v>7</v>
      </c>
      <c r="H207" s="10" t="s">
        <v>1935</v>
      </c>
      <c r="I207" s="10" t="s">
        <v>1076</v>
      </c>
      <c r="J207" s="10" t="s">
        <v>53</v>
      </c>
      <c r="K207" s="10" t="s">
        <v>173</v>
      </c>
      <c r="L207" s="10">
        <v>7</v>
      </c>
      <c r="M207" s="10">
        <v>7</v>
      </c>
      <c r="O207" s="10">
        <f>1390*2</f>
        <v>2780</v>
      </c>
      <c r="S207" s="10">
        <v>2170</v>
      </c>
      <c r="Y207" s="14">
        <f t="shared" si="39"/>
        <v>0.78057553956834536</v>
      </c>
      <c r="Z207" s="14"/>
      <c r="AA207" s="14">
        <f t="shared" si="40"/>
        <v>0.78057553956834536</v>
      </c>
      <c r="AI207" s="26"/>
      <c r="AK207" s="10" t="s">
        <v>2</v>
      </c>
      <c r="AL207" s="10" t="s">
        <v>2</v>
      </c>
      <c r="AM207" s="10" t="s">
        <v>2023</v>
      </c>
      <c r="AN207" s="10" t="s">
        <v>2570</v>
      </c>
    </row>
    <row r="208" spans="1:40" s="10" customFormat="1" x14ac:dyDescent="0.3">
      <c r="A208" s="10" t="s">
        <v>1069</v>
      </c>
      <c r="B208" s="10" t="s">
        <v>143</v>
      </c>
      <c r="C208" s="10" t="s">
        <v>1073</v>
      </c>
      <c r="D208" s="10" t="s">
        <v>1072</v>
      </c>
      <c r="E208" s="10">
        <v>2004</v>
      </c>
      <c r="F208" s="10" t="s">
        <v>2654</v>
      </c>
      <c r="G208" s="10" t="s">
        <v>75</v>
      </c>
      <c r="H208" s="10" t="s">
        <v>1935</v>
      </c>
      <c r="I208" s="10" t="s">
        <v>75</v>
      </c>
      <c r="J208" s="10" t="s">
        <v>53</v>
      </c>
      <c r="K208" s="10" t="s">
        <v>235</v>
      </c>
      <c r="L208" s="10">
        <v>6</v>
      </c>
      <c r="M208" s="10">
        <v>6</v>
      </c>
      <c r="O208" s="10">
        <f>670*2</f>
        <v>1340</v>
      </c>
      <c r="S208" s="10">
        <v>2810</v>
      </c>
      <c r="Y208" s="14">
        <f t="shared" si="39"/>
        <v>2.0970149253731343</v>
      </c>
      <c r="Z208" s="14"/>
      <c r="AA208" s="14">
        <f t="shared" si="40"/>
        <v>2.0970149253731343</v>
      </c>
      <c r="AI208" s="26"/>
      <c r="AK208" s="10" t="s">
        <v>2</v>
      </c>
      <c r="AL208" s="10" t="s">
        <v>2</v>
      </c>
      <c r="AM208" s="10" t="s">
        <v>3</v>
      </c>
      <c r="AN208" s="10" t="s">
        <v>1923</v>
      </c>
    </row>
    <row r="209" spans="1:40" s="10" customFormat="1" x14ac:dyDescent="0.3">
      <c r="A209" s="10" t="s">
        <v>1069</v>
      </c>
      <c r="B209" s="10" t="s">
        <v>143</v>
      </c>
      <c r="C209" s="10" t="s">
        <v>1073</v>
      </c>
      <c r="D209" s="10" t="s">
        <v>1072</v>
      </c>
      <c r="E209" s="10">
        <v>2005</v>
      </c>
      <c r="F209" s="10" t="s">
        <v>2654</v>
      </c>
      <c r="G209" s="10" t="s">
        <v>75</v>
      </c>
      <c r="H209" s="10" t="s">
        <v>1935</v>
      </c>
      <c r="I209" s="10" t="s">
        <v>75</v>
      </c>
      <c r="J209" s="10" t="s">
        <v>53</v>
      </c>
      <c r="K209" s="10" t="s">
        <v>235</v>
      </c>
      <c r="L209" s="10">
        <v>5</v>
      </c>
      <c r="M209" s="10">
        <v>5</v>
      </c>
      <c r="O209" s="10">
        <f>960*2</f>
        <v>1920</v>
      </c>
      <c r="S209" s="10">
        <v>1470</v>
      </c>
      <c r="Y209" s="14">
        <f t="shared" si="39"/>
        <v>0.765625</v>
      </c>
      <c r="Z209" s="14"/>
      <c r="AA209" s="14">
        <f t="shared" si="40"/>
        <v>0.765625</v>
      </c>
      <c r="AI209" s="26"/>
      <c r="AK209" s="10" t="s">
        <v>2</v>
      </c>
      <c r="AL209" s="10" t="s">
        <v>2</v>
      </c>
      <c r="AM209" s="10" t="s">
        <v>3</v>
      </c>
      <c r="AN209" s="10" t="s">
        <v>1923</v>
      </c>
    </row>
    <row r="210" spans="1:40" x14ac:dyDescent="0.3">
      <c r="A210" s="10" t="s">
        <v>1080</v>
      </c>
      <c r="B210" s="10" t="s">
        <v>477</v>
      </c>
      <c r="C210" s="10" t="s">
        <v>1078</v>
      </c>
      <c r="D210" s="10" t="s">
        <v>1077</v>
      </c>
      <c r="E210" s="10">
        <v>1991</v>
      </c>
      <c r="F210" s="10" t="s">
        <v>2654</v>
      </c>
      <c r="G210" s="10" t="s">
        <v>75</v>
      </c>
      <c r="H210" s="10" t="s">
        <v>17</v>
      </c>
      <c r="I210" s="10" t="s">
        <v>1081</v>
      </c>
      <c r="J210" s="10" t="s">
        <v>53</v>
      </c>
      <c r="K210" s="10" t="s">
        <v>1079</v>
      </c>
      <c r="L210" s="10">
        <v>5</v>
      </c>
      <c r="M210" s="10">
        <v>5</v>
      </c>
      <c r="N210" s="10"/>
      <c r="O210" s="10">
        <f>650*2</f>
        <v>1300</v>
      </c>
      <c r="P210" s="10"/>
      <c r="Q210" s="10"/>
      <c r="R210" s="10"/>
      <c r="S210" s="10">
        <v>909</v>
      </c>
      <c r="T210" s="10"/>
      <c r="U210" s="10"/>
      <c r="V210" s="10"/>
      <c r="W210" s="10"/>
      <c r="X210" s="10"/>
      <c r="Y210" s="14">
        <f t="shared" si="39"/>
        <v>0.69923076923076921</v>
      </c>
      <c r="Z210" s="14"/>
      <c r="AA210" s="14">
        <f t="shared" si="40"/>
        <v>0.69923076923076921</v>
      </c>
      <c r="AB210" s="10"/>
      <c r="AC210" s="10"/>
      <c r="AD210" s="10"/>
      <c r="AE210" s="10"/>
      <c r="AF210" s="10"/>
      <c r="AG210" s="10"/>
      <c r="AH210" s="10"/>
      <c r="AI210" s="10"/>
      <c r="AJ210" s="10"/>
      <c r="AK210" s="10" t="s">
        <v>2</v>
      </c>
      <c r="AL210" s="10" t="s">
        <v>2</v>
      </c>
      <c r="AM210" s="10" t="s">
        <v>3</v>
      </c>
      <c r="AN210" t="s">
        <v>2571</v>
      </c>
    </row>
    <row r="211" spans="1:40" x14ac:dyDescent="0.3">
      <c r="A211" s="10" t="s">
        <v>1080</v>
      </c>
      <c r="B211" s="10" t="s">
        <v>477</v>
      </c>
      <c r="C211" s="10" t="s">
        <v>1078</v>
      </c>
      <c r="D211" s="10" t="s">
        <v>1077</v>
      </c>
      <c r="E211" s="10">
        <v>1991</v>
      </c>
      <c r="F211" s="10" t="s">
        <v>2654</v>
      </c>
      <c r="G211" s="10" t="s">
        <v>75</v>
      </c>
      <c r="H211" s="10" t="s">
        <v>17</v>
      </c>
      <c r="I211" s="10" t="s">
        <v>1081</v>
      </c>
      <c r="J211" s="10" t="s">
        <v>53</v>
      </c>
      <c r="K211" s="10" t="s">
        <v>572</v>
      </c>
      <c r="L211" s="10">
        <v>5</v>
      </c>
      <c r="M211" s="10">
        <v>5</v>
      </c>
      <c r="N211" s="10"/>
      <c r="O211" s="10">
        <f>650*2</f>
        <v>1300</v>
      </c>
      <c r="P211" s="10"/>
      <c r="Q211" s="10"/>
      <c r="R211" s="10"/>
      <c r="S211" s="10">
        <v>996</v>
      </c>
      <c r="T211" s="10"/>
      <c r="U211" s="10"/>
      <c r="V211" s="10"/>
      <c r="W211" s="10"/>
      <c r="X211" s="10"/>
      <c r="Y211" s="14">
        <f t="shared" si="39"/>
        <v>0.76615384615384619</v>
      </c>
      <c r="Z211" s="14"/>
      <c r="AA211" s="14">
        <f t="shared" si="40"/>
        <v>0.76615384615384619</v>
      </c>
      <c r="AB211" s="10"/>
      <c r="AC211" s="10"/>
      <c r="AD211" s="10"/>
      <c r="AE211" s="10"/>
      <c r="AF211" s="10"/>
      <c r="AG211" s="10"/>
      <c r="AH211" s="10"/>
      <c r="AI211" s="10"/>
      <c r="AJ211" s="10"/>
      <c r="AK211" s="10" t="s">
        <v>2</v>
      </c>
      <c r="AL211" s="10" t="s">
        <v>2</v>
      </c>
      <c r="AM211" s="10" t="s">
        <v>3</v>
      </c>
      <c r="AN211" t="s">
        <v>2571</v>
      </c>
    </row>
    <row r="212" spans="1:40" x14ac:dyDescent="0.3">
      <c r="A212" s="10" t="s">
        <v>1080</v>
      </c>
      <c r="B212" s="10" t="s">
        <v>477</v>
      </c>
      <c r="C212" s="10" t="s">
        <v>1078</v>
      </c>
      <c r="D212" s="10" t="s">
        <v>1077</v>
      </c>
      <c r="E212" s="10">
        <v>1992</v>
      </c>
      <c r="F212" s="10" t="s">
        <v>2654</v>
      </c>
      <c r="G212" s="10" t="s">
        <v>75</v>
      </c>
      <c r="H212" s="10" t="s">
        <v>17</v>
      </c>
      <c r="I212" s="10" t="s">
        <v>1081</v>
      </c>
      <c r="J212" s="10" t="s">
        <v>53</v>
      </c>
      <c r="K212" s="10" t="s">
        <v>1079</v>
      </c>
      <c r="L212" s="10">
        <v>5</v>
      </c>
      <c r="M212" s="10">
        <v>5</v>
      </c>
      <c r="N212" s="10"/>
      <c r="O212" s="10">
        <f>587*2</f>
        <v>1174</v>
      </c>
      <c r="P212" s="10"/>
      <c r="Q212" s="10"/>
      <c r="R212" s="10"/>
      <c r="S212" s="10">
        <v>1272</v>
      </c>
      <c r="T212" s="10"/>
      <c r="U212" s="10"/>
      <c r="V212" s="10"/>
      <c r="W212" s="10"/>
      <c r="X212" s="10"/>
      <c r="Y212" s="14">
        <f t="shared" si="39"/>
        <v>1.0834752981260647</v>
      </c>
      <c r="Z212" s="14"/>
      <c r="AA212" s="14">
        <f t="shared" si="40"/>
        <v>1.0834752981260647</v>
      </c>
      <c r="AB212" s="10"/>
      <c r="AC212" s="10"/>
      <c r="AD212" s="10"/>
      <c r="AE212" s="10"/>
      <c r="AF212" s="10"/>
      <c r="AG212" s="10"/>
      <c r="AH212" s="10"/>
      <c r="AI212" s="10"/>
      <c r="AJ212" s="10"/>
      <c r="AK212" s="10" t="s">
        <v>2</v>
      </c>
      <c r="AL212" s="10" t="s">
        <v>2</v>
      </c>
      <c r="AM212" s="10" t="s">
        <v>3</v>
      </c>
      <c r="AN212" t="s">
        <v>2571</v>
      </c>
    </row>
    <row r="213" spans="1:40" x14ac:dyDescent="0.3">
      <c r="A213" s="10" t="s">
        <v>1080</v>
      </c>
      <c r="B213" s="10" t="s">
        <v>477</v>
      </c>
      <c r="C213" s="10" t="s">
        <v>1078</v>
      </c>
      <c r="D213" s="10" t="s">
        <v>1077</v>
      </c>
      <c r="E213" s="10">
        <v>1992</v>
      </c>
      <c r="F213" s="10" t="s">
        <v>2654</v>
      </c>
      <c r="G213" s="10" t="s">
        <v>75</v>
      </c>
      <c r="H213" s="10" t="s">
        <v>17</v>
      </c>
      <c r="I213" s="10" t="s">
        <v>1081</v>
      </c>
      <c r="J213" s="10" t="s">
        <v>53</v>
      </c>
      <c r="K213" s="10" t="s">
        <v>572</v>
      </c>
      <c r="L213" s="10">
        <v>5</v>
      </c>
      <c r="M213" s="10">
        <v>5</v>
      </c>
      <c r="N213" s="10"/>
      <c r="O213" s="10">
        <f>587*2</f>
        <v>1174</v>
      </c>
      <c r="P213" s="10"/>
      <c r="Q213" s="10"/>
      <c r="R213" s="10"/>
      <c r="S213" s="10">
        <v>1245</v>
      </c>
      <c r="T213" s="10"/>
      <c r="U213" s="10"/>
      <c r="V213" s="10"/>
      <c r="W213" s="10"/>
      <c r="X213" s="10"/>
      <c r="Y213" s="14">
        <f t="shared" si="39"/>
        <v>1.0604770017035776</v>
      </c>
      <c r="Z213" s="14"/>
      <c r="AA213" s="14">
        <f t="shared" si="40"/>
        <v>1.0604770017035776</v>
      </c>
      <c r="AB213" s="10"/>
      <c r="AC213" s="10"/>
      <c r="AD213" s="10"/>
      <c r="AE213" s="10"/>
      <c r="AF213" s="10"/>
      <c r="AG213" s="10"/>
      <c r="AH213" s="10"/>
      <c r="AI213" s="10"/>
      <c r="AJ213" s="10"/>
      <c r="AK213" s="10" t="s">
        <v>2</v>
      </c>
      <c r="AL213" s="10" t="s">
        <v>2</v>
      </c>
      <c r="AM213" s="10" t="s">
        <v>3</v>
      </c>
      <c r="AN213" t="s">
        <v>2571</v>
      </c>
    </row>
    <row r="214" spans="1:40" x14ac:dyDescent="0.3">
      <c r="A214" s="10" t="s">
        <v>1080</v>
      </c>
      <c r="B214" s="10" t="s">
        <v>477</v>
      </c>
      <c r="C214" s="10" t="s">
        <v>1078</v>
      </c>
      <c r="D214" s="10" t="s">
        <v>1077</v>
      </c>
      <c r="E214" s="10">
        <v>1993</v>
      </c>
      <c r="F214" s="10" t="s">
        <v>2654</v>
      </c>
      <c r="G214" s="10" t="s">
        <v>75</v>
      </c>
      <c r="H214" s="10" t="s">
        <v>17</v>
      </c>
      <c r="I214" s="10" t="s">
        <v>1081</v>
      </c>
      <c r="J214" s="10" t="s">
        <v>56</v>
      </c>
      <c r="K214" s="10" t="s">
        <v>1079</v>
      </c>
      <c r="L214" s="10">
        <v>5</v>
      </c>
      <c r="M214" s="10">
        <v>5</v>
      </c>
      <c r="N214" s="10"/>
      <c r="O214" s="10">
        <f>758*2</f>
        <v>1516</v>
      </c>
      <c r="P214" s="10"/>
      <c r="Q214" s="10"/>
      <c r="R214" s="10"/>
      <c r="S214" s="10">
        <v>997</v>
      </c>
      <c r="T214" s="10"/>
      <c r="U214" s="10"/>
      <c r="V214" s="10"/>
      <c r="W214" s="10"/>
      <c r="X214" s="10"/>
      <c r="Y214" s="14">
        <f t="shared" si="39"/>
        <v>0.65765171503957787</v>
      </c>
      <c r="Z214" s="14"/>
      <c r="AA214" s="14">
        <f t="shared" si="40"/>
        <v>0.65765171503957787</v>
      </c>
      <c r="AB214" s="10"/>
      <c r="AC214" s="10"/>
      <c r="AD214" s="10"/>
      <c r="AE214" s="10"/>
      <c r="AF214" s="10"/>
      <c r="AG214" s="10"/>
      <c r="AH214" s="10"/>
      <c r="AI214" s="10"/>
      <c r="AJ214" s="10"/>
      <c r="AK214" s="10" t="s">
        <v>2</v>
      </c>
      <c r="AL214" s="10" t="s">
        <v>2</v>
      </c>
      <c r="AM214" s="10" t="s">
        <v>3</v>
      </c>
      <c r="AN214" t="s">
        <v>2571</v>
      </c>
    </row>
    <row r="215" spans="1:40" x14ac:dyDescent="0.3">
      <c r="A215" s="10" t="s">
        <v>1080</v>
      </c>
      <c r="B215" s="10" t="s">
        <v>477</v>
      </c>
      <c r="C215" s="10" t="s">
        <v>1078</v>
      </c>
      <c r="D215" s="10" t="s">
        <v>1077</v>
      </c>
      <c r="E215" s="10">
        <v>1993</v>
      </c>
      <c r="F215" s="10" t="s">
        <v>2654</v>
      </c>
      <c r="G215" s="10" t="s">
        <v>75</v>
      </c>
      <c r="H215" s="10" t="s">
        <v>17</v>
      </c>
      <c r="I215" s="10" t="s">
        <v>1081</v>
      </c>
      <c r="J215" s="10" t="s">
        <v>56</v>
      </c>
      <c r="K215" s="10" t="s">
        <v>572</v>
      </c>
      <c r="L215" s="10">
        <v>5</v>
      </c>
      <c r="M215" s="10">
        <v>5</v>
      </c>
      <c r="N215" s="10"/>
      <c r="O215" s="10">
        <f>758*2</f>
        <v>1516</v>
      </c>
      <c r="P215" s="10"/>
      <c r="Q215" s="10"/>
      <c r="R215" s="10"/>
      <c r="S215" s="10">
        <v>920</v>
      </c>
      <c r="T215" s="10"/>
      <c r="U215" s="10"/>
      <c r="V215" s="10"/>
      <c r="W215" s="10"/>
      <c r="X215" s="10"/>
      <c r="Y215" s="14">
        <f t="shared" si="39"/>
        <v>0.60686015831134565</v>
      </c>
      <c r="Z215" s="14"/>
      <c r="AA215" s="14">
        <f t="shared" si="40"/>
        <v>0.60686015831134565</v>
      </c>
      <c r="AB215" s="10"/>
      <c r="AC215" s="10"/>
      <c r="AD215" s="10"/>
      <c r="AE215" s="10"/>
      <c r="AF215" s="10"/>
      <c r="AG215" s="10"/>
      <c r="AH215" s="10"/>
      <c r="AI215" s="10"/>
      <c r="AJ215" s="10"/>
      <c r="AK215" s="10" t="s">
        <v>2</v>
      </c>
      <c r="AL215" s="10" t="s">
        <v>2</v>
      </c>
      <c r="AM215" s="10" t="s">
        <v>3</v>
      </c>
      <c r="AN215" t="s">
        <v>2571</v>
      </c>
    </row>
    <row r="216" spans="1:40" x14ac:dyDescent="0.3">
      <c r="A216" s="10" t="s">
        <v>1080</v>
      </c>
      <c r="B216" s="10" t="s">
        <v>477</v>
      </c>
      <c r="C216" s="10" t="s">
        <v>1078</v>
      </c>
      <c r="D216" s="10" t="s">
        <v>1077</v>
      </c>
      <c r="E216" s="10">
        <v>1994</v>
      </c>
      <c r="F216" s="10" t="s">
        <v>2654</v>
      </c>
      <c r="G216" s="10" t="s">
        <v>75</v>
      </c>
      <c r="H216" s="10" t="s">
        <v>17</v>
      </c>
      <c r="I216" s="10" t="s">
        <v>1081</v>
      </c>
      <c r="J216" s="10" t="s">
        <v>56</v>
      </c>
      <c r="K216" s="10" t="s">
        <v>1079</v>
      </c>
      <c r="L216" s="10">
        <v>5</v>
      </c>
      <c r="M216" s="10">
        <v>5</v>
      </c>
      <c r="N216" s="10"/>
      <c r="O216" s="10">
        <f>1088*2</f>
        <v>2176</v>
      </c>
      <c r="P216" s="10"/>
      <c r="Q216" s="10"/>
      <c r="R216" s="10"/>
      <c r="S216" s="10">
        <v>1207</v>
      </c>
      <c r="T216" s="10"/>
      <c r="U216" s="10">
        <v>702</v>
      </c>
      <c r="V216" s="10"/>
      <c r="W216" s="10"/>
      <c r="X216" s="10"/>
      <c r="Y216" s="14">
        <f t="shared" si="39"/>
        <v>0.5546875</v>
      </c>
      <c r="Z216" s="14"/>
      <c r="AA216" s="14">
        <f t="shared" si="40"/>
        <v>0.5546875</v>
      </c>
      <c r="AB216" s="10"/>
      <c r="AC216" s="10"/>
      <c r="AD216" s="10"/>
      <c r="AE216" s="10"/>
      <c r="AF216" s="10"/>
      <c r="AG216" s="10"/>
      <c r="AH216" s="10"/>
      <c r="AI216" s="10"/>
      <c r="AJ216" s="10"/>
      <c r="AK216" s="10" t="s">
        <v>2</v>
      </c>
      <c r="AL216" s="10" t="s">
        <v>2</v>
      </c>
      <c r="AM216" s="10" t="s">
        <v>3</v>
      </c>
      <c r="AN216" t="s">
        <v>2571</v>
      </c>
    </row>
    <row r="217" spans="1:40" x14ac:dyDescent="0.3">
      <c r="A217" s="10" t="s">
        <v>1080</v>
      </c>
      <c r="B217" s="10" t="s">
        <v>477</v>
      </c>
      <c r="C217" s="10" t="s">
        <v>1078</v>
      </c>
      <c r="D217" s="10" t="s">
        <v>1077</v>
      </c>
      <c r="E217" s="10">
        <v>1994</v>
      </c>
      <c r="F217" s="10" t="s">
        <v>2654</v>
      </c>
      <c r="G217" s="10" t="s">
        <v>75</v>
      </c>
      <c r="H217" s="10" t="s">
        <v>17</v>
      </c>
      <c r="I217" s="10" t="s">
        <v>1081</v>
      </c>
      <c r="J217" s="10" t="s">
        <v>56</v>
      </c>
      <c r="K217" s="10" t="s">
        <v>572</v>
      </c>
      <c r="L217" s="10">
        <v>5</v>
      </c>
      <c r="M217" s="10">
        <v>5</v>
      </c>
      <c r="N217" s="10"/>
      <c r="O217" s="10">
        <f>1088*2</f>
        <v>2176</v>
      </c>
      <c r="P217" s="10"/>
      <c r="Q217" s="10"/>
      <c r="R217" s="10"/>
      <c r="S217" s="10">
        <v>1133</v>
      </c>
      <c r="T217" s="10"/>
      <c r="U217" s="10">
        <v>1375</v>
      </c>
      <c r="V217" s="10"/>
      <c r="W217" s="10"/>
      <c r="X217" s="10"/>
      <c r="Y217" s="14">
        <f t="shared" si="39"/>
        <v>0.52068014705882348</v>
      </c>
      <c r="Z217" s="14"/>
      <c r="AA217" s="14">
        <f t="shared" si="40"/>
        <v>0.52068014705882348</v>
      </c>
      <c r="AB217" s="10"/>
      <c r="AC217" s="10"/>
      <c r="AD217" s="10"/>
      <c r="AE217" s="10"/>
      <c r="AF217" s="10"/>
      <c r="AG217" s="10"/>
      <c r="AH217" s="10"/>
      <c r="AI217" s="10"/>
      <c r="AJ217" s="10"/>
      <c r="AK217" s="10" t="s">
        <v>2</v>
      </c>
      <c r="AL217" s="10" t="s">
        <v>2</v>
      </c>
      <c r="AM217" s="10" t="s">
        <v>3</v>
      </c>
      <c r="AN217" t="s">
        <v>2571</v>
      </c>
    </row>
    <row r="218" spans="1:40" x14ac:dyDescent="0.3">
      <c r="A218" s="10" t="s">
        <v>1080</v>
      </c>
      <c r="B218" s="10" t="s">
        <v>477</v>
      </c>
      <c r="C218" s="10" t="s">
        <v>1078</v>
      </c>
      <c r="D218" s="10" t="s">
        <v>1077</v>
      </c>
      <c r="E218" s="10">
        <v>1995</v>
      </c>
      <c r="F218" s="10" t="s">
        <v>2654</v>
      </c>
      <c r="G218" s="10" t="s">
        <v>75</v>
      </c>
      <c r="H218" s="10" t="s">
        <v>17</v>
      </c>
      <c r="I218" s="10" t="s">
        <v>1081</v>
      </c>
      <c r="J218" s="10" t="s">
        <v>56</v>
      </c>
      <c r="K218" s="10" t="s">
        <v>1079</v>
      </c>
      <c r="L218" s="10">
        <v>5</v>
      </c>
      <c r="M218" s="10">
        <v>5</v>
      </c>
      <c r="N218" s="10"/>
      <c r="O218" s="10">
        <f>916*2</f>
        <v>1832</v>
      </c>
      <c r="P218" s="10"/>
      <c r="Q218" s="10"/>
      <c r="R218" s="10"/>
      <c r="S218" s="10">
        <v>976</v>
      </c>
      <c r="T218" s="10"/>
      <c r="U218" s="10">
        <v>1487</v>
      </c>
      <c r="V218" s="10"/>
      <c r="W218" s="10"/>
      <c r="X218" s="10"/>
      <c r="Y218" s="14">
        <f t="shared" si="39"/>
        <v>0.53275109170305679</v>
      </c>
      <c r="Z218" s="14"/>
      <c r="AA218" s="14">
        <f t="shared" si="40"/>
        <v>0.53275109170305679</v>
      </c>
      <c r="AB218" s="10"/>
      <c r="AC218" s="10"/>
      <c r="AD218" s="10"/>
      <c r="AE218" s="10"/>
      <c r="AF218" s="10"/>
      <c r="AG218" s="10"/>
      <c r="AH218" s="10"/>
      <c r="AI218" s="10"/>
      <c r="AJ218" s="10"/>
      <c r="AK218" s="10" t="s">
        <v>2</v>
      </c>
      <c r="AL218" s="10" t="s">
        <v>2</v>
      </c>
      <c r="AM218" s="10" t="s">
        <v>3</v>
      </c>
      <c r="AN218" t="s">
        <v>2571</v>
      </c>
    </row>
    <row r="219" spans="1:40" x14ac:dyDescent="0.3">
      <c r="A219" s="10" t="s">
        <v>1080</v>
      </c>
      <c r="B219" s="10" t="s">
        <v>477</v>
      </c>
      <c r="C219" s="10" t="s">
        <v>1078</v>
      </c>
      <c r="D219" s="10" t="s">
        <v>1077</v>
      </c>
      <c r="E219" s="10">
        <v>1995</v>
      </c>
      <c r="F219" s="10" t="s">
        <v>2654</v>
      </c>
      <c r="G219" s="10" t="s">
        <v>75</v>
      </c>
      <c r="H219" s="10" t="s">
        <v>17</v>
      </c>
      <c r="I219" s="10" t="s">
        <v>1081</v>
      </c>
      <c r="J219" s="10" t="s">
        <v>56</v>
      </c>
      <c r="K219" s="10" t="s">
        <v>572</v>
      </c>
      <c r="L219" s="10">
        <v>5</v>
      </c>
      <c r="M219" s="10">
        <v>5</v>
      </c>
      <c r="N219" s="10"/>
      <c r="O219" s="10">
        <f>916*2</f>
        <v>1832</v>
      </c>
      <c r="P219" s="10"/>
      <c r="Q219" s="10"/>
      <c r="R219" s="10"/>
      <c r="S219" s="10">
        <v>1188</v>
      </c>
      <c r="T219" s="10"/>
      <c r="U219" s="10">
        <v>779</v>
      </c>
      <c r="V219" s="10"/>
      <c r="W219" s="10"/>
      <c r="X219" s="10"/>
      <c r="Y219" s="14">
        <f t="shared" si="39"/>
        <v>0.64847161572052403</v>
      </c>
      <c r="Z219" s="14"/>
      <c r="AA219" s="14">
        <f t="shared" si="40"/>
        <v>0.64847161572052403</v>
      </c>
      <c r="AB219" s="10"/>
      <c r="AC219" s="10"/>
      <c r="AD219" s="10"/>
      <c r="AE219" s="10"/>
      <c r="AF219" s="10"/>
      <c r="AG219" s="10"/>
      <c r="AH219" s="10"/>
      <c r="AI219" s="10"/>
      <c r="AJ219" s="10"/>
      <c r="AK219" s="10" t="s">
        <v>2</v>
      </c>
      <c r="AL219" s="10" t="s">
        <v>2</v>
      </c>
      <c r="AM219" s="10" t="s">
        <v>3</v>
      </c>
      <c r="AN219" t="s">
        <v>2571</v>
      </c>
    </row>
    <row r="220" spans="1:40" x14ac:dyDescent="0.3">
      <c r="A220" s="10" t="s">
        <v>1080</v>
      </c>
      <c r="B220" s="10" t="s">
        <v>477</v>
      </c>
      <c r="C220" s="10" t="s">
        <v>1078</v>
      </c>
      <c r="D220" s="10" t="s">
        <v>1077</v>
      </c>
      <c r="E220" s="10">
        <v>1996</v>
      </c>
      <c r="F220" s="10" t="s">
        <v>2654</v>
      </c>
      <c r="G220" s="10" t="s">
        <v>75</v>
      </c>
      <c r="H220" s="10" t="s">
        <v>17</v>
      </c>
      <c r="I220" s="10" t="s">
        <v>1081</v>
      </c>
      <c r="J220" s="10" t="s">
        <v>56</v>
      </c>
      <c r="K220" s="10" t="s">
        <v>1079</v>
      </c>
      <c r="L220" s="10">
        <v>5</v>
      </c>
      <c r="M220" s="10">
        <v>5</v>
      </c>
      <c r="N220" s="10"/>
      <c r="O220" s="10">
        <f>1148*2</f>
        <v>2296</v>
      </c>
      <c r="P220" s="10"/>
      <c r="Q220" s="10"/>
      <c r="R220" s="10"/>
      <c r="S220" s="10">
        <v>1630</v>
      </c>
      <c r="T220" s="10"/>
      <c r="U220" s="10">
        <v>1230</v>
      </c>
      <c r="V220" s="10"/>
      <c r="W220" s="10"/>
      <c r="X220" s="10"/>
      <c r="Y220" s="14">
        <f t="shared" si="39"/>
        <v>0.70993031358885017</v>
      </c>
      <c r="Z220" s="14"/>
      <c r="AA220" s="14">
        <f t="shared" si="40"/>
        <v>0.70993031358885017</v>
      </c>
      <c r="AB220" s="10"/>
      <c r="AC220" s="10"/>
      <c r="AD220" s="10"/>
      <c r="AE220" s="10"/>
      <c r="AF220" s="10"/>
      <c r="AG220" s="10"/>
      <c r="AH220" s="10"/>
      <c r="AI220" s="10"/>
      <c r="AJ220" s="10"/>
      <c r="AK220" s="10" t="s">
        <v>2</v>
      </c>
      <c r="AL220" s="10" t="s">
        <v>2</v>
      </c>
      <c r="AM220" s="10" t="s">
        <v>3</v>
      </c>
      <c r="AN220" t="s">
        <v>2571</v>
      </c>
    </row>
    <row r="221" spans="1:40" x14ac:dyDescent="0.3">
      <c r="A221" s="10" t="s">
        <v>1080</v>
      </c>
      <c r="B221" s="10" t="s">
        <v>477</v>
      </c>
      <c r="C221" s="10" t="s">
        <v>1078</v>
      </c>
      <c r="D221" s="10" t="s">
        <v>1077</v>
      </c>
      <c r="E221" s="10">
        <v>1996</v>
      </c>
      <c r="F221" s="10" t="s">
        <v>2654</v>
      </c>
      <c r="G221" s="10" t="s">
        <v>75</v>
      </c>
      <c r="H221" s="10" t="s">
        <v>17</v>
      </c>
      <c r="I221" s="10" t="s">
        <v>1081</v>
      </c>
      <c r="J221" s="10" t="s">
        <v>56</v>
      </c>
      <c r="K221" s="10" t="s">
        <v>572</v>
      </c>
      <c r="L221" s="10">
        <v>5</v>
      </c>
      <c r="M221" s="10">
        <v>5</v>
      </c>
      <c r="N221" s="10"/>
      <c r="O221" s="10">
        <f>1148*2</f>
        <v>2296</v>
      </c>
      <c r="P221" s="10"/>
      <c r="Q221" s="10"/>
      <c r="R221" s="10"/>
      <c r="S221" s="10">
        <v>1747</v>
      </c>
      <c r="T221" s="10"/>
      <c r="U221" s="10">
        <v>667</v>
      </c>
      <c r="V221" s="10"/>
      <c r="W221" s="10"/>
      <c r="X221" s="10"/>
      <c r="Y221" s="14">
        <f t="shared" si="39"/>
        <v>0.76088850174216027</v>
      </c>
      <c r="Z221" s="14"/>
      <c r="AA221" s="14">
        <f t="shared" si="40"/>
        <v>0.76088850174216027</v>
      </c>
      <c r="AB221" s="10"/>
      <c r="AC221" s="10"/>
      <c r="AD221" s="10"/>
      <c r="AE221" s="10"/>
      <c r="AF221" s="10"/>
      <c r="AG221" s="10"/>
      <c r="AH221" s="10"/>
      <c r="AI221" s="10"/>
      <c r="AJ221" s="10"/>
      <c r="AK221" s="10" t="s">
        <v>2</v>
      </c>
      <c r="AL221" s="10" t="s">
        <v>2</v>
      </c>
      <c r="AM221" s="10" t="s">
        <v>3</v>
      </c>
      <c r="AN221" t="s">
        <v>2571</v>
      </c>
    </row>
    <row r="222" spans="1:40" x14ac:dyDescent="0.3">
      <c r="A222" s="10" t="s">
        <v>1080</v>
      </c>
      <c r="B222" s="10" t="s">
        <v>477</v>
      </c>
      <c r="C222" s="10" t="s">
        <v>1078</v>
      </c>
      <c r="D222" s="10" t="s">
        <v>1077</v>
      </c>
      <c r="E222" s="10">
        <v>1997</v>
      </c>
      <c r="F222" s="10" t="s">
        <v>2654</v>
      </c>
      <c r="G222" s="10" t="s">
        <v>75</v>
      </c>
      <c r="H222" s="10" t="s">
        <v>17</v>
      </c>
      <c r="I222" s="10" t="s">
        <v>1081</v>
      </c>
      <c r="J222" s="10" t="s">
        <v>56</v>
      </c>
      <c r="K222" s="10" t="s">
        <v>1079</v>
      </c>
      <c r="L222" s="10">
        <v>5</v>
      </c>
      <c r="M222" s="10">
        <v>5</v>
      </c>
      <c r="N222" s="10"/>
      <c r="O222" s="10">
        <f>814*2</f>
        <v>1628</v>
      </c>
      <c r="P222" s="10"/>
      <c r="Q222" s="10"/>
      <c r="R222" s="10"/>
      <c r="S222" s="10">
        <v>1010</v>
      </c>
      <c r="T222" s="10"/>
      <c r="U222" s="10">
        <v>723</v>
      </c>
      <c r="V222" s="10"/>
      <c r="W222" s="10"/>
      <c r="X222" s="10"/>
      <c r="Y222" s="14">
        <f t="shared" si="39"/>
        <v>0.62039312039312045</v>
      </c>
      <c r="Z222" s="14"/>
      <c r="AA222" s="14">
        <f t="shared" si="40"/>
        <v>0.62039312039312045</v>
      </c>
      <c r="AB222" s="10"/>
      <c r="AC222" s="10"/>
      <c r="AD222" s="10"/>
      <c r="AE222" s="10"/>
      <c r="AF222" s="10"/>
      <c r="AG222" s="10"/>
      <c r="AH222" s="10"/>
      <c r="AI222" s="10"/>
      <c r="AJ222" s="10"/>
      <c r="AK222" s="10" t="s">
        <v>2</v>
      </c>
      <c r="AL222" s="10" t="s">
        <v>2</v>
      </c>
      <c r="AM222" s="10" t="s">
        <v>3</v>
      </c>
      <c r="AN222" t="s">
        <v>2571</v>
      </c>
    </row>
    <row r="223" spans="1:40" x14ac:dyDescent="0.3">
      <c r="A223" s="10" t="s">
        <v>1080</v>
      </c>
      <c r="B223" s="10" t="s">
        <v>477</v>
      </c>
      <c r="C223" s="10" t="s">
        <v>1078</v>
      </c>
      <c r="D223" s="10" t="s">
        <v>1077</v>
      </c>
      <c r="E223" s="10">
        <v>1997</v>
      </c>
      <c r="F223" s="10" t="s">
        <v>2654</v>
      </c>
      <c r="G223" s="10" t="s">
        <v>75</v>
      </c>
      <c r="H223" s="10" t="s">
        <v>17</v>
      </c>
      <c r="I223" s="10" t="s">
        <v>1081</v>
      </c>
      <c r="J223" s="10" t="s">
        <v>56</v>
      </c>
      <c r="K223" s="10" t="s">
        <v>572</v>
      </c>
      <c r="L223" s="10">
        <v>5</v>
      </c>
      <c r="M223" s="10">
        <v>5</v>
      </c>
      <c r="N223" s="10"/>
      <c r="O223" s="10">
        <f>814*2</f>
        <v>1628</v>
      </c>
      <c r="P223" s="10"/>
      <c r="Q223" s="10"/>
      <c r="R223" s="10"/>
      <c r="S223" s="10">
        <v>1307</v>
      </c>
      <c r="T223" s="10"/>
      <c r="U223" s="10">
        <v>1682</v>
      </c>
      <c r="V223" s="10"/>
      <c r="W223" s="10"/>
      <c r="X223" s="10"/>
      <c r="Y223" s="14">
        <f t="shared" si="39"/>
        <v>0.80282555282555279</v>
      </c>
      <c r="Z223" s="14"/>
      <c r="AA223" s="14">
        <f t="shared" si="40"/>
        <v>0.80282555282555279</v>
      </c>
      <c r="AB223" s="10"/>
      <c r="AC223" s="10"/>
      <c r="AD223" s="10"/>
      <c r="AE223" s="10"/>
      <c r="AF223" s="10"/>
      <c r="AG223" s="10"/>
      <c r="AH223" s="10"/>
      <c r="AI223" s="10"/>
      <c r="AJ223" s="10"/>
      <c r="AK223" s="10" t="s">
        <v>2</v>
      </c>
      <c r="AL223" s="10" t="s">
        <v>2</v>
      </c>
      <c r="AM223" s="10" t="s">
        <v>3</v>
      </c>
      <c r="AN223" t="s">
        <v>2571</v>
      </c>
    </row>
    <row r="224" spans="1:40" x14ac:dyDescent="0.3">
      <c r="A224" s="10" t="s">
        <v>1080</v>
      </c>
      <c r="B224" s="10" t="s">
        <v>477</v>
      </c>
      <c r="C224" s="10" t="s">
        <v>1078</v>
      </c>
      <c r="D224" s="10" t="s">
        <v>1077</v>
      </c>
      <c r="E224" s="10">
        <v>1998</v>
      </c>
      <c r="F224" s="10" t="s">
        <v>2654</v>
      </c>
      <c r="G224" s="10" t="s">
        <v>75</v>
      </c>
      <c r="H224" s="10" t="s">
        <v>17</v>
      </c>
      <c r="I224" s="10" t="s">
        <v>1081</v>
      </c>
      <c r="J224" s="10" t="s">
        <v>56</v>
      </c>
      <c r="K224" s="10" t="s">
        <v>1079</v>
      </c>
      <c r="L224" s="10">
        <v>5</v>
      </c>
      <c r="M224" s="10">
        <v>5</v>
      </c>
      <c r="N224" s="10"/>
      <c r="O224" s="10">
        <f>877*2</f>
        <v>1754</v>
      </c>
      <c r="P224" s="10"/>
      <c r="Q224" s="10"/>
      <c r="R224" s="10"/>
      <c r="S224" s="10">
        <v>1324</v>
      </c>
      <c r="T224" s="10"/>
      <c r="U224" s="10">
        <v>978</v>
      </c>
      <c r="V224" s="10"/>
      <c r="W224" s="10"/>
      <c r="X224" s="10"/>
      <c r="Y224" s="14">
        <f t="shared" si="39"/>
        <v>0.75484606613454963</v>
      </c>
      <c r="Z224" s="14"/>
      <c r="AA224" s="14">
        <f t="shared" si="40"/>
        <v>0.75484606613454963</v>
      </c>
      <c r="AB224" s="10"/>
      <c r="AC224" s="10"/>
      <c r="AD224" s="10"/>
      <c r="AE224" s="10"/>
      <c r="AF224" s="10"/>
      <c r="AG224" s="10"/>
      <c r="AH224" s="10"/>
      <c r="AI224" s="10"/>
      <c r="AJ224" s="10"/>
      <c r="AK224" s="10" t="s">
        <v>2</v>
      </c>
      <c r="AL224" s="10" t="s">
        <v>2</v>
      </c>
      <c r="AM224" s="10" t="s">
        <v>3</v>
      </c>
      <c r="AN224" t="s">
        <v>2571</v>
      </c>
    </row>
    <row r="225" spans="1:40" x14ac:dyDescent="0.3">
      <c r="A225" s="10" t="s">
        <v>1080</v>
      </c>
      <c r="B225" s="10" t="s">
        <v>477</v>
      </c>
      <c r="C225" s="10" t="s">
        <v>1078</v>
      </c>
      <c r="D225" s="10" t="s">
        <v>1077</v>
      </c>
      <c r="E225" s="10">
        <v>1988</v>
      </c>
      <c r="F225" s="10" t="s">
        <v>2654</v>
      </c>
      <c r="G225" s="10" t="s">
        <v>75</v>
      </c>
      <c r="H225" s="10" t="s">
        <v>17</v>
      </c>
      <c r="I225" s="10" t="s">
        <v>1081</v>
      </c>
      <c r="J225" s="10" t="s">
        <v>56</v>
      </c>
      <c r="K225" s="10" t="s">
        <v>572</v>
      </c>
      <c r="L225" s="10">
        <v>5</v>
      </c>
      <c r="M225" s="10">
        <v>5</v>
      </c>
      <c r="N225" s="10"/>
      <c r="O225" s="10">
        <f>877*2</f>
        <v>1754</v>
      </c>
      <c r="P225" s="10"/>
      <c r="Q225" s="10"/>
      <c r="R225" s="10"/>
      <c r="S225" s="10">
        <v>1421</v>
      </c>
      <c r="T225" s="10"/>
      <c r="U225" s="10">
        <v>933</v>
      </c>
      <c r="V225" s="10"/>
      <c r="W225" s="10"/>
      <c r="X225" s="10"/>
      <c r="Y225" s="14">
        <f t="shared" si="39"/>
        <v>0.81014823261117441</v>
      </c>
      <c r="Z225" s="14"/>
      <c r="AA225" s="14">
        <f t="shared" si="40"/>
        <v>0.81014823261117441</v>
      </c>
      <c r="AB225" s="10"/>
      <c r="AC225" s="10"/>
      <c r="AD225" s="10"/>
      <c r="AE225" s="10"/>
      <c r="AF225" s="10"/>
      <c r="AG225" s="10"/>
      <c r="AH225" s="10"/>
      <c r="AI225" s="10"/>
      <c r="AJ225" s="10"/>
      <c r="AK225" s="10" t="s">
        <v>2</v>
      </c>
      <c r="AL225" s="10" t="s">
        <v>2</v>
      </c>
      <c r="AM225" s="10" t="s">
        <v>3</v>
      </c>
      <c r="AN225" t="s">
        <v>2571</v>
      </c>
    </row>
    <row r="226" spans="1:40" x14ac:dyDescent="0.3">
      <c r="A226" s="10" t="s">
        <v>1080</v>
      </c>
      <c r="B226" s="10" t="s">
        <v>477</v>
      </c>
      <c r="C226" s="10" t="s">
        <v>1078</v>
      </c>
      <c r="D226" s="10" t="s">
        <v>1077</v>
      </c>
      <c r="E226" s="10">
        <v>1991</v>
      </c>
      <c r="F226" s="10" t="s">
        <v>2654</v>
      </c>
      <c r="G226" s="10" t="s">
        <v>75</v>
      </c>
      <c r="H226" s="10" t="s">
        <v>17</v>
      </c>
      <c r="I226" s="10" t="s">
        <v>1082</v>
      </c>
      <c r="J226" s="10" t="s">
        <v>53</v>
      </c>
      <c r="K226" s="10" t="s">
        <v>1079</v>
      </c>
      <c r="L226" s="10">
        <v>5</v>
      </c>
      <c r="M226" s="10">
        <v>5</v>
      </c>
      <c r="N226" s="10"/>
      <c r="O226" s="10">
        <f>972*2</f>
        <v>1944</v>
      </c>
      <c r="P226" s="10"/>
      <c r="Q226" s="10"/>
      <c r="R226" s="10"/>
      <c r="S226" s="10">
        <v>982</v>
      </c>
      <c r="T226" s="10"/>
      <c r="U226" s="10"/>
      <c r="V226" s="10"/>
      <c r="W226" s="10"/>
      <c r="X226" s="10"/>
      <c r="Y226" s="14">
        <f t="shared" si="39"/>
        <v>0.50514403292181065</v>
      </c>
      <c r="Z226" s="14"/>
      <c r="AA226" s="14">
        <f t="shared" si="40"/>
        <v>0.50514403292181065</v>
      </c>
      <c r="AB226" s="10"/>
      <c r="AC226" s="10"/>
      <c r="AD226" s="10"/>
      <c r="AE226" s="10"/>
      <c r="AF226" s="10"/>
      <c r="AG226" s="10"/>
      <c r="AH226" s="10"/>
      <c r="AI226" s="10"/>
      <c r="AJ226" s="10"/>
      <c r="AK226" s="10" t="s">
        <v>2</v>
      </c>
      <c r="AL226" s="10" t="s">
        <v>2</v>
      </c>
      <c r="AM226" s="10" t="s">
        <v>3</v>
      </c>
      <c r="AN226" t="s">
        <v>2571</v>
      </c>
    </row>
    <row r="227" spans="1:40" x14ac:dyDescent="0.3">
      <c r="A227" s="10" t="s">
        <v>1080</v>
      </c>
      <c r="B227" s="10" t="s">
        <v>477</v>
      </c>
      <c r="C227" s="10" t="s">
        <v>1078</v>
      </c>
      <c r="D227" s="10" t="s">
        <v>1077</v>
      </c>
      <c r="E227" s="10">
        <v>1991</v>
      </c>
      <c r="F227" s="10" t="s">
        <v>2654</v>
      </c>
      <c r="G227" s="10" t="s">
        <v>75</v>
      </c>
      <c r="H227" s="10" t="s">
        <v>17</v>
      </c>
      <c r="I227" s="10" t="s">
        <v>1082</v>
      </c>
      <c r="J227" s="10" t="s">
        <v>53</v>
      </c>
      <c r="K227" s="10" t="s">
        <v>572</v>
      </c>
      <c r="L227" s="10">
        <v>5</v>
      </c>
      <c r="M227" s="10">
        <v>5</v>
      </c>
      <c r="N227" s="10"/>
      <c r="O227" s="10">
        <f>972*2</f>
        <v>1944</v>
      </c>
      <c r="P227" s="10"/>
      <c r="Q227" s="10"/>
      <c r="R227" s="10"/>
      <c r="S227" s="10">
        <v>979</v>
      </c>
      <c r="T227" s="10"/>
      <c r="U227" s="10"/>
      <c r="V227" s="10"/>
      <c r="W227" s="10"/>
      <c r="X227" s="10"/>
      <c r="Y227" s="14">
        <f t="shared" si="39"/>
        <v>0.50360082304526754</v>
      </c>
      <c r="Z227" s="14"/>
      <c r="AA227" s="14">
        <f t="shared" si="40"/>
        <v>0.50360082304526754</v>
      </c>
      <c r="AB227" s="10"/>
      <c r="AC227" s="10"/>
      <c r="AD227" s="10"/>
      <c r="AE227" s="10"/>
      <c r="AF227" s="10"/>
      <c r="AG227" s="10"/>
      <c r="AH227" s="10"/>
      <c r="AI227" s="10"/>
      <c r="AJ227" s="10"/>
      <c r="AK227" s="10" t="s">
        <v>2</v>
      </c>
      <c r="AL227" s="10" t="s">
        <v>2</v>
      </c>
      <c r="AM227" s="10" t="s">
        <v>3</v>
      </c>
      <c r="AN227" t="s">
        <v>2571</v>
      </c>
    </row>
    <row r="228" spans="1:40" x14ac:dyDescent="0.3">
      <c r="A228" s="10" t="s">
        <v>1080</v>
      </c>
      <c r="B228" s="10" t="s">
        <v>477</v>
      </c>
      <c r="C228" s="10" t="s">
        <v>1078</v>
      </c>
      <c r="D228" s="10" t="s">
        <v>1077</v>
      </c>
      <c r="E228" s="10">
        <v>1992</v>
      </c>
      <c r="F228" s="10" t="s">
        <v>2654</v>
      </c>
      <c r="G228" s="10" t="s">
        <v>75</v>
      </c>
      <c r="H228" s="10" t="s">
        <v>17</v>
      </c>
      <c r="I228" s="10" t="s">
        <v>1082</v>
      </c>
      <c r="J228" s="10" t="s">
        <v>53</v>
      </c>
      <c r="K228" s="10" t="s">
        <v>1079</v>
      </c>
      <c r="L228" s="10">
        <v>5</v>
      </c>
      <c r="M228" s="10">
        <v>5</v>
      </c>
      <c r="N228" s="10"/>
      <c r="O228" s="10">
        <f>639*2</f>
        <v>1278</v>
      </c>
      <c r="P228" s="10"/>
      <c r="Q228" s="10"/>
      <c r="R228" s="10"/>
      <c r="S228" s="10">
        <v>1069</v>
      </c>
      <c r="T228" s="10"/>
      <c r="U228" s="10"/>
      <c r="V228" s="10"/>
      <c r="W228" s="10"/>
      <c r="X228" s="10"/>
      <c r="Y228" s="14">
        <f t="shared" si="39"/>
        <v>0.83646322378716742</v>
      </c>
      <c r="Z228" s="14"/>
      <c r="AA228" s="14">
        <f t="shared" si="40"/>
        <v>0.83646322378716742</v>
      </c>
      <c r="AB228" s="10"/>
      <c r="AC228" s="10"/>
      <c r="AD228" s="10"/>
      <c r="AE228" s="10"/>
      <c r="AF228" s="10"/>
      <c r="AG228" s="10"/>
      <c r="AH228" s="10"/>
      <c r="AI228" s="10"/>
      <c r="AJ228" s="10"/>
      <c r="AK228" s="10" t="s">
        <v>2</v>
      </c>
      <c r="AL228" s="10" t="s">
        <v>2</v>
      </c>
      <c r="AM228" s="10" t="s">
        <v>3</v>
      </c>
      <c r="AN228" t="s">
        <v>2571</v>
      </c>
    </row>
    <row r="229" spans="1:40" x14ac:dyDescent="0.3">
      <c r="A229" s="10" t="s">
        <v>1080</v>
      </c>
      <c r="B229" s="10" t="s">
        <v>477</v>
      </c>
      <c r="C229" s="10" t="s">
        <v>1078</v>
      </c>
      <c r="D229" s="10" t="s">
        <v>1077</v>
      </c>
      <c r="E229" s="10">
        <v>1992</v>
      </c>
      <c r="F229" s="10" t="s">
        <v>2654</v>
      </c>
      <c r="G229" s="10" t="s">
        <v>75</v>
      </c>
      <c r="H229" s="10" t="s">
        <v>17</v>
      </c>
      <c r="I229" s="10" t="s">
        <v>1082</v>
      </c>
      <c r="J229" s="10" t="s">
        <v>53</v>
      </c>
      <c r="K229" s="10" t="s">
        <v>572</v>
      </c>
      <c r="L229" s="10">
        <v>5</v>
      </c>
      <c r="M229" s="10">
        <v>5</v>
      </c>
      <c r="N229" s="10"/>
      <c r="O229" s="10">
        <f>639*2</f>
        <v>1278</v>
      </c>
      <c r="P229" s="10"/>
      <c r="Q229" s="10"/>
      <c r="R229" s="10"/>
      <c r="S229" s="10">
        <v>1220</v>
      </c>
      <c r="T229" s="10"/>
      <c r="U229" s="10"/>
      <c r="V229" s="10"/>
      <c r="W229" s="10"/>
      <c r="X229" s="10"/>
      <c r="Y229" s="14">
        <f t="shared" ref="Y229:Y260" si="42">S229/O229</f>
        <v>0.95461658841940533</v>
      </c>
      <c r="Z229" s="14"/>
      <c r="AA229" s="14">
        <f t="shared" si="40"/>
        <v>0.95461658841940533</v>
      </c>
      <c r="AB229" s="10"/>
      <c r="AC229" s="10"/>
      <c r="AD229" s="10"/>
      <c r="AE229" s="10"/>
      <c r="AF229" s="10"/>
      <c r="AG229" s="10"/>
      <c r="AH229" s="10"/>
      <c r="AI229" s="10"/>
      <c r="AJ229" s="10"/>
      <c r="AK229" s="10" t="s">
        <v>2</v>
      </c>
      <c r="AL229" s="10" t="s">
        <v>2</v>
      </c>
      <c r="AM229" s="10" t="s">
        <v>3</v>
      </c>
      <c r="AN229" t="s">
        <v>2571</v>
      </c>
    </row>
    <row r="230" spans="1:40" x14ac:dyDescent="0.3">
      <c r="A230" s="10" t="s">
        <v>1080</v>
      </c>
      <c r="B230" s="10" t="s">
        <v>477</v>
      </c>
      <c r="C230" s="10" t="s">
        <v>1078</v>
      </c>
      <c r="D230" s="10" t="s">
        <v>1077</v>
      </c>
      <c r="E230" s="10">
        <v>1993</v>
      </c>
      <c r="F230" s="10" t="s">
        <v>2654</v>
      </c>
      <c r="G230" s="10" t="s">
        <v>75</v>
      </c>
      <c r="H230" s="10" t="s">
        <v>17</v>
      </c>
      <c r="I230" s="10" t="s">
        <v>1082</v>
      </c>
      <c r="J230" s="10" t="s">
        <v>56</v>
      </c>
      <c r="K230" s="10" t="s">
        <v>1079</v>
      </c>
      <c r="L230" s="10">
        <v>5</v>
      </c>
      <c r="M230" s="10">
        <v>5</v>
      </c>
      <c r="N230" s="10"/>
      <c r="O230" s="10">
        <f>932*2</f>
        <v>1864</v>
      </c>
      <c r="P230" s="10"/>
      <c r="Q230" s="10"/>
      <c r="R230" s="10"/>
      <c r="S230" s="10">
        <v>1132</v>
      </c>
      <c r="T230" s="10"/>
      <c r="U230" s="10"/>
      <c r="V230" s="10"/>
      <c r="W230" s="10"/>
      <c r="X230" s="10"/>
      <c r="Y230" s="14">
        <f t="shared" si="42"/>
        <v>0.60729613733905574</v>
      </c>
      <c r="Z230" s="14"/>
      <c r="AA230" s="14">
        <f t="shared" si="40"/>
        <v>0.60729613733905574</v>
      </c>
      <c r="AB230" s="10"/>
      <c r="AC230" s="10"/>
      <c r="AD230" s="10"/>
      <c r="AE230" s="10"/>
      <c r="AF230" s="10"/>
      <c r="AG230" s="10"/>
      <c r="AH230" s="10"/>
      <c r="AI230" s="10"/>
      <c r="AJ230" s="10"/>
      <c r="AK230" s="10" t="s">
        <v>2</v>
      </c>
      <c r="AL230" s="10" t="s">
        <v>2</v>
      </c>
      <c r="AM230" s="10" t="s">
        <v>3</v>
      </c>
      <c r="AN230" t="s">
        <v>2571</v>
      </c>
    </row>
    <row r="231" spans="1:40" x14ac:dyDescent="0.3">
      <c r="A231" s="10" t="s">
        <v>1080</v>
      </c>
      <c r="B231" s="10" t="s">
        <v>477</v>
      </c>
      <c r="C231" s="10" t="s">
        <v>1078</v>
      </c>
      <c r="D231" s="10" t="s">
        <v>1077</v>
      </c>
      <c r="E231" s="10">
        <v>1993</v>
      </c>
      <c r="F231" s="10" t="s">
        <v>2654</v>
      </c>
      <c r="G231" s="10" t="s">
        <v>75</v>
      </c>
      <c r="H231" s="10" t="s">
        <v>17</v>
      </c>
      <c r="I231" s="10" t="s">
        <v>1082</v>
      </c>
      <c r="J231" s="10" t="s">
        <v>56</v>
      </c>
      <c r="K231" s="10" t="s">
        <v>572</v>
      </c>
      <c r="L231" s="10">
        <v>5</v>
      </c>
      <c r="M231" s="10">
        <v>5</v>
      </c>
      <c r="N231" s="10"/>
      <c r="O231" s="10">
        <f>932*2</f>
        <v>1864</v>
      </c>
      <c r="P231" s="10"/>
      <c r="Q231" s="10"/>
      <c r="R231" s="10"/>
      <c r="S231" s="10">
        <v>1069</v>
      </c>
      <c r="T231" s="10"/>
      <c r="U231" s="10"/>
      <c r="V231" s="10"/>
      <c r="W231" s="10"/>
      <c r="X231" s="10"/>
      <c r="Y231" s="14">
        <f t="shared" si="42"/>
        <v>0.57349785407725318</v>
      </c>
      <c r="Z231" s="14"/>
      <c r="AA231" s="14">
        <f t="shared" si="40"/>
        <v>0.57349785407725318</v>
      </c>
      <c r="AB231" s="10"/>
      <c r="AC231" s="10"/>
      <c r="AD231" s="10"/>
      <c r="AE231" s="10"/>
      <c r="AF231" s="10"/>
      <c r="AG231" s="10"/>
      <c r="AH231" s="10"/>
      <c r="AI231" s="10"/>
      <c r="AJ231" s="10"/>
      <c r="AK231" s="10" t="s">
        <v>2</v>
      </c>
      <c r="AL231" s="10" t="s">
        <v>2</v>
      </c>
      <c r="AM231" s="10" t="s">
        <v>3</v>
      </c>
      <c r="AN231" t="s">
        <v>2571</v>
      </c>
    </row>
    <row r="232" spans="1:40" x14ac:dyDescent="0.3">
      <c r="A232" s="10" t="s">
        <v>1080</v>
      </c>
      <c r="B232" s="10" t="s">
        <v>477</v>
      </c>
      <c r="C232" s="10" t="s">
        <v>1078</v>
      </c>
      <c r="D232" s="10" t="s">
        <v>1077</v>
      </c>
      <c r="E232" s="10">
        <v>1994</v>
      </c>
      <c r="F232" s="10" t="s">
        <v>2654</v>
      </c>
      <c r="G232" s="10" t="s">
        <v>75</v>
      </c>
      <c r="H232" s="10" t="s">
        <v>17</v>
      </c>
      <c r="I232" s="10" t="s">
        <v>1082</v>
      </c>
      <c r="J232" s="10" t="s">
        <v>56</v>
      </c>
      <c r="K232" s="10" t="s">
        <v>1079</v>
      </c>
      <c r="L232" s="10">
        <v>5</v>
      </c>
      <c r="M232" s="10">
        <v>5</v>
      </c>
      <c r="N232" s="10"/>
      <c r="O232" s="10">
        <f>1013*2</f>
        <v>2026</v>
      </c>
      <c r="P232" s="10"/>
      <c r="Q232" s="10"/>
      <c r="R232" s="10"/>
      <c r="S232" s="10">
        <v>1312</v>
      </c>
      <c r="T232" s="10"/>
      <c r="U232" s="10">
        <v>954</v>
      </c>
      <c r="V232" s="10"/>
      <c r="W232" s="10"/>
      <c r="X232" s="10"/>
      <c r="Y232" s="14">
        <f t="shared" si="42"/>
        <v>0.64758144126357353</v>
      </c>
      <c r="Z232" s="14"/>
      <c r="AA232" s="14">
        <f t="shared" si="40"/>
        <v>0.64758144126357353</v>
      </c>
      <c r="AB232" s="10"/>
      <c r="AC232" s="10"/>
      <c r="AD232" s="10"/>
      <c r="AE232" s="10"/>
      <c r="AF232" s="10"/>
      <c r="AG232" s="10"/>
      <c r="AH232" s="10"/>
      <c r="AI232" s="10"/>
      <c r="AJ232" s="10"/>
      <c r="AK232" s="10" t="s">
        <v>2</v>
      </c>
      <c r="AL232" s="10" t="s">
        <v>2</v>
      </c>
      <c r="AM232" s="10" t="s">
        <v>3</v>
      </c>
      <c r="AN232" t="s">
        <v>2571</v>
      </c>
    </row>
    <row r="233" spans="1:40" x14ac:dyDescent="0.3">
      <c r="A233" s="10" t="s">
        <v>1080</v>
      </c>
      <c r="B233" s="10" t="s">
        <v>477</v>
      </c>
      <c r="C233" s="10" t="s">
        <v>1078</v>
      </c>
      <c r="D233" s="10" t="s">
        <v>1077</v>
      </c>
      <c r="E233" s="10">
        <v>1994</v>
      </c>
      <c r="F233" s="10" t="s">
        <v>2654</v>
      </c>
      <c r="G233" s="10" t="s">
        <v>75</v>
      </c>
      <c r="H233" s="10" t="s">
        <v>17</v>
      </c>
      <c r="I233" s="10" t="s">
        <v>1082</v>
      </c>
      <c r="J233" s="10" t="s">
        <v>56</v>
      </c>
      <c r="K233" s="10" t="s">
        <v>572</v>
      </c>
      <c r="L233" s="10">
        <v>5</v>
      </c>
      <c r="M233" s="10">
        <v>5</v>
      </c>
      <c r="N233" s="10"/>
      <c r="O233" s="10">
        <f>1013*2</f>
        <v>2026</v>
      </c>
      <c r="P233" s="10"/>
      <c r="Q233" s="10"/>
      <c r="R233" s="10"/>
      <c r="S233" s="10">
        <v>1365</v>
      </c>
      <c r="T233" s="10"/>
      <c r="U233" s="10">
        <v>889</v>
      </c>
      <c r="V233" s="10"/>
      <c r="W233" s="10"/>
      <c r="X233" s="10"/>
      <c r="Y233" s="14">
        <f t="shared" si="42"/>
        <v>0.67374136229022707</v>
      </c>
      <c r="Z233" s="14"/>
      <c r="AA233" s="14">
        <f t="shared" si="40"/>
        <v>0.67374136229022707</v>
      </c>
      <c r="AB233" s="10"/>
      <c r="AC233" s="10"/>
      <c r="AD233" s="10"/>
      <c r="AE233" s="10"/>
      <c r="AF233" s="10"/>
      <c r="AG233" s="10"/>
      <c r="AH233" s="10"/>
      <c r="AI233" s="10"/>
      <c r="AJ233" s="10"/>
      <c r="AK233" s="10" t="s">
        <v>2</v>
      </c>
      <c r="AL233" s="10" t="s">
        <v>2</v>
      </c>
      <c r="AM233" s="10" t="s">
        <v>3</v>
      </c>
      <c r="AN233" t="s">
        <v>2571</v>
      </c>
    </row>
    <row r="234" spans="1:40" x14ac:dyDescent="0.3">
      <c r="A234" s="10" t="s">
        <v>1080</v>
      </c>
      <c r="B234" s="10" t="s">
        <v>477</v>
      </c>
      <c r="C234" s="10" t="s">
        <v>1078</v>
      </c>
      <c r="D234" s="10" t="s">
        <v>1077</v>
      </c>
      <c r="E234" s="10">
        <v>1995</v>
      </c>
      <c r="F234" s="10" t="s">
        <v>2654</v>
      </c>
      <c r="G234" s="10" t="s">
        <v>75</v>
      </c>
      <c r="H234" s="10" t="s">
        <v>17</v>
      </c>
      <c r="I234" s="10" t="s">
        <v>1082</v>
      </c>
      <c r="J234" s="10" t="s">
        <v>56</v>
      </c>
      <c r="K234" s="10" t="s">
        <v>1079</v>
      </c>
      <c r="L234" s="10">
        <v>5</v>
      </c>
      <c r="M234" s="10">
        <v>5</v>
      </c>
      <c r="N234" s="10"/>
      <c r="O234" s="10">
        <f>851*2</f>
        <v>1702</v>
      </c>
      <c r="P234" s="10"/>
      <c r="Q234" s="10"/>
      <c r="R234" s="10"/>
      <c r="S234" s="10">
        <v>957</v>
      </c>
      <c r="T234" s="10"/>
      <c r="U234" s="10">
        <v>1384</v>
      </c>
      <c r="V234" s="10"/>
      <c r="W234" s="10"/>
      <c r="X234" s="10"/>
      <c r="Y234" s="14">
        <f t="shared" si="42"/>
        <v>0.56227967097532316</v>
      </c>
      <c r="Z234" s="14"/>
      <c r="AA234" s="14">
        <f t="shared" si="40"/>
        <v>0.56227967097532316</v>
      </c>
      <c r="AB234" s="10"/>
      <c r="AC234" s="10"/>
      <c r="AD234" s="10"/>
      <c r="AE234" s="10"/>
      <c r="AF234" s="10"/>
      <c r="AG234" s="10"/>
      <c r="AH234" s="10"/>
      <c r="AI234" s="10"/>
      <c r="AJ234" s="10"/>
      <c r="AK234" s="10" t="s">
        <v>2</v>
      </c>
      <c r="AL234" s="10" t="s">
        <v>2</v>
      </c>
      <c r="AM234" s="10" t="s">
        <v>3</v>
      </c>
      <c r="AN234" t="s">
        <v>2571</v>
      </c>
    </row>
    <row r="235" spans="1:40" x14ac:dyDescent="0.3">
      <c r="A235" s="10" t="s">
        <v>1080</v>
      </c>
      <c r="B235" s="10" t="s">
        <v>477</v>
      </c>
      <c r="C235" s="10" t="s">
        <v>1078</v>
      </c>
      <c r="D235" s="10" t="s">
        <v>1077</v>
      </c>
      <c r="E235" s="10">
        <v>1995</v>
      </c>
      <c r="F235" s="10" t="s">
        <v>2654</v>
      </c>
      <c r="G235" s="10" t="s">
        <v>75</v>
      </c>
      <c r="H235" s="10" t="s">
        <v>17</v>
      </c>
      <c r="I235" s="10" t="s">
        <v>1082</v>
      </c>
      <c r="J235" s="10" t="s">
        <v>56</v>
      </c>
      <c r="K235" s="10" t="s">
        <v>572</v>
      </c>
      <c r="L235" s="10">
        <v>5</v>
      </c>
      <c r="M235" s="10">
        <v>5</v>
      </c>
      <c r="N235" s="10"/>
      <c r="O235" s="10">
        <f>851*2</f>
        <v>1702</v>
      </c>
      <c r="P235" s="10"/>
      <c r="Q235" s="10"/>
      <c r="R235" s="10"/>
      <c r="S235" s="10">
        <v>1064</v>
      </c>
      <c r="T235" s="10"/>
      <c r="U235" s="10">
        <v>1233</v>
      </c>
      <c r="V235" s="10"/>
      <c r="W235" s="10"/>
      <c r="X235" s="10"/>
      <c r="Y235" s="14">
        <f t="shared" si="42"/>
        <v>0.62514688601645119</v>
      </c>
      <c r="Z235" s="14"/>
      <c r="AA235" s="14">
        <f t="shared" si="40"/>
        <v>0.62514688601645119</v>
      </c>
      <c r="AB235" s="10"/>
      <c r="AC235" s="10"/>
      <c r="AD235" s="10"/>
      <c r="AE235" s="10"/>
      <c r="AF235" s="10"/>
      <c r="AG235" s="10"/>
      <c r="AH235" s="10"/>
      <c r="AI235" s="10"/>
      <c r="AJ235" s="10"/>
      <c r="AK235" s="10" t="s">
        <v>2</v>
      </c>
      <c r="AL235" s="10" t="s">
        <v>2</v>
      </c>
      <c r="AM235" s="10" t="s">
        <v>3</v>
      </c>
      <c r="AN235" t="s">
        <v>2571</v>
      </c>
    </row>
    <row r="236" spans="1:40" x14ac:dyDescent="0.3">
      <c r="A236" s="10" t="s">
        <v>1080</v>
      </c>
      <c r="B236" s="10" t="s">
        <v>477</v>
      </c>
      <c r="C236" s="10" t="s">
        <v>1078</v>
      </c>
      <c r="D236" s="10" t="s">
        <v>1077</v>
      </c>
      <c r="E236" s="10">
        <v>1996</v>
      </c>
      <c r="F236" s="10" t="s">
        <v>2654</v>
      </c>
      <c r="G236" s="10" t="s">
        <v>75</v>
      </c>
      <c r="H236" s="10" t="s">
        <v>17</v>
      </c>
      <c r="I236" s="10" t="s">
        <v>1082</v>
      </c>
      <c r="J236" s="10" t="s">
        <v>56</v>
      </c>
      <c r="K236" s="10" t="s">
        <v>1079</v>
      </c>
      <c r="L236" s="10">
        <v>5</v>
      </c>
      <c r="M236" s="10">
        <v>5</v>
      </c>
      <c r="N236" s="10"/>
      <c r="O236" s="10">
        <f>1172*2</f>
        <v>2344</v>
      </c>
      <c r="P236" s="10"/>
      <c r="Q236" s="10"/>
      <c r="R236" s="10"/>
      <c r="S236" s="10">
        <v>1790</v>
      </c>
      <c r="T236" s="10"/>
      <c r="U236" s="10">
        <v>1194</v>
      </c>
      <c r="V236" s="10"/>
      <c r="W236" s="10"/>
      <c r="X236" s="10"/>
      <c r="Y236" s="14">
        <f t="shared" si="42"/>
        <v>0.76365187713310578</v>
      </c>
      <c r="Z236" s="14"/>
      <c r="AA236" s="14">
        <f t="shared" si="40"/>
        <v>0.76365187713310578</v>
      </c>
      <c r="AB236" s="10"/>
      <c r="AC236" s="10"/>
      <c r="AD236" s="10"/>
      <c r="AE236" s="10"/>
      <c r="AF236" s="10"/>
      <c r="AG236" s="10"/>
      <c r="AH236" s="10"/>
      <c r="AI236" s="10"/>
      <c r="AJ236" s="10"/>
      <c r="AK236" s="10" t="s">
        <v>2</v>
      </c>
      <c r="AL236" s="10" t="s">
        <v>2</v>
      </c>
      <c r="AM236" s="10" t="s">
        <v>3</v>
      </c>
      <c r="AN236" t="s">
        <v>2571</v>
      </c>
    </row>
    <row r="237" spans="1:40" x14ac:dyDescent="0.3">
      <c r="A237" s="10" t="s">
        <v>1080</v>
      </c>
      <c r="B237" s="10" t="s">
        <v>477</v>
      </c>
      <c r="C237" s="10" t="s">
        <v>1078</v>
      </c>
      <c r="D237" s="10" t="s">
        <v>1077</v>
      </c>
      <c r="E237" s="10">
        <v>1996</v>
      </c>
      <c r="F237" s="10" t="s">
        <v>2654</v>
      </c>
      <c r="G237" s="10" t="s">
        <v>75</v>
      </c>
      <c r="H237" s="10" t="s">
        <v>17</v>
      </c>
      <c r="I237" s="10" t="s">
        <v>1082</v>
      </c>
      <c r="J237" s="10" t="s">
        <v>56</v>
      </c>
      <c r="K237" s="10" t="s">
        <v>572</v>
      </c>
      <c r="L237" s="10">
        <v>5</v>
      </c>
      <c r="M237" s="10">
        <v>5</v>
      </c>
      <c r="N237" s="10"/>
      <c r="O237" s="10">
        <f>1172*2</f>
        <v>2344</v>
      </c>
      <c r="P237" s="10"/>
      <c r="Q237" s="10"/>
      <c r="R237" s="10"/>
      <c r="S237" s="10">
        <v>1793</v>
      </c>
      <c r="T237" s="10"/>
      <c r="U237" s="10">
        <v>578</v>
      </c>
      <c r="V237" s="10"/>
      <c r="W237" s="10"/>
      <c r="X237" s="10"/>
      <c r="Y237" s="14">
        <f t="shared" si="42"/>
        <v>0.76493174061433444</v>
      </c>
      <c r="Z237" s="14"/>
      <c r="AA237" s="14">
        <f t="shared" si="40"/>
        <v>0.76493174061433444</v>
      </c>
      <c r="AB237" s="10"/>
      <c r="AC237" s="10"/>
      <c r="AD237" s="10"/>
      <c r="AE237" s="10"/>
      <c r="AF237" s="10"/>
      <c r="AG237" s="10"/>
      <c r="AH237" s="10"/>
      <c r="AI237" s="10"/>
      <c r="AJ237" s="10"/>
      <c r="AK237" s="10" t="s">
        <v>2</v>
      </c>
      <c r="AL237" s="10" t="s">
        <v>2</v>
      </c>
      <c r="AM237" s="10" t="s">
        <v>3</v>
      </c>
      <c r="AN237" t="s">
        <v>2571</v>
      </c>
    </row>
    <row r="238" spans="1:40" x14ac:dyDescent="0.3">
      <c r="A238" s="10" t="s">
        <v>1080</v>
      </c>
      <c r="B238" s="10" t="s">
        <v>477</v>
      </c>
      <c r="C238" s="10" t="s">
        <v>1078</v>
      </c>
      <c r="D238" s="10" t="s">
        <v>1077</v>
      </c>
      <c r="E238" s="10">
        <v>1997</v>
      </c>
      <c r="F238" s="10" t="s">
        <v>2654</v>
      </c>
      <c r="G238" s="10" t="s">
        <v>75</v>
      </c>
      <c r="H238" s="10" t="s">
        <v>17</v>
      </c>
      <c r="I238" s="10" t="s">
        <v>1082</v>
      </c>
      <c r="J238" s="10" t="s">
        <v>56</v>
      </c>
      <c r="K238" s="10" t="s">
        <v>1079</v>
      </c>
      <c r="L238" s="10">
        <v>5</v>
      </c>
      <c r="M238" s="10">
        <v>5</v>
      </c>
      <c r="N238" s="10"/>
      <c r="O238" s="10">
        <f>944*2</f>
        <v>1888</v>
      </c>
      <c r="P238" s="10"/>
      <c r="Q238" s="10"/>
      <c r="R238" s="10"/>
      <c r="S238" s="10">
        <v>935</v>
      </c>
      <c r="T238" s="10"/>
      <c r="U238" s="10">
        <v>912</v>
      </c>
      <c r="V238" s="10"/>
      <c r="W238" s="10"/>
      <c r="X238" s="10"/>
      <c r="Y238" s="14">
        <f t="shared" si="42"/>
        <v>0.49523305084745761</v>
      </c>
      <c r="Z238" s="14"/>
      <c r="AA238" s="14">
        <f t="shared" si="40"/>
        <v>0.49523305084745761</v>
      </c>
      <c r="AB238" s="10"/>
      <c r="AC238" s="10"/>
      <c r="AD238" s="10"/>
      <c r="AE238" s="10"/>
      <c r="AF238" s="10"/>
      <c r="AG238" s="10"/>
      <c r="AH238" s="10"/>
      <c r="AI238" s="10"/>
      <c r="AJ238" s="10"/>
      <c r="AK238" s="10" t="s">
        <v>2</v>
      </c>
      <c r="AL238" s="10" t="s">
        <v>2</v>
      </c>
      <c r="AM238" s="10" t="s">
        <v>3</v>
      </c>
      <c r="AN238" t="s">
        <v>2571</v>
      </c>
    </row>
    <row r="239" spans="1:40" x14ac:dyDescent="0.3">
      <c r="A239" s="10" t="s">
        <v>1080</v>
      </c>
      <c r="B239" s="10" t="s">
        <v>477</v>
      </c>
      <c r="C239" s="10" t="s">
        <v>1078</v>
      </c>
      <c r="D239" s="10" t="s">
        <v>1077</v>
      </c>
      <c r="E239" s="10">
        <v>1997</v>
      </c>
      <c r="F239" s="10" t="s">
        <v>2654</v>
      </c>
      <c r="G239" s="10" t="s">
        <v>75</v>
      </c>
      <c r="H239" s="10" t="s">
        <v>17</v>
      </c>
      <c r="I239" s="10" t="s">
        <v>1082</v>
      </c>
      <c r="J239" s="10" t="s">
        <v>56</v>
      </c>
      <c r="K239" s="10" t="s">
        <v>572</v>
      </c>
      <c r="L239" s="10">
        <v>5</v>
      </c>
      <c r="M239" s="10">
        <v>5</v>
      </c>
      <c r="N239" s="10"/>
      <c r="O239" s="10">
        <f>944*2</f>
        <v>1888</v>
      </c>
      <c r="P239" s="10"/>
      <c r="Q239" s="10"/>
      <c r="R239" s="10"/>
      <c r="S239" s="10">
        <v>1092</v>
      </c>
      <c r="T239" s="10"/>
      <c r="U239" s="10">
        <v>1635</v>
      </c>
      <c r="V239" s="10"/>
      <c r="W239" s="10"/>
      <c r="X239" s="10"/>
      <c r="Y239" s="14">
        <f t="shared" si="42"/>
        <v>0.57838983050847459</v>
      </c>
      <c r="Z239" s="14"/>
      <c r="AA239" s="14">
        <f t="shared" si="40"/>
        <v>0.57838983050847459</v>
      </c>
      <c r="AB239" s="10"/>
      <c r="AC239" s="10"/>
      <c r="AD239" s="10"/>
      <c r="AE239" s="10"/>
      <c r="AF239" s="10"/>
      <c r="AG239" s="10"/>
      <c r="AH239" s="10"/>
      <c r="AI239" s="10"/>
      <c r="AJ239" s="10"/>
      <c r="AK239" s="10" t="s">
        <v>2</v>
      </c>
      <c r="AL239" s="10" t="s">
        <v>2</v>
      </c>
      <c r="AM239" s="10" t="s">
        <v>3</v>
      </c>
      <c r="AN239" t="s">
        <v>2571</v>
      </c>
    </row>
    <row r="240" spans="1:40" x14ac:dyDescent="0.3">
      <c r="A240" s="10" t="s">
        <v>1080</v>
      </c>
      <c r="B240" s="10" t="s">
        <v>477</v>
      </c>
      <c r="C240" s="10" t="s">
        <v>1078</v>
      </c>
      <c r="D240" s="10" t="s">
        <v>1077</v>
      </c>
      <c r="E240" s="10">
        <v>1998</v>
      </c>
      <c r="F240" s="10" t="s">
        <v>2654</v>
      </c>
      <c r="G240" s="10" t="s">
        <v>75</v>
      </c>
      <c r="H240" s="10" t="s">
        <v>17</v>
      </c>
      <c r="I240" s="10" t="s">
        <v>1082</v>
      </c>
      <c r="J240" s="10" t="s">
        <v>56</v>
      </c>
      <c r="K240" s="10" t="s">
        <v>1079</v>
      </c>
      <c r="L240" s="10">
        <v>5</v>
      </c>
      <c r="M240" s="10">
        <v>5</v>
      </c>
      <c r="N240" s="10"/>
      <c r="O240" s="10">
        <f>891*2</f>
        <v>1782</v>
      </c>
      <c r="P240" s="10"/>
      <c r="Q240" s="10"/>
      <c r="R240" s="10"/>
      <c r="S240" s="10">
        <v>1371</v>
      </c>
      <c r="T240" s="10"/>
      <c r="U240" s="10">
        <v>1422</v>
      </c>
      <c r="V240" s="10"/>
      <c r="W240" s="10"/>
      <c r="X240" s="10"/>
      <c r="Y240" s="14">
        <f t="shared" si="42"/>
        <v>0.76936026936026936</v>
      </c>
      <c r="Z240" s="14"/>
      <c r="AA240" s="14">
        <f t="shared" si="40"/>
        <v>0.76936026936026936</v>
      </c>
      <c r="AB240" s="10"/>
      <c r="AC240" s="10"/>
      <c r="AD240" s="10"/>
      <c r="AE240" s="10"/>
      <c r="AF240" s="10"/>
      <c r="AG240" s="10"/>
      <c r="AH240" s="10"/>
      <c r="AI240" s="10"/>
      <c r="AJ240" s="10"/>
      <c r="AK240" s="10" t="s">
        <v>2</v>
      </c>
      <c r="AL240" s="10" t="s">
        <v>2</v>
      </c>
      <c r="AM240" s="10" t="s">
        <v>3</v>
      </c>
      <c r="AN240" t="s">
        <v>2571</v>
      </c>
    </row>
    <row r="241" spans="1:40" x14ac:dyDescent="0.3">
      <c r="A241" s="10" t="s">
        <v>1080</v>
      </c>
      <c r="B241" s="10" t="s">
        <v>477</v>
      </c>
      <c r="C241" s="10" t="s">
        <v>1078</v>
      </c>
      <c r="D241" s="10" t="s">
        <v>1077</v>
      </c>
      <c r="E241" s="10">
        <v>1988</v>
      </c>
      <c r="F241" s="10" t="s">
        <v>2654</v>
      </c>
      <c r="G241" s="10" t="s">
        <v>75</v>
      </c>
      <c r="H241" s="10" t="s">
        <v>17</v>
      </c>
      <c r="I241" s="10" t="s">
        <v>1082</v>
      </c>
      <c r="J241" s="10" t="s">
        <v>56</v>
      </c>
      <c r="K241" s="10" t="s">
        <v>572</v>
      </c>
      <c r="L241" s="10">
        <v>5</v>
      </c>
      <c r="M241" s="10">
        <v>5</v>
      </c>
      <c r="N241" s="10"/>
      <c r="O241" s="10">
        <f>891*2</f>
        <v>1782</v>
      </c>
      <c r="P241" s="10"/>
      <c r="Q241" s="10"/>
      <c r="R241" s="10"/>
      <c r="S241" s="10">
        <v>1595</v>
      </c>
      <c r="T241" s="10"/>
      <c r="U241" s="10">
        <v>889</v>
      </c>
      <c r="V241" s="10"/>
      <c r="W241" s="10"/>
      <c r="X241" s="10"/>
      <c r="Y241" s="14">
        <f t="shared" si="42"/>
        <v>0.89506172839506171</v>
      </c>
      <c r="Z241" s="14"/>
      <c r="AA241" s="14">
        <f t="shared" si="40"/>
        <v>0.89506172839506171</v>
      </c>
      <c r="AB241" s="10"/>
      <c r="AC241" s="10"/>
      <c r="AD241" s="10"/>
      <c r="AE241" s="10"/>
      <c r="AF241" s="10"/>
      <c r="AG241" s="10"/>
      <c r="AH241" s="10"/>
      <c r="AI241" s="10"/>
      <c r="AJ241" s="10"/>
      <c r="AK241" s="10" t="s">
        <v>2</v>
      </c>
      <c r="AL241" s="10" t="s">
        <v>2</v>
      </c>
      <c r="AM241" s="10" t="s">
        <v>3</v>
      </c>
      <c r="AN241" t="s">
        <v>2571</v>
      </c>
    </row>
    <row r="242" spans="1:40" x14ac:dyDescent="0.3">
      <c r="A242" s="10" t="s">
        <v>1080</v>
      </c>
      <c r="B242" s="10" t="s">
        <v>477</v>
      </c>
      <c r="C242" s="10" t="s">
        <v>1078</v>
      </c>
      <c r="D242" s="10" t="s">
        <v>1077</v>
      </c>
      <c r="E242" s="10">
        <v>1991</v>
      </c>
      <c r="F242" s="10" t="s">
        <v>2654</v>
      </c>
      <c r="G242" s="10" t="s">
        <v>75</v>
      </c>
      <c r="H242" s="10" t="s">
        <v>17</v>
      </c>
      <c r="I242" s="10" t="s">
        <v>1083</v>
      </c>
      <c r="J242" s="10" t="s">
        <v>53</v>
      </c>
      <c r="K242" s="10" t="s">
        <v>1079</v>
      </c>
      <c r="L242" s="10">
        <v>5</v>
      </c>
      <c r="M242" s="10">
        <v>5</v>
      </c>
      <c r="N242" s="10"/>
      <c r="O242" s="10">
        <f>2127*2</f>
        <v>4254</v>
      </c>
      <c r="P242" s="10"/>
      <c r="Q242" s="10"/>
      <c r="R242" s="10"/>
      <c r="S242" s="10">
        <v>2018</v>
      </c>
      <c r="T242" s="10"/>
      <c r="U242" s="10"/>
      <c r="V242" s="10"/>
      <c r="W242" s="10"/>
      <c r="X242" s="10"/>
      <c r="Y242" s="14">
        <f t="shared" si="42"/>
        <v>0.47437705688763515</v>
      </c>
      <c r="Z242" s="14"/>
      <c r="AA242" s="14">
        <f t="shared" ref="AA242:AA275" si="43">Y242+Z242</f>
        <v>0.47437705688763515</v>
      </c>
      <c r="AB242" s="10"/>
      <c r="AC242" s="10"/>
      <c r="AD242" s="10"/>
      <c r="AE242" s="10"/>
      <c r="AF242" s="10"/>
      <c r="AG242" s="10"/>
      <c r="AH242" s="10"/>
      <c r="AI242" s="10"/>
      <c r="AJ242" s="10"/>
      <c r="AK242" s="10" t="s">
        <v>2</v>
      </c>
      <c r="AL242" s="10" t="s">
        <v>2</v>
      </c>
      <c r="AM242" s="10" t="s">
        <v>3</v>
      </c>
      <c r="AN242" t="s">
        <v>2571</v>
      </c>
    </row>
    <row r="243" spans="1:40" x14ac:dyDescent="0.3">
      <c r="A243" s="10" t="s">
        <v>1080</v>
      </c>
      <c r="B243" s="10" t="s">
        <v>477</v>
      </c>
      <c r="C243" s="10" t="s">
        <v>1078</v>
      </c>
      <c r="D243" s="10" t="s">
        <v>1077</v>
      </c>
      <c r="E243" s="10">
        <v>1991</v>
      </c>
      <c r="F243" s="10" t="s">
        <v>2654</v>
      </c>
      <c r="G243" s="10" t="s">
        <v>75</v>
      </c>
      <c r="H243" s="10" t="s">
        <v>17</v>
      </c>
      <c r="I243" s="10" t="s">
        <v>1083</v>
      </c>
      <c r="J243" s="10" t="s">
        <v>53</v>
      </c>
      <c r="K243" s="10" t="s">
        <v>572</v>
      </c>
      <c r="L243" s="10">
        <v>5</v>
      </c>
      <c r="M243" s="10">
        <v>5</v>
      </c>
      <c r="N243" s="10"/>
      <c r="O243" s="10">
        <f>2127*2</f>
        <v>4254</v>
      </c>
      <c r="P243" s="10"/>
      <c r="Q243" s="10"/>
      <c r="R243" s="10"/>
      <c r="S243" s="10">
        <v>1965</v>
      </c>
      <c r="T243" s="10"/>
      <c r="U243" s="10"/>
      <c r="V243" s="10"/>
      <c r="W243" s="10"/>
      <c r="X243" s="10"/>
      <c r="Y243" s="14">
        <f t="shared" si="42"/>
        <v>0.46191819464033851</v>
      </c>
      <c r="Z243" s="14"/>
      <c r="AA243" s="14">
        <f t="shared" si="43"/>
        <v>0.46191819464033851</v>
      </c>
      <c r="AB243" s="10"/>
      <c r="AC243" s="10"/>
      <c r="AD243" s="10"/>
      <c r="AE243" s="10"/>
      <c r="AF243" s="10"/>
      <c r="AG243" s="10"/>
      <c r="AH243" s="10"/>
      <c r="AI243" s="10"/>
      <c r="AJ243" s="10"/>
      <c r="AK243" s="10" t="s">
        <v>2</v>
      </c>
      <c r="AL243" s="10" t="s">
        <v>2</v>
      </c>
      <c r="AM243" s="10" t="s">
        <v>3</v>
      </c>
      <c r="AN243" t="s">
        <v>2571</v>
      </c>
    </row>
    <row r="244" spans="1:40" x14ac:dyDescent="0.3">
      <c r="A244" s="10" t="s">
        <v>1080</v>
      </c>
      <c r="B244" s="10" t="s">
        <v>477</v>
      </c>
      <c r="C244" s="10" t="s">
        <v>1078</v>
      </c>
      <c r="D244" s="10" t="s">
        <v>1077</v>
      </c>
      <c r="E244" s="10">
        <v>1992</v>
      </c>
      <c r="F244" s="10" t="s">
        <v>2654</v>
      </c>
      <c r="G244" s="10" t="s">
        <v>75</v>
      </c>
      <c r="H244" s="10" t="s">
        <v>17</v>
      </c>
      <c r="I244" s="10" t="s">
        <v>1083</v>
      </c>
      <c r="J244" s="10" t="s">
        <v>53</v>
      </c>
      <c r="K244" s="10" t="s">
        <v>1079</v>
      </c>
      <c r="L244" s="10">
        <v>5</v>
      </c>
      <c r="M244" s="10">
        <v>5</v>
      </c>
      <c r="N244" s="10"/>
      <c r="O244" s="10">
        <f>1871*2</f>
        <v>3742</v>
      </c>
      <c r="P244" s="10"/>
      <c r="Q244" s="10"/>
      <c r="R244" s="10"/>
      <c r="S244" s="10">
        <v>1794</v>
      </c>
      <c r="T244" s="10"/>
      <c r="U244" s="10"/>
      <c r="V244" s="10"/>
      <c r="W244" s="10"/>
      <c r="X244" s="10"/>
      <c r="Y244" s="14">
        <f t="shared" si="42"/>
        <v>0.47942276857295563</v>
      </c>
      <c r="Z244" s="14"/>
      <c r="AA244" s="14">
        <f t="shared" si="43"/>
        <v>0.47942276857295563</v>
      </c>
      <c r="AB244" s="10"/>
      <c r="AC244" s="10"/>
      <c r="AD244" s="10"/>
      <c r="AE244" s="10"/>
      <c r="AF244" s="10"/>
      <c r="AG244" s="10"/>
      <c r="AH244" s="10"/>
      <c r="AI244" s="10"/>
      <c r="AJ244" s="10"/>
      <c r="AK244" s="10" t="s">
        <v>2</v>
      </c>
      <c r="AL244" s="10" t="s">
        <v>2</v>
      </c>
      <c r="AM244" s="10" t="s">
        <v>3</v>
      </c>
      <c r="AN244" t="s">
        <v>2571</v>
      </c>
    </row>
    <row r="245" spans="1:40" x14ac:dyDescent="0.3">
      <c r="A245" s="10" t="s">
        <v>1080</v>
      </c>
      <c r="B245" s="10" t="s">
        <v>477</v>
      </c>
      <c r="C245" s="10" t="s">
        <v>1078</v>
      </c>
      <c r="D245" s="10" t="s">
        <v>1077</v>
      </c>
      <c r="E245" s="10">
        <v>1992</v>
      </c>
      <c r="F245" s="10" t="s">
        <v>2654</v>
      </c>
      <c r="G245" s="10" t="s">
        <v>75</v>
      </c>
      <c r="H245" s="10" t="s">
        <v>17</v>
      </c>
      <c r="I245" s="10" t="s">
        <v>1083</v>
      </c>
      <c r="J245" s="10" t="s">
        <v>53</v>
      </c>
      <c r="K245" s="10" t="s">
        <v>572</v>
      </c>
      <c r="L245" s="10">
        <v>5</v>
      </c>
      <c r="M245" s="10">
        <v>5</v>
      </c>
      <c r="N245" s="10"/>
      <c r="O245" s="10">
        <f>1871*2</f>
        <v>3742</v>
      </c>
      <c r="P245" s="10"/>
      <c r="Q245" s="10"/>
      <c r="R245" s="10"/>
      <c r="S245" s="10">
        <v>1984</v>
      </c>
      <c r="T245" s="10"/>
      <c r="U245" s="10"/>
      <c r="V245" s="10"/>
      <c r="W245" s="10"/>
      <c r="X245" s="10"/>
      <c r="Y245" s="14">
        <f t="shared" si="42"/>
        <v>0.53019775521111701</v>
      </c>
      <c r="Z245" s="14"/>
      <c r="AA245" s="14">
        <f t="shared" si="43"/>
        <v>0.53019775521111701</v>
      </c>
      <c r="AB245" s="10"/>
      <c r="AC245" s="10"/>
      <c r="AD245" s="10"/>
      <c r="AE245" s="10"/>
      <c r="AF245" s="10"/>
      <c r="AG245" s="10"/>
      <c r="AH245" s="10"/>
      <c r="AI245" s="10"/>
      <c r="AJ245" s="10"/>
      <c r="AK245" s="10" t="s">
        <v>2</v>
      </c>
      <c r="AL245" s="10" t="s">
        <v>2</v>
      </c>
      <c r="AM245" s="10" t="s">
        <v>3</v>
      </c>
      <c r="AN245" t="s">
        <v>2571</v>
      </c>
    </row>
    <row r="246" spans="1:40" x14ac:dyDescent="0.3">
      <c r="A246" s="10" t="s">
        <v>1080</v>
      </c>
      <c r="B246" s="10" t="s">
        <v>477</v>
      </c>
      <c r="C246" s="10" t="s">
        <v>1078</v>
      </c>
      <c r="D246" s="10" t="s">
        <v>1077</v>
      </c>
      <c r="E246" s="10">
        <v>1993</v>
      </c>
      <c r="F246" s="10" t="s">
        <v>2654</v>
      </c>
      <c r="G246" s="10" t="s">
        <v>75</v>
      </c>
      <c r="H246" s="10" t="s">
        <v>17</v>
      </c>
      <c r="I246" s="10" t="s">
        <v>1083</v>
      </c>
      <c r="J246" s="10" t="s">
        <v>56</v>
      </c>
      <c r="K246" s="10" t="s">
        <v>1079</v>
      </c>
      <c r="L246" s="10">
        <v>5</v>
      </c>
      <c r="M246" s="10">
        <v>5</v>
      </c>
      <c r="N246" s="10"/>
      <c r="O246" s="10">
        <f>1576*2</f>
        <v>3152</v>
      </c>
      <c r="P246" s="10"/>
      <c r="Q246" s="10"/>
      <c r="R246" s="10"/>
      <c r="S246" s="10">
        <v>1804</v>
      </c>
      <c r="T246" s="10"/>
      <c r="U246" s="10"/>
      <c r="V246" s="10"/>
      <c r="W246" s="10"/>
      <c r="X246" s="10"/>
      <c r="Y246" s="14">
        <f t="shared" si="42"/>
        <v>0.57233502538071068</v>
      </c>
      <c r="Z246" s="14"/>
      <c r="AA246" s="14">
        <f t="shared" si="43"/>
        <v>0.57233502538071068</v>
      </c>
      <c r="AB246" s="10"/>
      <c r="AC246" s="10"/>
      <c r="AD246" s="10"/>
      <c r="AE246" s="10"/>
      <c r="AF246" s="10"/>
      <c r="AG246" s="10"/>
      <c r="AH246" s="10"/>
      <c r="AI246" s="10"/>
      <c r="AJ246" s="10"/>
      <c r="AK246" s="10" t="s">
        <v>2</v>
      </c>
      <c r="AL246" s="10" t="s">
        <v>2</v>
      </c>
      <c r="AM246" s="10" t="s">
        <v>3</v>
      </c>
      <c r="AN246" t="s">
        <v>2571</v>
      </c>
    </row>
    <row r="247" spans="1:40" x14ac:dyDescent="0.3">
      <c r="A247" s="10" t="s">
        <v>1080</v>
      </c>
      <c r="B247" s="10" t="s">
        <v>477</v>
      </c>
      <c r="C247" s="10" t="s">
        <v>1078</v>
      </c>
      <c r="D247" s="10" t="s">
        <v>1077</v>
      </c>
      <c r="E247" s="10">
        <v>1993</v>
      </c>
      <c r="F247" s="10" t="s">
        <v>2654</v>
      </c>
      <c r="G247" s="10" t="s">
        <v>75</v>
      </c>
      <c r="H247" s="10" t="s">
        <v>17</v>
      </c>
      <c r="I247" s="10" t="s">
        <v>1083</v>
      </c>
      <c r="J247" s="10" t="s">
        <v>56</v>
      </c>
      <c r="K247" s="10" t="s">
        <v>572</v>
      </c>
      <c r="L247" s="10">
        <v>5</v>
      </c>
      <c r="M247" s="10">
        <v>5</v>
      </c>
      <c r="N247" s="10"/>
      <c r="O247" s="10">
        <f>1576*2</f>
        <v>3152</v>
      </c>
      <c r="P247" s="10"/>
      <c r="Q247" s="10"/>
      <c r="R247" s="10"/>
      <c r="S247" s="10">
        <v>1951</v>
      </c>
      <c r="T247" s="10"/>
      <c r="U247" s="10"/>
      <c r="V247" s="10"/>
      <c r="W247" s="10"/>
      <c r="X247" s="10"/>
      <c r="Y247" s="14">
        <f t="shared" si="42"/>
        <v>0.61897208121827407</v>
      </c>
      <c r="Z247" s="14"/>
      <c r="AA247" s="14">
        <f t="shared" si="43"/>
        <v>0.61897208121827407</v>
      </c>
      <c r="AB247" s="10"/>
      <c r="AC247" s="10"/>
      <c r="AD247" s="10"/>
      <c r="AE247" s="10"/>
      <c r="AF247" s="10"/>
      <c r="AG247" s="10"/>
      <c r="AH247" s="10"/>
      <c r="AI247" s="10"/>
      <c r="AJ247" s="10"/>
      <c r="AK247" s="10" t="s">
        <v>2</v>
      </c>
      <c r="AL247" s="10" t="s">
        <v>2</v>
      </c>
      <c r="AM247" s="10" t="s">
        <v>3</v>
      </c>
      <c r="AN247" t="s">
        <v>2571</v>
      </c>
    </row>
    <row r="248" spans="1:40" x14ac:dyDescent="0.3">
      <c r="A248" s="10" t="s">
        <v>1080</v>
      </c>
      <c r="B248" s="10" t="s">
        <v>477</v>
      </c>
      <c r="C248" s="10" t="s">
        <v>1078</v>
      </c>
      <c r="D248" s="10" t="s">
        <v>1077</v>
      </c>
      <c r="E248" s="10">
        <v>1994</v>
      </c>
      <c r="F248" s="10" t="s">
        <v>2654</v>
      </c>
      <c r="G248" s="10" t="s">
        <v>75</v>
      </c>
      <c r="H248" s="10" t="s">
        <v>17</v>
      </c>
      <c r="I248" s="10" t="s">
        <v>1083</v>
      </c>
      <c r="J248" s="10" t="s">
        <v>56</v>
      </c>
      <c r="K248" s="10" t="s">
        <v>1079</v>
      </c>
      <c r="L248" s="10">
        <v>5</v>
      </c>
      <c r="M248" s="10">
        <v>5</v>
      </c>
      <c r="N248" s="10"/>
      <c r="O248" s="10">
        <f>911*2</f>
        <v>1822</v>
      </c>
      <c r="P248" s="10"/>
      <c r="Q248" s="10"/>
      <c r="R248" s="10"/>
      <c r="S248" s="10">
        <v>1497</v>
      </c>
      <c r="T248" s="10"/>
      <c r="U248" s="10">
        <v>3840</v>
      </c>
      <c r="V248" s="10"/>
      <c r="W248" s="10"/>
      <c r="X248" s="10"/>
      <c r="Y248" s="14">
        <f t="shared" si="42"/>
        <v>0.82162458836443464</v>
      </c>
      <c r="Z248" s="14"/>
      <c r="AA248" s="14">
        <f t="shared" si="43"/>
        <v>0.82162458836443464</v>
      </c>
      <c r="AB248" s="10"/>
      <c r="AC248" s="10"/>
      <c r="AD248" s="10"/>
      <c r="AE248" s="10"/>
      <c r="AF248" s="10"/>
      <c r="AG248" s="10"/>
      <c r="AH248" s="10"/>
      <c r="AI248" s="10"/>
      <c r="AJ248" s="10"/>
      <c r="AK248" s="10" t="s">
        <v>2</v>
      </c>
      <c r="AL248" s="10" t="s">
        <v>2</v>
      </c>
      <c r="AM248" s="10" t="s">
        <v>3</v>
      </c>
      <c r="AN248" t="s">
        <v>2571</v>
      </c>
    </row>
    <row r="249" spans="1:40" x14ac:dyDescent="0.3">
      <c r="A249" s="10" t="s">
        <v>1080</v>
      </c>
      <c r="B249" s="10" t="s">
        <v>477</v>
      </c>
      <c r="C249" s="10" t="s">
        <v>1078</v>
      </c>
      <c r="D249" s="10" t="s">
        <v>1077</v>
      </c>
      <c r="E249" s="10">
        <v>1994</v>
      </c>
      <c r="F249" s="10" t="s">
        <v>2654</v>
      </c>
      <c r="G249" s="10" t="s">
        <v>75</v>
      </c>
      <c r="H249" s="10" t="s">
        <v>17</v>
      </c>
      <c r="I249" s="10" t="s">
        <v>1083</v>
      </c>
      <c r="J249" s="10" t="s">
        <v>56</v>
      </c>
      <c r="K249" s="10" t="s">
        <v>572</v>
      </c>
      <c r="L249" s="10">
        <v>5</v>
      </c>
      <c r="M249" s="10">
        <v>5</v>
      </c>
      <c r="N249" s="10"/>
      <c r="O249" s="10">
        <f>911*2</f>
        <v>1822</v>
      </c>
      <c r="P249" s="10"/>
      <c r="Q249" s="10"/>
      <c r="R249" s="10"/>
      <c r="S249" s="10">
        <v>1613</v>
      </c>
      <c r="T249" s="10"/>
      <c r="U249" s="10">
        <v>1722</v>
      </c>
      <c r="V249" s="10"/>
      <c r="W249" s="10"/>
      <c r="X249" s="10"/>
      <c r="Y249" s="14">
        <f t="shared" si="42"/>
        <v>0.88529088913282106</v>
      </c>
      <c r="Z249" s="14"/>
      <c r="AA249" s="14">
        <f t="shared" si="43"/>
        <v>0.88529088913282106</v>
      </c>
      <c r="AB249" s="10"/>
      <c r="AC249" s="10"/>
      <c r="AD249" s="10"/>
      <c r="AE249" s="10"/>
      <c r="AF249" s="10"/>
      <c r="AG249" s="10"/>
      <c r="AH249" s="10"/>
      <c r="AI249" s="10"/>
      <c r="AJ249" s="10"/>
      <c r="AK249" s="10" t="s">
        <v>2</v>
      </c>
      <c r="AL249" s="10" t="s">
        <v>2</v>
      </c>
      <c r="AM249" s="10" t="s">
        <v>3</v>
      </c>
      <c r="AN249" t="s">
        <v>2571</v>
      </c>
    </row>
    <row r="250" spans="1:40" x14ac:dyDescent="0.3">
      <c r="A250" s="10" t="s">
        <v>1080</v>
      </c>
      <c r="B250" s="10" t="s">
        <v>477</v>
      </c>
      <c r="C250" s="10" t="s">
        <v>1078</v>
      </c>
      <c r="D250" s="10" t="s">
        <v>1077</v>
      </c>
      <c r="E250" s="10">
        <v>1995</v>
      </c>
      <c r="F250" s="10" t="s">
        <v>2654</v>
      </c>
      <c r="G250" s="10" t="s">
        <v>75</v>
      </c>
      <c r="H250" s="10" t="s">
        <v>17</v>
      </c>
      <c r="I250" s="10" t="s">
        <v>1083</v>
      </c>
      <c r="J250" s="10" t="s">
        <v>56</v>
      </c>
      <c r="K250" s="10" t="s">
        <v>1079</v>
      </c>
      <c r="L250" s="10">
        <v>5</v>
      </c>
      <c r="M250" s="10">
        <v>5</v>
      </c>
      <c r="N250" s="10"/>
      <c r="O250" s="10">
        <f>1423*2</f>
        <v>2846</v>
      </c>
      <c r="P250" s="10"/>
      <c r="Q250" s="10"/>
      <c r="R250" s="10"/>
      <c r="S250" s="10">
        <v>1986</v>
      </c>
      <c r="T250" s="10"/>
      <c r="U250" s="10">
        <v>2077</v>
      </c>
      <c r="V250" s="10"/>
      <c r="W250" s="10"/>
      <c r="X250" s="10"/>
      <c r="Y250" s="14">
        <f t="shared" si="42"/>
        <v>0.6978215038650738</v>
      </c>
      <c r="Z250" s="14"/>
      <c r="AA250" s="14">
        <f t="shared" si="43"/>
        <v>0.6978215038650738</v>
      </c>
      <c r="AB250" s="10"/>
      <c r="AC250" s="10"/>
      <c r="AD250" s="10"/>
      <c r="AE250" s="10"/>
      <c r="AF250" s="10"/>
      <c r="AG250" s="10"/>
      <c r="AH250" s="10"/>
      <c r="AI250" s="10"/>
      <c r="AJ250" s="10"/>
      <c r="AK250" s="10" t="s">
        <v>2</v>
      </c>
      <c r="AL250" s="10" t="s">
        <v>2</v>
      </c>
      <c r="AM250" s="10" t="s">
        <v>3</v>
      </c>
      <c r="AN250" t="s">
        <v>2571</v>
      </c>
    </row>
    <row r="251" spans="1:40" x14ac:dyDescent="0.3">
      <c r="A251" s="10" t="s">
        <v>1080</v>
      </c>
      <c r="B251" s="10" t="s">
        <v>477</v>
      </c>
      <c r="C251" s="10" t="s">
        <v>1078</v>
      </c>
      <c r="D251" s="10" t="s">
        <v>1077</v>
      </c>
      <c r="E251" s="10">
        <v>1995</v>
      </c>
      <c r="F251" s="10" t="s">
        <v>2654</v>
      </c>
      <c r="G251" s="10" t="s">
        <v>75</v>
      </c>
      <c r="H251" s="10" t="s">
        <v>17</v>
      </c>
      <c r="I251" s="10" t="s">
        <v>1083</v>
      </c>
      <c r="J251" s="10" t="s">
        <v>56</v>
      </c>
      <c r="K251" s="10" t="s">
        <v>572</v>
      </c>
      <c r="L251" s="10">
        <v>5</v>
      </c>
      <c r="M251" s="10">
        <v>5</v>
      </c>
      <c r="N251" s="10"/>
      <c r="O251" s="10">
        <f>1423*2</f>
        <v>2846</v>
      </c>
      <c r="P251" s="10"/>
      <c r="Q251" s="10"/>
      <c r="R251" s="10"/>
      <c r="S251" s="10">
        <v>2093</v>
      </c>
      <c r="T251" s="10"/>
      <c r="U251" s="10">
        <v>604</v>
      </c>
      <c r="V251" s="10"/>
      <c r="W251" s="10"/>
      <c r="X251" s="10"/>
      <c r="Y251" s="14">
        <f t="shared" si="42"/>
        <v>0.73541813070976814</v>
      </c>
      <c r="Z251" s="14"/>
      <c r="AA251" s="14">
        <f t="shared" si="43"/>
        <v>0.73541813070976814</v>
      </c>
      <c r="AB251" s="10"/>
      <c r="AC251" s="10"/>
      <c r="AD251" s="10"/>
      <c r="AE251" s="10"/>
      <c r="AF251" s="10"/>
      <c r="AG251" s="10"/>
      <c r="AH251" s="10"/>
      <c r="AI251" s="10"/>
      <c r="AJ251" s="10"/>
      <c r="AK251" s="10" t="s">
        <v>2</v>
      </c>
      <c r="AL251" s="10" t="s">
        <v>2</v>
      </c>
      <c r="AM251" s="10" t="s">
        <v>3</v>
      </c>
      <c r="AN251" t="s">
        <v>2571</v>
      </c>
    </row>
    <row r="252" spans="1:40" x14ac:dyDescent="0.3">
      <c r="A252" s="10" t="s">
        <v>1080</v>
      </c>
      <c r="B252" s="10" t="s">
        <v>477</v>
      </c>
      <c r="C252" s="10" t="s">
        <v>1078</v>
      </c>
      <c r="D252" s="10" t="s">
        <v>1077</v>
      </c>
      <c r="E252" s="10">
        <v>1996</v>
      </c>
      <c r="F252" s="10" t="s">
        <v>2654</v>
      </c>
      <c r="G252" s="10" t="s">
        <v>75</v>
      </c>
      <c r="H252" s="10" t="s">
        <v>17</v>
      </c>
      <c r="I252" s="10" t="s">
        <v>1083</v>
      </c>
      <c r="J252" s="10" t="s">
        <v>56</v>
      </c>
      <c r="K252" s="10" t="s">
        <v>1079</v>
      </c>
      <c r="L252" s="10">
        <v>5</v>
      </c>
      <c r="M252" s="10">
        <v>5</v>
      </c>
      <c r="N252" s="10"/>
      <c r="O252" s="10">
        <f>1029*2</f>
        <v>2058</v>
      </c>
      <c r="P252" s="10"/>
      <c r="Q252" s="10"/>
      <c r="R252" s="10"/>
      <c r="S252" s="10">
        <v>1324</v>
      </c>
      <c r="T252" s="10"/>
      <c r="U252" s="10">
        <v>2267</v>
      </c>
      <c r="V252" s="10"/>
      <c r="W252" s="10"/>
      <c r="X252" s="10"/>
      <c r="Y252" s="14">
        <f t="shared" si="42"/>
        <v>0.64334305150631677</v>
      </c>
      <c r="Z252" s="14"/>
      <c r="AA252" s="14">
        <f t="shared" si="43"/>
        <v>0.64334305150631677</v>
      </c>
      <c r="AB252" s="10"/>
      <c r="AC252" s="10"/>
      <c r="AD252" s="10"/>
      <c r="AE252" s="10"/>
      <c r="AF252" s="10"/>
      <c r="AG252" s="10"/>
      <c r="AH252" s="10"/>
      <c r="AI252" s="10"/>
      <c r="AJ252" s="10"/>
      <c r="AK252" s="10" t="s">
        <v>2</v>
      </c>
      <c r="AL252" s="10" t="s">
        <v>2</v>
      </c>
      <c r="AM252" s="10" t="s">
        <v>3</v>
      </c>
      <c r="AN252" t="s">
        <v>2571</v>
      </c>
    </row>
    <row r="253" spans="1:40" x14ac:dyDescent="0.3">
      <c r="A253" s="10" t="s">
        <v>1080</v>
      </c>
      <c r="B253" s="10" t="s">
        <v>477</v>
      </c>
      <c r="C253" s="10" t="s">
        <v>1078</v>
      </c>
      <c r="D253" s="10" t="s">
        <v>1077</v>
      </c>
      <c r="E253" s="10">
        <v>1996</v>
      </c>
      <c r="F253" s="10" t="s">
        <v>2654</v>
      </c>
      <c r="G253" s="10" t="s">
        <v>75</v>
      </c>
      <c r="H253" s="10" t="s">
        <v>17</v>
      </c>
      <c r="I253" s="10" t="s">
        <v>1083</v>
      </c>
      <c r="J253" s="10" t="s">
        <v>56</v>
      </c>
      <c r="K253" s="10" t="s">
        <v>572</v>
      </c>
      <c r="L253" s="10">
        <v>5</v>
      </c>
      <c r="M253" s="10">
        <v>5</v>
      </c>
      <c r="N253" s="10"/>
      <c r="O253" s="10">
        <f>1029*2</f>
        <v>2058</v>
      </c>
      <c r="P253" s="10"/>
      <c r="Q253" s="10"/>
      <c r="R253" s="10"/>
      <c r="S253" s="10">
        <v>1300</v>
      </c>
      <c r="T253" s="10"/>
      <c r="U253" s="10">
        <v>756</v>
      </c>
      <c r="V253" s="10"/>
      <c r="W253" s="10"/>
      <c r="X253" s="10"/>
      <c r="Y253" s="14">
        <f t="shared" si="42"/>
        <v>0.63168124392614189</v>
      </c>
      <c r="Z253" s="14"/>
      <c r="AA253" s="14">
        <f t="shared" si="43"/>
        <v>0.63168124392614189</v>
      </c>
      <c r="AB253" s="10"/>
      <c r="AC253" s="10"/>
      <c r="AD253" s="10"/>
      <c r="AE253" s="10"/>
      <c r="AF253" s="10"/>
      <c r="AG253" s="10"/>
      <c r="AH253" s="10"/>
      <c r="AI253" s="10"/>
      <c r="AJ253" s="10"/>
      <c r="AK253" s="10" t="s">
        <v>2</v>
      </c>
      <c r="AL253" s="10" t="s">
        <v>2</v>
      </c>
      <c r="AM253" s="10" t="s">
        <v>3</v>
      </c>
      <c r="AN253" t="s">
        <v>2571</v>
      </c>
    </row>
    <row r="254" spans="1:40" x14ac:dyDescent="0.3">
      <c r="A254" s="10" t="s">
        <v>1080</v>
      </c>
      <c r="B254" s="10" t="s">
        <v>477</v>
      </c>
      <c r="C254" s="10" t="s">
        <v>1078</v>
      </c>
      <c r="D254" s="10" t="s">
        <v>1077</v>
      </c>
      <c r="E254" s="10">
        <v>1997</v>
      </c>
      <c r="F254" s="10" t="s">
        <v>2654</v>
      </c>
      <c r="G254" s="10" t="s">
        <v>75</v>
      </c>
      <c r="H254" s="10" t="s">
        <v>17</v>
      </c>
      <c r="I254" s="10" t="s">
        <v>1083</v>
      </c>
      <c r="J254" s="10" t="s">
        <v>56</v>
      </c>
      <c r="K254" s="10" t="s">
        <v>1079</v>
      </c>
      <c r="L254" s="10">
        <v>5</v>
      </c>
      <c r="M254" s="10">
        <v>5</v>
      </c>
      <c r="N254" s="10"/>
      <c r="O254" s="10">
        <f>1310*2</f>
        <v>2620</v>
      </c>
      <c r="P254" s="10"/>
      <c r="Q254" s="10"/>
      <c r="R254" s="10"/>
      <c r="S254" s="10">
        <v>2014</v>
      </c>
      <c r="T254" s="10"/>
      <c r="U254" s="10">
        <v>2840</v>
      </c>
      <c r="V254" s="10"/>
      <c r="W254" s="10"/>
      <c r="X254" s="10"/>
      <c r="Y254" s="14">
        <f t="shared" si="42"/>
        <v>0.76870229007633584</v>
      </c>
      <c r="Z254" s="14"/>
      <c r="AA254" s="14">
        <f t="shared" si="43"/>
        <v>0.76870229007633584</v>
      </c>
      <c r="AB254" s="10"/>
      <c r="AC254" s="10"/>
      <c r="AD254" s="10"/>
      <c r="AE254" s="10"/>
      <c r="AF254" s="10"/>
      <c r="AG254" s="10"/>
      <c r="AH254" s="10"/>
      <c r="AI254" s="10"/>
      <c r="AJ254" s="10"/>
      <c r="AK254" s="10" t="s">
        <v>2</v>
      </c>
      <c r="AL254" s="10" t="s">
        <v>2</v>
      </c>
      <c r="AM254" s="10" t="s">
        <v>3</v>
      </c>
      <c r="AN254" t="s">
        <v>2571</v>
      </c>
    </row>
    <row r="255" spans="1:40" x14ac:dyDescent="0.3">
      <c r="A255" s="10" t="s">
        <v>1080</v>
      </c>
      <c r="B255" s="10" t="s">
        <v>477</v>
      </c>
      <c r="C255" s="10" t="s">
        <v>1078</v>
      </c>
      <c r="D255" s="10" t="s">
        <v>1077</v>
      </c>
      <c r="E255" s="10">
        <v>1997</v>
      </c>
      <c r="F255" s="10" t="s">
        <v>2654</v>
      </c>
      <c r="G255" s="10" t="s">
        <v>75</v>
      </c>
      <c r="H255" s="10" t="s">
        <v>17</v>
      </c>
      <c r="I255" s="10" t="s">
        <v>1083</v>
      </c>
      <c r="J255" s="10" t="s">
        <v>56</v>
      </c>
      <c r="K255" s="10" t="s">
        <v>572</v>
      </c>
      <c r="L255" s="10">
        <v>5</v>
      </c>
      <c r="M255" s="10">
        <v>5</v>
      </c>
      <c r="N255" s="10"/>
      <c r="O255" s="10">
        <f>1310*2</f>
        <v>2620</v>
      </c>
      <c r="P255" s="10"/>
      <c r="Q255" s="10"/>
      <c r="R255" s="10"/>
      <c r="S255" s="10">
        <v>1988</v>
      </c>
      <c r="T255" s="10"/>
      <c r="U255" s="10">
        <v>1070</v>
      </c>
      <c r="V255" s="10"/>
      <c r="W255" s="10"/>
      <c r="X255" s="10"/>
      <c r="Y255" s="14">
        <f t="shared" si="42"/>
        <v>0.75877862595419843</v>
      </c>
      <c r="Z255" s="14"/>
      <c r="AA255" s="14">
        <f t="shared" si="43"/>
        <v>0.75877862595419843</v>
      </c>
      <c r="AB255" s="10"/>
      <c r="AC255" s="10"/>
      <c r="AD255" s="10"/>
      <c r="AE255" s="10"/>
      <c r="AF255" s="10"/>
      <c r="AG255" s="10"/>
      <c r="AH255" s="10"/>
      <c r="AI255" s="10"/>
      <c r="AJ255" s="10"/>
      <c r="AK255" s="10" t="s">
        <v>2</v>
      </c>
      <c r="AL255" s="10" t="s">
        <v>2</v>
      </c>
      <c r="AM255" s="10" t="s">
        <v>3</v>
      </c>
      <c r="AN255" t="s">
        <v>2571</v>
      </c>
    </row>
    <row r="256" spans="1:40" x14ac:dyDescent="0.3">
      <c r="A256" s="10" t="s">
        <v>1080</v>
      </c>
      <c r="B256" s="10" t="s">
        <v>477</v>
      </c>
      <c r="C256" s="10" t="s">
        <v>1078</v>
      </c>
      <c r="D256" s="10" t="s">
        <v>1077</v>
      </c>
      <c r="E256" s="10">
        <v>1998</v>
      </c>
      <c r="F256" s="10" t="s">
        <v>2654</v>
      </c>
      <c r="G256" s="10" t="s">
        <v>75</v>
      </c>
      <c r="H256" s="10" t="s">
        <v>17</v>
      </c>
      <c r="I256" s="10" t="s">
        <v>1083</v>
      </c>
      <c r="J256" s="10" t="s">
        <v>56</v>
      </c>
      <c r="K256" s="10" t="s">
        <v>1079</v>
      </c>
      <c r="L256" s="10">
        <v>5</v>
      </c>
      <c r="M256" s="10">
        <v>5</v>
      </c>
      <c r="N256" s="10"/>
      <c r="O256" s="10">
        <f>743*2</f>
        <v>1486</v>
      </c>
      <c r="P256" s="10"/>
      <c r="Q256" s="10"/>
      <c r="R256" s="10"/>
      <c r="S256" s="10">
        <v>1298</v>
      </c>
      <c r="T256" s="10"/>
      <c r="U256" s="10">
        <v>2045</v>
      </c>
      <c r="V256" s="10"/>
      <c r="W256" s="10"/>
      <c r="X256" s="10"/>
      <c r="Y256" s="14">
        <f t="shared" si="42"/>
        <v>0.87348586810228801</v>
      </c>
      <c r="Z256" s="14"/>
      <c r="AA256" s="14">
        <f t="shared" si="43"/>
        <v>0.87348586810228801</v>
      </c>
      <c r="AB256" s="10"/>
      <c r="AC256" s="10"/>
      <c r="AD256" s="10"/>
      <c r="AE256" s="10"/>
      <c r="AF256" s="10"/>
      <c r="AG256" s="10"/>
      <c r="AH256" s="10"/>
      <c r="AI256" s="10"/>
      <c r="AJ256" s="10"/>
      <c r="AK256" s="10" t="s">
        <v>2</v>
      </c>
      <c r="AL256" s="10" t="s">
        <v>2</v>
      </c>
      <c r="AM256" s="10" t="s">
        <v>3</v>
      </c>
      <c r="AN256" t="s">
        <v>2571</v>
      </c>
    </row>
    <row r="257" spans="1:40" x14ac:dyDescent="0.3">
      <c r="A257" s="10" t="s">
        <v>1080</v>
      </c>
      <c r="B257" s="10" t="s">
        <v>477</v>
      </c>
      <c r="C257" s="10" t="s">
        <v>1078</v>
      </c>
      <c r="D257" s="10" t="s">
        <v>1077</v>
      </c>
      <c r="E257" s="10">
        <v>1988</v>
      </c>
      <c r="F257" s="10" t="s">
        <v>2654</v>
      </c>
      <c r="G257" s="10" t="s">
        <v>75</v>
      </c>
      <c r="H257" s="10" t="s">
        <v>17</v>
      </c>
      <c r="I257" s="10" t="s">
        <v>1083</v>
      </c>
      <c r="J257" s="10" t="s">
        <v>56</v>
      </c>
      <c r="K257" s="10" t="s">
        <v>572</v>
      </c>
      <c r="L257" s="10">
        <v>5</v>
      </c>
      <c r="M257" s="10">
        <v>5</v>
      </c>
      <c r="N257" s="10"/>
      <c r="O257" s="10">
        <f>743*2</f>
        <v>1486</v>
      </c>
      <c r="P257" s="10"/>
      <c r="Q257" s="10"/>
      <c r="R257" s="10"/>
      <c r="S257" s="10">
        <v>1141</v>
      </c>
      <c r="T257" s="10"/>
      <c r="U257" s="10">
        <v>2000</v>
      </c>
      <c r="V257" s="10"/>
      <c r="W257" s="10"/>
      <c r="X257" s="10"/>
      <c r="Y257" s="14">
        <f t="shared" si="42"/>
        <v>0.76783310901749668</v>
      </c>
      <c r="Z257" s="14"/>
      <c r="AA257" s="14">
        <f t="shared" si="43"/>
        <v>0.76783310901749668</v>
      </c>
      <c r="AB257" s="10"/>
      <c r="AC257" s="10"/>
      <c r="AD257" s="10"/>
      <c r="AE257" s="10"/>
      <c r="AF257" s="10"/>
      <c r="AG257" s="10"/>
      <c r="AH257" s="10"/>
      <c r="AI257" s="10"/>
      <c r="AJ257" s="10"/>
      <c r="AK257" s="10" t="s">
        <v>2</v>
      </c>
      <c r="AL257" s="10" t="s">
        <v>2</v>
      </c>
      <c r="AM257" s="10" t="s">
        <v>3</v>
      </c>
      <c r="AN257" t="s">
        <v>2571</v>
      </c>
    </row>
    <row r="258" spans="1:40" x14ac:dyDescent="0.3">
      <c r="A258" s="10" t="s">
        <v>1080</v>
      </c>
      <c r="B258" s="10" t="s">
        <v>477</v>
      </c>
      <c r="C258" s="10" t="s">
        <v>1078</v>
      </c>
      <c r="D258" s="10" t="s">
        <v>1077</v>
      </c>
      <c r="E258" s="10">
        <v>1991</v>
      </c>
      <c r="F258" s="10" t="s">
        <v>2654</v>
      </c>
      <c r="G258" s="10" t="s">
        <v>75</v>
      </c>
      <c r="H258" s="10" t="s">
        <v>17</v>
      </c>
      <c r="I258" s="10" t="s">
        <v>1084</v>
      </c>
      <c r="J258" s="10" t="s">
        <v>53</v>
      </c>
      <c r="K258" s="10" t="s">
        <v>1079</v>
      </c>
      <c r="L258" s="10">
        <v>5</v>
      </c>
      <c r="M258" s="10">
        <v>5</v>
      </c>
      <c r="N258" s="10"/>
      <c r="O258" s="10">
        <f>2384*2</f>
        <v>4768</v>
      </c>
      <c r="P258" s="10"/>
      <c r="Q258" s="10"/>
      <c r="R258" s="10"/>
      <c r="S258" s="10">
        <v>2232</v>
      </c>
      <c r="T258" s="10"/>
      <c r="U258" s="10"/>
      <c r="V258" s="10"/>
      <c r="W258" s="10"/>
      <c r="X258" s="10"/>
      <c r="Y258" s="14">
        <f t="shared" si="42"/>
        <v>0.46812080536912754</v>
      </c>
      <c r="Z258" s="14"/>
      <c r="AA258" s="14">
        <f t="shared" si="43"/>
        <v>0.46812080536912754</v>
      </c>
      <c r="AB258" s="10"/>
      <c r="AC258" s="10"/>
      <c r="AD258" s="10"/>
      <c r="AE258" s="10"/>
      <c r="AF258" s="10"/>
      <c r="AG258" s="10"/>
      <c r="AH258" s="10"/>
      <c r="AI258" s="10"/>
      <c r="AJ258" s="10"/>
      <c r="AK258" s="10" t="s">
        <v>2</v>
      </c>
      <c r="AL258" s="10" t="s">
        <v>2</v>
      </c>
      <c r="AM258" s="10" t="s">
        <v>3</v>
      </c>
      <c r="AN258" t="s">
        <v>2571</v>
      </c>
    </row>
    <row r="259" spans="1:40" x14ac:dyDescent="0.3">
      <c r="A259" s="10" t="s">
        <v>1080</v>
      </c>
      <c r="B259" s="10" t="s">
        <v>477</v>
      </c>
      <c r="C259" s="10" t="s">
        <v>1078</v>
      </c>
      <c r="D259" s="10" t="s">
        <v>1077</v>
      </c>
      <c r="E259" s="10">
        <v>1991</v>
      </c>
      <c r="F259" s="10" t="s">
        <v>2654</v>
      </c>
      <c r="G259" s="10" t="s">
        <v>75</v>
      </c>
      <c r="H259" s="10" t="s">
        <v>17</v>
      </c>
      <c r="I259" s="10" t="s">
        <v>1084</v>
      </c>
      <c r="J259" s="10" t="s">
        <v>53</v>
      </c>
      <c r="K259" s="10" t="s">
        <v>572</v>
      </c>
      <c r="L259" s="10">
        <v>5</v>
      </c>
      <c r="M259" s="10">
        <v>5</v>
      </c>
      <c r="N259" s="10"/>
      <c r="O259" s="10">
        <f>2384*2</f>
        <v>4768</v>
      </c>
      <c r="P259" s="10"/>
      <c r="Q259" s="10"/>
      <c r="R259" s="10"/>
      <c r="S259" s="10">
        <v>2216</v>
      </c>
      <c r="T259" s="10"/>
      <c r="U259" s="10"/>
      <c r="V259" s="10"/>
      <c r="W259" s="10"/>
      <c r="X259" s="10"/>
      <c r="Y259" s="14">
        <f t="shared" si="42"/>
        <v>0.46476510067114096</v>
      </c>
      <c r="Z259" s="14"/>
      <c r="AA259" s="14">
        <f t="shared" si="43"/>
        <v>0.46476510067114096</v>
      </c>
      <c r="AB259" s="10"/>
      <c r="AC259" s="10"/>
      <c r="AD259" s="10"/>
      <c r="AE259" s="10"/>
      <c r="AF259" s="10"/>
      <c r="AG259" s="10"/>
      <c r="AH259" s="10"/>
      <c r="AI259" s="10"/>
      <c r="AJ259" s="10"/>
      <c r="AK259" s="10" t="s">
        <v>2</v>
      </c>
      <c r="AL259" s="10" t="s">
        <v>2</v>
      </c>
      <c r="AM259" s="10" t="s">
        <v>3</v>
      </c>
      <c r="AN259" t="s">
        <v>2571</v>
      </c>
    </row>
    <row r="260" spans="1:40" x14ac:dyDescent="0.3">
      <c r="A260" s="10" t="s">
        <v>1080</v>
      </c>
      <c r="B260" s="10" t="s">
        <v>477</v>
      </c>
      <c r="C260" s="10" t="s">
        <v>1078</v>
      </c>
      <c r="D260" s="10" t="s">
        <v>1077</v>
      </c>
      <c r="E260" s="10">
        <v>1992</v>
      </c>
      <c r="F260" s="10" t="s">
        <v>2654</v>
      </c>
      <c r="G260" s="10" t="s">
        <v>75</v>
      </c>
      <c r="H260" s="10" t="s">
        <v>17</v>
      </c>
      <c r="I260" s="10" t="s">
        <v>1084</v>
      </c>
      <c r="J260" s="10" t="s">
        <v>53</v>
      </c>
      <c r="K260" s="10" t="s">
        <v>1079</v>
      </c>
      <c r="L260" s="10">
        <v>5</v>
      </c>
      <c r="M260" s="10">
        <v>5</v>
      </c>
      <c r="N260" s="10"/>
      <c r="O260" s="10">
        <f>1884*2</f>
        <v>3768</v>
      </c>
      <c r="P260" s="10"/>
      <c r="Q260" s="10"/>
      <c r="R260" s="10"/>
      <c r="S260" s="10">
        <v>2185</v>
      </c>
      <c r="T260" s="10"/>
      <c r="U260" s="10"/>
      <c r="V260" s="10"/>
      <c r="W260" s="10"/>
      <c r="X260" s="10"/>
      <c r="Y260" s="14">
        <f t="shared" si="42"/>
        <v>0.57988322717622076</v>
      </c>
      <c r="Z260" s="14"/>
      <c r="AA260" s="14">
        <f t="shared" si="43"/>
        <v>0.57988322717622076</v>
      </c>
      <c r="AB260" s="10"/>
      <c r="AC260" s="10"/>
      <c r="AD260" s="10"/>
      <c r="AE260" s="10"/>
      <c r="AF260" s="10"/>
      <c r="AG260" s="10"/>
      <c r="AH260" s="10"/>
      <c r="AI260" s="10"/>
      <c r="AJ260" s="10"/>
      <c r="AK260" s="10" t="s">
        <v>2</v>
      </c>
      <c r="AL260" s="10" t="s">
        <v>2</v>
      </c>
      <c r="AM260" s="10" t="s">
        <v>3</v>
      </c>
      <c r="AN260" t="s">
        <v>2571</v>
      </c>
    </row>
    <row r="261" spans="1:40" x14ac:dyDescent="0.3">
      <c r="A261" s="10" t="s">
        <v>1080</v>
      </c>
      <c r="B261" s="10" t="s">
        <v>477</v>
      </c>
      <c r="C261" s="10" t="s">
        <v>1078</v>
      </c>
      <c r="D261" s="10" t="s">
        <v>1077</v>
      </c>
      <c r="E261" s="10">
        <v>1992</v>
      </c>
      <c r="F261" s="10" t="s">
        <v>2654</v>
      </c>
      <c r="G261" s="10" t="s">
        <v>75</v>
      </c>
      <c r="H261" s="10" t="s">
        <v>17</v>
      </c>
      <c r="I261" s="10" t="s">
        <v>1084</v>
      </c>
      <c r="J261" s="10" t="s">
        <v>53</v>
      </c>
      <c r="K261" s="10" t="s">
        <v>572</v>
      </c>
      <c r="L261" s="10">
        <v>5</v>
      </c>
      <c r="M261" s="10">
        <v>5</v>
      </c>
      <c r="N261" s="10"/>
      <c r="O261" s="10">
        <f>1884*2</f>
        <v>3768</v>
      </c>
      <c r="P261" s="10"/>
      <c r="Q261" s="10"/>
      <c r="R261" s="10"/>
      <c r="S261" s="10">
        <v>1871</v>
      </c>
      <c r="T261" s="10"/>
      <c r="U261" s="10"/>
      <c r="V261" s="10"/>
      <c r="W261" s="10"/>
      <c r="X261" s="10"/>
      <c r="Y261" s="14">
        <f t="shared" ref="Y261:Y289" si="44">S261/O261</f>
        <v>0.49654989384288745</v>
      </c>
      <c r="Z261" s="14"/>
      <c r="AA261" s="14">
        <f t="shared" si="43"/>
        <v>0.49654989384288745</v>
      </c>
      <c r="AB261" s="10"/>
      <c r="AC261" s="10"/>
      <c r="AD261" s="10"/>
      <c r="AE261" s="10"/>
      <c r="AF261" s="10"/>
      <c r="AG261" s="10"/>
      <c r="AH261" s="10"/>
      <c r="AI261" s="10"/>
      <c r="AJ261" s="10"/>
      <c r="AK261" s="10" t="s">
        <v>2</v>
      </c>
      <c r="AL261" s="10" t="s">
        <v>2</v>
      </c>
      <c r="AM261" s="10" t="s">
        <v>3</v>
      </c>
      <c r="AN261" t="s">
        <v>2571</v>
      </c>
    </row>
    <row r="262" spans="1:40" x14ac:dyDescent="0.3">
      <c r="A262" s="10" t="s">
        <v>1080</v>
      </c>
      <c r="B262" s="10" t="s">
        <v>477</v>
      </c>
      <c r="C262" s="10" t="s">
        <v>1078</v>
      </c>
      <c r="D262" s="10" t="s">
        <v>1077</v>
      </c>
      <c r="E262" s="10">
        <v>1993</v>
      </c>
      <c r="F262" s="10" t="s">
        <v>2654</v>
      </c>
      <c r="G262" s="10" t="s">
        <v>75</v>
      </c>
      <c r="H262" s="10" t="s">
        <v>17</v>
      </c>
      <c r="I262" s="10" t="s">
        <v>1084</v>
      </c>
      <c r="J262" s="10" t="s">
        <v>56</v>
      </c>
      <c r="K262" s="10" t="s">
        <v>1079</v>
      </c>
      <c r="L262" s="10">
        <v>5</v>
      </c>
      <c r="M262" s="10">
        <v>5</v>
      </c>
      <c r="N262" s="10"/>
      <c r="O262" s="10">
        <f>1630*2</f>
        <v>3260</v>
      </c>
      <c r="P262" s="10"/>
      <c r="Q262" s="10"/>
      <c r="R262" s="10"/>
      <c r="S262" s="10">
        <v>1966</v>
      </c>
      <c r="T262" s="10"/>
      <c r="U262" s="10"/>
      <c r="V262" s="10"/>
      <c r="W262" s="10"/>
      <c r="X262" s="10"/>
      <c r="Y262" s="14">
        <f t="shared" si="44"/>
        <v>0.60306748466257665</v>
      </c>
      <c r="Z262" s="14"/>
      <c r="AA262" s="14">
        <f t="shared" si="43"/>
        <v>0.60306748466257665</v>
      </c>
      <c r="AB262" s="10"/>
      <c r="AC262" s="10"/>
      <c r="AD262" s="10"/>
      <c r="AE262" s="10"/>
      <c r="AF262" s="10"/>
      <c r="AG262" s="10"/>
      <c r="AH262" s="10"/>
      <c r="AI262" s="10"/>
      <c r="AJ262" s="10"/>
      <c r="AK262" s="10" t="s">
        <v>2</v>
      </c>
      <c r="AL262" s="10" t="s">
        <v>2</v>
      </c>
      <c r="AM262" s="10" t="s">
        <v>3</v>
      </c>
      <c r="AN262" t="s">
        <v>2571</v>
      </c>
    </row>
    <row r="263" spans="1:40" x14ac:dyDescent="0.3">
      <c r="A263" s="10" t="s">
        <v>1080</v>
      </c>
      <c r="B263" s="10" t="s">
        <v>477</v>
      </c>
      <c r="C263" s="10" t="s">
        <v>1078</v>
      </c>
      <c r="D263" s="10" t="s">
        <v>1077</v>
      </c>
      <c r="E263" s="10">
        <v>1993</v>
      </c>
      <c r="F263" s="10" t="s">
        <v>2654</v>
      </c>
      <c r="G263" s="10" t="s">
        <v>75</v>
      </c>
      <c r="H263" s="10" t="s">
        <v>17</v>
      </c>
      <c r="I263" s="10" t="s">
        <v>1084</v>
      </c>
      <c r="J263" s="10" t="s">
        <v>56</v>
      </c>
      <c r="K263" s="10" t="s">
        <v>572</v>
      </c>
      <c r="L263" s="10">
        <v>5</v>
      </c>
      <c r="M263" s="10">
        <v>5</v>
      </c>
      <c r="N263" s="10"/>
      <c r="O263" s="10">
        <f>1630*2</f>
        <v>3260</v>
      </c>
      <c r="P263" s="10"/>
      <c r="Q263" s="10"/>
      <c r="R263" s="10"/>
      <c r="S263" s="10">
        <v>1818</v>
      </c>
      <c r="T263" s="10"/>
      <c r="U263" s="10"/>
      <c r="V263" s="10"/>
      <c r="W263" s="10"/>
      <c r="X263" s="10"/>
      <c r="Y263" s="14">
        <f t="shared" si="44"/>
        <v>0.55766871165644172</v>
      </c>
      <c r="Z263" s="14"/>
      <c r="AA263" s="14">
        <f t="shared" si="43"/>
        <v>0.55766871165644172</v>
      </c>
      <c r="AB263" s="10"/>
      <c r="AC263" s="10"/>
      <c r="AD263" s="10"/>
      <c r="AE263" s="10"/>
      <c r="AF263" s="10"/>
      <c r="AG263" s="10"/>
      <c r="AH263" s="10"/>
      <c r="AI263" s="10"/>
      <c r="AJ263" s="10"/>
      <c r="AK263" s="10" t="s">
        <v>2</v>
      </c>
      <c r="AL263" s="10" t="s">
        <v>2</v>
      </c>
      <c r="AM263" s="10" t="s">
        <v>3</v>
      </c>
      <c r="AN263" t="s">
        <v>2571</v>
      </c>
    </row>
    <row r="264" spans="1:40" x14ac:dyDescent="0.3">
      <c r="A264" s="10" t="s">
        <v>1080</v>
      </c>
      <c r="B264" s="10" t="s">
        <v>477</v>
      </c>
      <c r="C264" s="10" t="s">
        <v>1078</v>
      </c>
      <c r="D264" s="10" t="s">
        <v>1077</v>
      </c>
      <c r="E264" s="10">
        <v>1994</v>
      </c>
      <c r="F264" s="10" t="s">
        <v>2654</v>
      </c>
      <c r="G264" s="10" t="s">
        <v>75</v>
      </c>
      <c r="H264" s="10" t="s">
        <v>17</v>
      </c>
      <c r="I264" s="10" t="s">
        <v>1084</v>
      </c>
      <c r="J264" s="10" t="s">
        <v>56</v>
      </c>
      <c r="K264" s="10" t="s">
        <v>1079</v>
      </c>
      <c r="L264" s="10">
        <v>5</v>
      </c>
      <c r="M264" s="10">
        <v>5</v>
      </c>
      <c r="N264" s="10"/>
      <c r="O264" s="10">
        <f>937*2</f>
        <v>1874</v>
      </c>
      <c r="P264" s="10"/>
      <c r="Q264" s="10"/>
      <c r="R264" s="10"/>
      <c r="S264" s="10">
        <v>1804</v>
      </c>
      <c r="T264" s="10"/>
      <c r="U264" s="10">
        <v>4640</v>
      </c>
      <c r="V264" s="10"/>
      <c r="W264" s="10"/>
      <c r="X264" s="10"/>
      <c r="Y264" s="14">
        <f t="shared" si="44"/>
        <v>0.96264674493062963</v>
      </c>
      <c r="Z264" s="14"/>
      <c r="AA264" s="14">
        <f t="shared" si="43"/>
        <v>0.96264674493062963</v>
      </c>
      <c r="AB264" s="10"/>
      <c r="AC264" s="10"/>
      <c r="AD264" s="10"/>
      <c r="AE264" s="10"/>
      <c r="AF264" s="10"/>
      <c r="AG264" s="10"/>
      <c r="AH264" s="10"/>
      <c r="AI264" s="10"/>
      <c r="AJ264" s="10"/>
      <c r="AK264" s="10" t="s">
        <v>2</v>
      </c>
      <c r="AL264" s="10" t="s">
        <v>2</v>
      </c>
      <c r="AM264" s="10" t="s">
        <v>3</v>
      </c>
      <c r="AN264" t="s">
        <v>2571</v>
      </c>
    </row>
    <row r="265" spans="1:40" x14ac:dyDescent="0.3">
      <c r="A265" s="10" t="s">
        <v>1080</v>
      </c>
      <c r="B265" s="10" t="s">
        <v>477</v>
      </c>
      <c r="C265" s="10" t="s">
        <v>1078</v>
      </c>
      <c r="D265" s="10" t="s">
        <v>1077</v>
      </c>
      <c r="E265" s="10">
        <v>1994</v>
      </c>
      <c r="F265" s="10" t="s">
        <v>2654</v>
      </c>
      <c r="G265" s="10" t="s">
        <v>75</v>
      </c>
      <c r="H265" s="10" t="s">
        <v>17</v>
      </c>
      <c r="I265" s="10" t="s">
        <v>1084</v>
      </c>
      <c r="J265" s="10" t="s">
        <v>56</v>
      </c>
      <c r="K265" s="10" t="s">
        <v>572</v>
      </c>
      <c r="L265" s="10">
        <v>5</v>
      </c>
      <c r="M265" s="10">
        <v>5</v>
      </c>
      <c r="N265" s="10"/>
      <c r="O265" s="10">
        <f>937*2</f>
        <v>1874</v>
      </c>
      <c r="P265" s="10"/>
      <c r="Q265" s="10"/>
      <c r="R265" s="10"/>
      <c r="S265" s="10">
        <v>1551</v>
      </c>
      <c r="T265" s="10"/>
      <c r="U265" s="10">
        <v>1274</v>
      </c>
      <c r="V265" s="10"/>
      <c r="W265" s="10"/>
      <c r="X265" s="10"/>
      <c r="Y265" s="14">
        <f t="shared" si="44"/>
        <v>0.82764140875133407</v>
      </c>
      <c r="Z265" s="14"/>
      <c r="AA265" s="14">
        <f t="shared" si="43"/>
        <v>0.82764140875133407</v>
      </c>
      <c r="AB265" s="10"/>
      <c r="AC265" s="10"/>
      <c r="AD265" s="10"/>
      <c r="AE265" s="10"/>
      <c r="AF265" s="10"/>
      <c r="AG265" s="10"/>
      <c r="AH265" s="10"/>
      <c r="AI265" s="10"/>
      <c r="AJ265" s="10"/>
      <c r="AK265" s="10" t="s">
        <v>2</v>
      </c>
      <c r="AL265" s="10" t="s">
        <v>2</v>
      </c>
      <c r="AM265" s="10" t="s">
        <v>3</v>
      </c>
      <c r="AN265" t="s">
        <v>2571</v>
      </c>
    </row>
    <row r="266" spans="1:40" x14ac:dyDescent="0.3">
      <c r="A266" s="10" t="s">
        <v>1080</v>
      </c>
      <c r="B266" s="10" t="s">
        <v>477</v>
      </c>
      <c r="C266" s="10" t="s">
        <v>1078</v>
      </c>
      <c r="D266" s="10" t="s">
        <v>1077</v>
      </c>
      <c r="E266" s="10">
        <v>1995</v>
      </c>
      <c r="F266" s="10" t="s">
        <v>2654</v>
      </c>
      <c r="G266" s="10" t="s">
        <v>75</v>
      </c>
      <c r="H266" s="10" t="s">
        <v>17</v>
      </c>
      <c r="I266" s="10" t="s">
        <v>1084</v>
      </c>
      <c r="J266" s="10" t="s">
        <v>56</v>
      </c>
      <c r="K266" s="10" t="s">
        <v>1079</v>
      </c>
      <c r="L266" s="10">
        <v>5</v>
      </c>
      <c r="M266" s="10">
        <v>5</v>
      </c>
      <c r="N266" s="10"/>
      <c r="O266" s="10">
        <f>1355*2</f>
        <v>2710</v>
      </c>
      <c r="P266" s="10"/>
      <c r="Q266" s="10"/>
      <c r="R266" s="10"/>
      <c r="S266" s="10">
        <v>2129</v>
      </c>
      <c r="T266" s="10"/>
      <c r="U266" s="10">
        <v>2723</v>
      </c>
      <c r="V266" s="10"/>
      <c r="W266" s="10"/>
      <c r="X266" s="10"/>
      <c r="Y266" s="14">
        <f t="shared" si="44"/>
        <v>0.7856088560885609</v>
      </c>
      <c r="Z266" s="14"/>
      <c r="AA266" s="14">
        <f t="shared" si="43"/>
        <v>0.7856088560885609</v>
      </c>
      <c r="AB266" s="10"/>
      <c r="AC266" s="10"/>
      <c r="AD266" s="10"/>
      <c r="AE266" s="10"/>
      <c r="AF266" s="10"/>
      <c r="AG266" s="10"/>
      <c r="AH266" s="10"/>
      <c r="AI266" s="10"/>
      <c r="AJ266" s="10"/>
      <c r="AK266" s="10" t="s">
        <v>2</v>
      </c>
      <c r="AL266" s="10" t="s">
        <v>2</v>
      </c>
      <c r="AM266" s="10" t="s">
        <v>3</v>
      </c>
      <c r="AN266" t="s">
        <v>2571</v>
      </c>
    </row>
    <row r="267" spans="1:40" x14ac:dyDescent="0.3">
      <c r="A267" s="10" t="s">
        <v>1080</v>
      </c>
      <c r="B267" s="10" t="s">
        <v>477</v>
      </c>
      <c r="C267" s="10" t="s">
        <v>1078</v>
      </c>
      <c r="D267" s="10" t="s">
        <v>1077</v>
      </c>
      <c r="E267" s="10">
        <v>1995</v>
      </c>
      <c r="F267" s="10" t="s">
        <v>2654</v>
      </c>
      <c r="G267" s="10" t="s">
        <v>75</v>
      </c>
      <c r="H267" s="10" t="s">
        <v>17</v>
      </c>
      <c r="I267" s="10" t="s">
        <v>1084</v>
      </c>
      <c r="J267" s="10" t="s">
        <v>56</v>
      </c>
      <c r="K267" s="10" t="s">
        <v>572</v>
      </c>
      <c r="L267" s="10">
        <v>5</v>
      </c>
      <c r="M267" s="10">
        <v>5</v>
      </c>
      <c r="N267" s="10"/>
      <c r="O267" s="10">
        <f>1355*2</f>
        <v>2710</v>
      </c>
      <c r="P267" s="10"/>
      <c r="Q267" s="10"/>
      <c r="R267" s="10"/>
      <c r="S267" s="10">
        <v>2027</v>
      </c>
      <c r="T267" s="10"/>
      <c r="U267" s="10">
        <v>753</v>
      </c>
      <c r="V267" s="10"/>
      <c r="W267" s="10"/>
      <c r="X267" s="10"/>
      <c r="Y267" s="14">
        <f t="shared" si="44"/>
        <v>0.74797047970479702</v>
      </c>
      <c r="Z267" s="14"/>
      <c r="AA267" s="14">
        <f t="shared" si="43"/>
        <v>0.74797047970479702</v>
      </c>
      <c r="AB267" s="10"/>
      <c r="AC267" s="10"/>
      <c r="AD267" s="10"/>
      <c r="AE267" s="10"/>
      <c r="AF267" s="10"/>
      <c r="AG267" s="10"/>
      <c r="AH267" s="10"/>
      <c r="AI267" s="10"/>
      <c r="AJ267" s="10"/>
      <c r="AK267" s="10" t="s">
        <v>2</v>
      </c>
      <c r="AL267" s="10" t="s">
        <v>2</v>
      </c>
      <c r="AM267" s="10" t="s">
        <v>3</v>
      </c>
      <c r="AN267" t="s">
        <v>2571</v>
      </c>
    </row>
    <row r="268" spans="1:40" x14ac:dyDescent="0.3">
      <c r="A268" s="10" t="s">
        <v>1080</v>
      </c>
      <c r="B268" s="10" t="s">
        <v>477</v>
      </c>
      <c r="C268" s="10" t="s">
        <v>1078</v>
      </c>
      <c r="D268" s="10" t="s">
        <v>1077</v>
      </c>
      <c r="E268" s="10">
        <v>1996</v>
      </c>
      <c r="F268" s="10" t="s">
        <v>2654</v>
      </c>
      <c r="G268" s="10" t="s">
        <v>75</v>
      </c>
      <c r="H268" s="10" t="s">
        <v>17</v>
      </c>
      <c r="I268" s="10" t="s">
        <v>1084</v>
      </c>
      <c r="J268" s="10" t="s">
        <v>56</v>
      </c>
      <c r="K268" s="10" t="s">
        <v>1079</v>
      </c>
      <c r="L268" s="10">
        <v>5</v>
      </c>
      <c r="M268" s="10">
        <v>5</v>
      </c>
      <c r="N268" s="10"/>
      <c r="O268" s="10">
        <f>1163*2</f>
        <v>2326</v>
      </c>
      <c r="P268" s="10"/>
      <c r="Q268" s="10"/>
      <c r="R268" s="10"/>
      <c r="S268" s="10">
        <v>1518</v>
      </c>
      <c r="T268" s="10"/>
      <c r="U268" s="10">
        <v>1311</v>
      </c>
      <c r="V268" s="10"/>
      <c r="W268" s="10"/>
      <c r="X268" s="10"/>
      <c r="Y268" s="14">
        <f t="shared" si="44"/>
        <v>0.65262252794496989</v>
      </c>
      <c r="Z268" s="14"/>
      <c r="AA268" s="14">
        <f t="shared" si="43"/>
        <v>0.65262252794496989</v>
      </c>
      <c r="AB268" s="10"/>
      <c r="AC268" s="10"/>
      <c r="AD268" s="10"/>
      <c r="AE268" s="10"/>
      <c r="AF268" s="10"/>
      <c r="AG268" s="10"/>
      <c r="AH268" s="10"/>
      <c r="AI268" s="10"/>
      <c r="AJ268" s="10"/>
      <c r="AK268" s="10" t="s">
        <v>2</v>
      </c>
      <c r="AL268" s="10" t="s">
        <v>2</v>
      </c>
      <c r="AM268" s="10" t="s">
        <v>3</v>
      </c>
      <c r="AN268" t="s">
        <v>2571</v>
      </c>
    </row>
    <row r="269" spans="1:40" x14ac:dyDescent="0.3">
      <c r="A269" s="10" t="s">
        <v>1080</v>
      </c>
      <c r="B269" s="10" t="s">
        <v>477</v>
      </c>
      <c r="C269" s="10" t="s">
        <v>1078</v>
      </c>
      <c r="D269" s="10" t="s">
        <v>1077</v>
      </c>
      <c r="E269" s="10">
        <v>1996</v>
      </c>
      <c r="F269" s="10" t="s">
        <v>2654</v>
      </c>
      <c r="G269" s="10" t="s">
        <v>75</v>
      </c>
      <c r="H269" s="10" t="s">
        <v>17</v>
      </c>
      <c r="I269" s="10" t="s">
        <v>1084</v>
      </c>
      <c r="J269" s="10" t="s">
        <v>56</v>
      </c>
      <c r="K269" s="10" t="s">
        <v>572</v>
      </c>
      <c r="L269" s="10">
        <v>5</v>
      </c>
      <c r="M269" s="10">
        <v>5</v>
      </c>
      <c r="N269" s="10"/>
      <c r="O269" s="10">
        <f>1163*2</f>
        <v>2326</v>
      </c>
      <c r="P269" s="10"/>
      <c r="Q269" s="10"/>
      <c r="R269" s="10"/>
      <c r="S269" s="10">
        <v>1320</v>
      </c>
      <c r="T269" s="10"/>
      <c r="U269" s="10">
        <v>963</v>
      </c>
      <c r="V269" s="10"/>
      <c r="W269" s="10"/>
      <c r="X269" s="10"/>
      <c r="Y269" s="14">
        <f t="shared" si="44"/>
        <v>0.56749785038693035</v>
      </c>
      <c r="Z269" s="14"/>
      <c r="AA269" s="14">
        <f t="shared" si="43"/>
        <v>0.56749785038693035</v>
      </c>
      <c r="AB269" s="10"/>
      <c r="AC269" s="10"/>
      <c r="AD269" s="10"/>
      <c r="AE269" s="10"/>
      <c r="AF269" s="10"/>
      <c r="AG269" s="10"/>
      <c r="AH269" s="10"/>
      <c r="AI269" s="10"/>
      <c r="AJ269" s="10"/>
      <c r="AK269" s="10" t="s">
        <v>2</v>
      </c>
      <c r="AL269" s="10" t="s">
        <v>2</v>
      </c>
      <c r="AM269" s="10" t="s">
        <v>3</v>
      </c>
      <c r="AN269" t="s">
        <v>2571</v>
      </c>
    </row>
    <row r="270" spans="1:40" x14ac:dyDescent="0.3">
      <c r="A270" s="10" t="s">
        <v>1080</v>
      </c>
      <c r="B270" s="10" t="s">
        <v>477</v>
      </c>
      <c r="C270" s="10" t="s">
        <v>1078</v>
      </c>
      <c r="D270" s="10" t="s">
        <v>1077</v>
      </c>
      <c r="E270" s="10">
        <v>1997</v>
      </c>
      <c r="F270" s="10" t="s">
        <v>2654</v>
      </c>
      <c r="G270" s="10" t="s">
        <v>75</v>
      </c>
      <c r="H270" s="10" t="s">
        <v>17</v>
      </c>
      <c r="I270" s="10" t="s">
        <v>1084</v>
      </c>
      <c r="J270" s="10" t="s">
        <v>56</v>
      </c>
      <c r="K270" s="10" t="s">
        <v>1079</v>
      </c>
      <c r="L270" s="10">
        <v>5</v>
      </c>
      <c r="M270" s="10">
        <v>5</v>
      </c>
      <c r="N270" s="10"/>
      <c r="O270" s="10">
        <f>1343*2</f>
        <v>2686</v>
      </c>
      <c r="P270" s="10"/>
      <c r="Q270" s="10"/>
      <c r="R270" s="10"/>
      <c r="S270" s="10">
        <v>2222</v>
      </c>
      <c r="T270" s="10"/>
      <c r="U270" s="10">
        <v>3175</v>
      </c>
      <c r="V270" s="10"/>
      <c r="W270" s="10"/>
      <c r="X270" s="10"/>
      <c r="Y270" s="14">
        <f t="shared" si="44"/>
        <v>0.82725241995532395</v>
      </c>
      <c r="Z270" s="14"/>
      <c r="AA270" s="14">
        <f t="shared" si="43"/>
        <v>0.82725241995532395</v>
      </c>
      <c r="AB270" s="10"/>
      <c r="AC270" s="10"/>
      <c r="AD270" s="10"/>
      <c r="AE270" s="10"/>
      <c r="AF270" s="10"/>
      <c r="AG270" s="10"/>
      <c r="AH270" s="10"/>
      <c r="AI270" s="10"/>
      <c r="AJ270" s="10"/>
      <c r="AK270" s="10" t="s">
        <v>2</v>
      </c>
      <c r="AL270" s="10" t="s">
        <v>2</v>
      </c>
      <c r="AM270" s="10" t="s">
        <v>3</v>
      </c>
      <c r="AN270" t="s">
        <v>2571</v>
      </c>
    </row>
    <row r="271" spans="1:40" x14ac:dyDescent="0.3">
      <c r="A271" s="10" t="s">
        <v>1080</v>
      </c>
      <c r="B271" s="10" t="s">
        <v>477</v>
      </c>
      <c r="C271" s="10" t="s">
        <v>1078</v>
      </c>
      <c r="D271" s="10" t="s">
        <v>1077</v>
      </c>
      <c r="E271" s="10">
        <v>1997</v>
      </c>
      <c r="F271" s="10" t="s">
        <v>2654</v>
      </c>
      <c r="G271" s="10" t="s">
        <v>75</v>
      </c>
      <c r="H271" s="10" t="s">
        <v>17</v>
      </c>
      <c r="I271" s="10" t="s">
        <v>1084</v>
      </c>
      <c r="J271" s="10" t="s">
        <v>56</v>
      </c>
      <c r="K271" s="10" t="s">
        <v>572</v>
      </c>
      <c r="L271" s="10">
        <v>5</v>
      </c>
      <c r="M271" s="10">
        <v>5</v>
      </c>
      <c r="N271" s="10"/>
      <c r="O271" s="10">
        <f>1343*2</f>
        <v>2686</v>
      </c>
      <c r="P271" s="10"/>
      <c r="Q271" s="10"/>
      <c r="R271" s="10"/>
      <c r="S271" s="10">
        <v>2074</v>
      </c>
      <c r="T271" s="10"/>
      <c r="U271" s="10">
        <v>1635</v>
      </c>
      <c r="V271" s="10"/>
      <c r="W271" s="10"/>
      <c r="X271" s="10"/>
      <c r="Y271" s="14">
        <f t="shared" si="44"/>
        <v>0.77215189873417722</v>
      </c>
      <c r="Z271" s="14"/>
      <c r="AA271" s="14">
        <f t="shared" si="43"/>
        <v>0.77215189873417722</v>
      </c>
      <c r="AB271" s="10"/>
      <c r="AC271" s="10"/>
      <c r="AD271" s="10"/>
      <c r="AE271" s="10"/>
      <c r="AF271" s="10"/>
      <c r="AG271" s="10"/>
      <c r="AH271" s="10"/>
      <c r="AI271" s="10"/>
      <c r="AJ271" s="10"/>
      <c r="AK271" s="10" t="s">
        <v>2</v>
      </c>
      <c r="AL271" s="10" t="s">
        <v>2</v>
      </c>
      <c r="AM271" s="10" t="s">
        <v>3</v>
      </c>
      <c r="AN271" t="s">
        <v>2571</v>
      </c>
    </row>
    <row r="272" spans="1:40" x14ac:dyDescent="0.3">
      <c r="A272" s="10" t="s">
        <v>1080</v>
      </c>
      <c r="B272" s="10" t="s">
        <v>477</v>
      </c>
      <c r="C272" s="10" t="s">
        <v>1078</v>
      </c>
      <c r="D272" s="10" t="s">
        <v>1077</v>
      </c>
      <c r="E272" s="10">
        <v>1998</v>
      </c>
      <c r="F272" s="10" t="s">
        <v>2654</v>
      </c>
      <c r="G272" s="10" t="s">
        <v>75</v>
      </c>
      <c r="H272" s="10" t="s">
        <v>17</v>
      </c>
      <c r="I272" s="10" t="s">
        <v>1084</v>
      </c>
      <c r="J272" s="10" t="s">
        <v>56</v>
      </c>
      <c r="K272" s="10" t="s">
        <v>1079</v>
      </c>
      <c r="L272" s="10">
        <v>5</v>
      </c>
      <c r="M272" s="10">
        <v>5</v>
      </c>
      <c r="N272" s="10"/>
      <c r="O272" s="10">
        <f>977*2</f>
        <v>1954</v>
      </c>
      <c r="P272" s="10"/>
      <c r="Q272" s="10"/>
      <c r="R272" s="10"/>
      <c r="S272" s="10">
        <v>1695</v>
      </c>
      <c r="T272" s="10"/>
      <c r="U272" s="10">
        <v>2667</v>
      </c>
      <c r="V272" s="10"/>
      <c r="W272" s="10"/>
      <c r="X272" s="10"/>
      <c r="Y272" s="14">
        <f t="shared" si="44"/>
        <v>0.86745138178096215</v>
      </c>
      <c r="Z272" s="14"/>
      <c r="AA272" s="14">
        <f t="shared" si="43"/>
        <v>0.86745138178096215</v>
      </c>
      <c r="AB272" s="10"/>
      <c r="AC272" s="10"/>
      <c r="AD272" s="10"/>
      <c r="AE272" s="10"/>
      <c r="AF272" s="10"/>
      <c r="AG272" s="10"/>
      <c r="AH272" s="10"/>
      <c r="AI272" s="10"/>
      <c r="AJ272" s="10"/>
      <c r="AK272" s="10" t="s">
        <v>2</v>
      </c>
      <c r="AL272" s="10" t="s">
        <v>2</v>
      </c>
      <c r="AM272" s="10" t="s">
        <v>3</v>
      </c>
      <c r="AN272" t="s">
        <v>2571</v>
      </c>
    </row>
    <row r="273" spans="1:40" x14ac:dyDescent="0.3">
      <c r="A273" s="10" t="s">
        <v>1080</v>
      </c>
      <c r="B273" s="10" t="s">
        <v>477</v>
      </c>
      <c r="C273" s="10" t="s">
        <v>1078</v>
      </c>
      <c r="D273" s="10" t="s">
        <v>1077</v>
      </c>
      <c r="E273" s="10">
        <v>1988</v>
      </c>
      <c r="F273" s="10" t="s">
        <v>2654</v>
      </c>
      <c r="G273" s="10" t="s">
        <v>75</v>
      </c>
      <c r="H273" s="10" t="s">
        <v>17</v>
      </c>
      <c r="I273" s="10" t="s">
        <v>1084</v>
      </c>
      <c r="J273" s="10" t="s">
        <v>56</v>
      </c>
      <c r="K273" s="10" t="s">
        <v>572</v>
      </c>
      <c r="L273" s="10">
        <v>5</v>
      </c>
      <c r="M273" s="10">
        <v>5</v>
      </c>
      <c r="N273" s="10"/>
      <c r="O273" s="10">
        <f>977*2</f>
        <v>1954</v>
      </c>
      <c r="P273" s="10"/>
      <c r="Q273" s="10"/>
      <c r="R273" s="10"/>
      <c r="S273" s="10">
        <v>1348</v>
      </c>
      <c r="T273" s="10"/>
      <c r="U273" s="10">
        <v>1245</v>
      </c>
      <c r="V273" s="10"/>
      <c r="W273" s="10"/>
      <c r="X273" s="10"/>
      <c r="Y273" s="14">
        <f t="shared" si="44"/>
        <v>0.68986693961105428</v>
      </c>
      <c r="Z273" s="14"/>
      <c r="AA273" s="14">
        <f t="shared" si="43"/>
        <v>0.68986693961105428</v>
      </c>
      <c r="AB273" s="10"/>
      <c r="AC273" s="10"/>
      <c r="AD273" s="10"/>
      <c r="AE273" s="10"/>
      <c r="AF273" s="10"/>
      <c r="AG273" s="10"/>
      <c r="AH273" s="10"/>
      <c r="AI273" s="10"/>
      <c r="AJ273" s="10"/>
      <c r="AK273" s="10" t="s">
        <v>2</v>
      </c>
      <c r="AL273" s="10" t="s">
        <v>2</v>
      </c>
      <c r="AM273" s="10" t="s">
        <v>3</v>
      </c>
      <c r="AN273" t="s">
        <v>2571</v>
      </c>
    </row>
    <row r="274" spans="1:40" x14ac:dyDescent="0.3">
      <c r="A274" s="10" t="s">
        <v>1239</v>
      </c>
      <c r="B274" s="10" t="s">
        <v>529</v>
      </c>
      <c r="C274" s="10" t="s">
        <v>1242</v>
      </c>
      <c r="D274" s="16" t="s">
        <v>1243</v>
      </c>
      <c r="E274" s="10" t="s">
        <v>1241</v>
      </c>
      <c r="F274" s="10" t="s">
        <v>2654</v>
      </c>
      <c r="G274" s="10" t="s">
        <v>1240</v>
      </c>
      <c r="H274" s="10" t="s">
        <v>1245</v>
      </c>
      <c r="I274" s="10" t="s">
        <v>1246</v>
      </c>
      <c r="J274" s="10" t="s">
        <v>47</v>
      </c>
      <c r="K274" s="10" t="s">
        <v>1244</v>
      </c>
      <c r="L274" s="10">
        <v>3</v>
      </c>
      <c r="M274" s="10">
        <v>3</v>
      </c>
      <c r="N274" s="10"/>
      <c r="O274" s="10">
        <v>7130</v>
      </c>
      <c r="P274" s="25">
        <f>(8710-O274)*SQRT(L274)</f>
        <v>2736.6402759588259</v>
      </c>
      <c r="Q274" s="10"/>
      <c r="R274" s="10"/>
      <c r="S274" s="10">
        <v>16070</v>
      </c>
      <c r="T274" s="25">
        <f>(17450-S274)*SQRT(M274)</f>
        <v>2390.2301144450507</v>
      </c>
      <c r="U274" s="10"/>
      <c r="V274" s="10"/>
      <c r="W274" s="10"/>
      <c r="X274" s="10"/>
      <c r="Y274" s="14">
        <f t="shared" si="44"/>
        <v>2.2538569424964936</v>
      </c>
      <c r="Z274" s="10"/>
      <c r="AA274" s="14">
        <f t="shared" si="43"/>
        <v>2.2538569424964936</v>
      </c>
      <c r="AB274" s="10"/>
      <c r="AC274" s="10"/>
      <c r="AD274" s="10">
        <f>((T274^2)/(O274^2))+((P274^2)*(S274^2)/(O274^4))</f>
        <v>0.86074034355421225</v>
      </c>
      <c r="AE274" s="10"/>
      <c r="AF274" s="10">
        <f>AD274+AE274</f>
        <v>0.86074034355421225</v>
      </c>
      <c r="AG274" s="10">
        <f t="shared" ref="AG274" si="45">SQRT(AF274)/AA274</f>
        <v>0.41163257200551689</v>
      </c>
      <c r="AH274" s="10">
        <v>300</v>
      </c>
      <c r="AI274" s="10" t="s">
        <v>14</v>
      </c>
      <c r="AJ274" s="10"/>
      <c r="AK274" s="10"/>
      <c r="AL274" s="10" t="s">
        <v>2</v>
      </c>
      <c r="AM274" s="10" t="s">
        <v>3</v>
      </c>
    </row>
    <row r="275" spans="1:40" x14ac:dyDescent="0.3">
      <c r="A275" s="10" t="s">
        <v>1286</v>
      </c>
      <c r="B275" s="10" t="s">
        <v>29</v>
      </c>
      <c r="C275" s="10" t="s">
        <v>1287</v>
      </c>
      <c r="D275" s="16" t="s">
        <v>1288</v>
      </c>
      <c r="E275" s="16" t="s">
        <v>1289</v>
      </c>
      <c r="F275" s="10" t="s">
        <v>2654</v>
      </c>
      <c r="G275" s="10" t="s">
        <v>75</v>
      </c>
      <c r="H275" s="10" t="s">
        <v>4</v>
      </c>
      <c r="I275" s="10"/>
      <c r="J275" s="10" t="s">
        <v>163</v>
      </c>
      <c r="K275" s="10" t="s">
        <v>1290</v>
      </c>
      <c r="L275" s="10">
        <v>2</v>
      </c>
      <c r="M275" s="10">
        <v>2</v>
      </c>
      <c r="N275" s="10"/>
      <c r="O275" s="10">
        <v>1040</v>
      </c>
      <c r="P275" s="10"/>
      <c r="Q275" s="10"/>
      <c r="R275" s="10"/>
      <c r="S275" s="10">
        <v>2500</v>
      </c>
      <c r="T275" s="10"/>
      <c r="U275" s="10">
        <v>3990</v>
      </c>
      <c r="V275" s="10"/>
      <c r="W275" s="10"/>
      <c r="X275" s="10"/>
      <c r="Y275" s="14">
        <f t="shared" si="44"/>
        <v>2.4038461538461537</v>
      </c>
      <c r="Z275" s="10"/>
      <c r="AA275" s="14">
        <f t="shared" si="43"/>
        <v>2.4038461538461537</v>
      </c>
      <c r="AB275" s="10"/>
      <c r="AC275" s="10"/>
      <c r="AD275" s="10"/>
      <c r="AE275" s="10"/>
      <c r="AF275" s="10"/>
      <c r="AG275" s="10"/>
      <c r="AH275" s="10">
        <v>0</v>
      </c>
      <c r="AI275" s="10" t="s">
        <v>14</v>
      </c>
      <c r="AJ275" s="10" t="s">
        <v>3</v>
      </c>
      <c r="AK275" s="10"/>
      <c r="AL275" s="10" t="s">
        <v>2</v>
      </c>
      <c r="AM275" s="10" t="s">
        <v>3</v>
      </c>
      <c r="AN275" t="s">
        <v>2572</v>
      </c>
    </row>
    <row r="276" spans="1:40" x14ac:dyDescent="0.3">
      <c r="A276" s="10" t="s">
        <v>1291</v>
      </c>
      <c r="B276" s="10" t="s">
        <v>131</v>
      </c>
      <c r="C276" s="10" t="s">
        <v>1293</v>
      </c>
      <c r="D276" s="10" t="s">
        <v>1292</v>
      </c>
      <c r="E276" s="10" t="s">
        <v>1296</v>
      </c>
      <c r="F276" s="10" t="s">
        <v>2654</v>
      </c>
      <c r="G276" s="10" t="s">
        <v>75</v>
      </c>
      <c r="H276" s="10" t="s">
        <v>4</v>
      </c>
      <c r="I276" s="10" t="s">
        <v>1294</v>
      </c>
      <c r="J276" s="10" t="s">
        <v>47</v>
      </c>
      <c r="K276" s="10" t="s">
        <v>73</v>
      </c>
      <c r="L276" s="10">
        <v>4</v>
      </c>
      <c r="M276" s="10">
        <v>4</v>
      </c>
      <c r="N276" s="10"/>
      <c r="O276" s="25">
        <f>1084+1529+1129+985+1053+2495+1658+2529+1518</f>
        <v>13980</v>
      </c>
      <c r="P276" s="25"/>
      <c r="Q276" s="25"/>
      <c r="R276" s="25"/>
      <c r="S276" s="25">
        <f>903+1900+816+964+2051+4520+2452+1357</f>
        <v>14963</v>
      </c>
      <c r="T276" s="10"/>
      <c r="U276" s="10"/>
      <c r="V276" s="10"/>
      <c r="W276" s="10"/>
      <c r="X276" s="10"/>
      <c r="Y276" s="14">
        <f t="shared" si="44"/>
        <v>1.0703147353361946</v>
      </c>
      <c r="Z276" s="10"/>
      <c r="AA276" s="14">
        <f t="shared" ref="AA276:AA277" si="46">Y276+Z276</f>
        <v>1.0703147353361946</v>
      </c>
      <c r="AB276" s="10"/>
      <c r="AC276" s="10"/>
      <c r="AD276" s="10"/>
      <c r="AE276" s="10"/>
      <c r="AF276" s="10"/>
      <c r="AG276" s="10"/>
      <c r="AH276" s="10">
        <v>0</v>
      </c>
      <c r="AI276" s="10" t="s">
        <v>308</v>
      </c>
      <c r="AJ276" s="10"/>
      <c r="AK276" s="10"/>
      <c r="AL276" s="10" t="s">
        <v>2</v>
      </c>
      <c r="AM276" s="10" t="s">
        <v>3</v>
      </c>
      <c r="AN276" t="s">
        <v>1937</v>
      </c>
    </row>
    <row r="277" spans="1:40" x14ac:dyDescent="0.3">
      <c r="A277" s="10" t="s">
        <v>1291</v>
      </c>
      <c r="B277" s="10" t="s">
        <v>131</v>
      </c>
      <c r="C277" s="10" t="s">
        <v>1293</v>
      </c>
      <c r="D277" s="10" t="s">
        <v>1292</v>
      </c>
      <c r="E277" s="10" t="s">
        <v>1296</v>
      </c>
      <c r="F277" s="10" t="s">
        <v>2654</v>
      </c>
      <c r="G277" s="10" t="s">
        <v>75</v>
      </c>
      <c r="H277" s="10" t="s">
        <v>4</v>
      </c>
      <c r="I277" s="10" t="s">
        <v>1295</v>
      </c>
      <c r="J277" s="10" t="s">
        <v>47</v>
      </c>
      <c r="K277" s="10" t="s">
        <v>73</v>
      </c>
      <c r="L277" s="10">
        <v>4</v>
      </c>
      <c r="M277" s="10">
        <v>4</v>
      </c>
      <c r="N277" s="10"/>
      <c r="O277" s="25">
        <f>1084+1529+1129+985+1053+2495+1658+2529+1518</f>
        <v>13980</v>
      </c>
      <c r="P277" s="25"/>
      <c r="Q277" s="25"/>
      <c r="R277" s="25"/>
      <c r="S277" s="25">
        <f>3042+1084+740+5658+3340+1518</f>
        <v>15382</v>
      </c>
      <c r="T277" s="10"/>
      <c r="U277" s="10"/>
      <c r="V277" s="10"/>
      <c r="W277" s="10"/>
      <c r="X277" s="10"/>
      <c r="Y277" s="14">
        <f t="shared" si="44"/>
        <v>1.1002861230329042</v>
      </c>
      <c r="Z277" s="10"/>
      <c r="AA277" s="14">
        <f t="shared" si="46"/>
        <v>1.1002861230329042</v>
      </c>
      <c r="AB277" s="10"/>
      <c r="AC277" s="10"/>
      <c r="AD277" s="10"/>
      <c r="AE277" s="10"/>
      <c r="AF277" s="10"/>
      <c r="AG277" s="10"/>
      <c r="AH277" s="10">
        <v>0</v>
      </c>
      <c r="AI277" s="10" t="s">
        <v>308</v>
      </c>
      <c r="AJ277" s="10"/>
      <c r="AK277" s="10"/>
      <c r="AL277" s="10" t="s">
        <v>2</v>
      </c>
      <c r="AM277" s="10" t="s">
        <v>3</v>
      </c>
      <c r="AN277" t="s">
        <v>1937</v>
      </c>
    </row>
    <row r="278" spans="1:40" s="10" customFormat="1" x14ac:dyDescent="0.3">
      <c r="A278" s="10" t="s">
        <v>1297</v>
      </c>
      <c r="B278" s="10" t="s">
        <v>131</v>
      </c>
      <c r="D278" s="10" t="s">
        <v>913</v>
      </c>
      <c r="E278" s="10">
        <v>2000</v>
      </c>
      <c r="F278" s="10" t="s">
        <v>2654</v>
      </c>
      <c r="G278" s="10" t="s">
        <v>75</v>
      </c>
      <c r="H278" s="10" t="s">
        <v>4</v>
      </c>
      <c r="J278" s="10" t="s">
        <v>63</v>
      </c>
      <c r="K278" s="10" t="s">
        <v>934</v>
      </c>
      <c r="L278" s="10">
        <v>3</v>
      </c>
      <c r="M278" s="10">
        <v>3</v>
      </c>
      <c r="O278" s="10">
        <f>1020*2</f>
        <v>2040</v>
      </c>
      <c r="S278" s="10">
        <v>2190</v>
      </c>
      <c r="Y278" s="14">
        <f t="shared" si="44"/>
        <v>1.0735294117647058</v>
      </c>
      <c r="AA278" s="14">
        <f t="shared" ref="AA278:AA290" si="47">Y278+Z278</f>
        <v>1.0735294117647058</v>
      </c>
      <c r="AD278"/>
      <c r="AE278"/>
      <c r="AF278"/>
      <c r="AG278"/>
      <c r="AH278" s="10">
        <v>0</v>
      </c>
      <c r="AI278" s="10" t="s">
        <v>14</v>
      </c>
      <c r="AL278" s="10" t="s">
        <v>2</v>
      </c>
      <c r="AM278" s="10" t="s">
        <v>3</v>
      </c>
      <c r="AN278" s="10" t="s">
        <v>2573</v>
      </c>
    </row>
    <row r="279" spans="1:40" s="10" customFormat="1" x14ac:dyDescent="0.3">
      <c r="A279" s="10" t="s">
        <v>1297</v>
      </c>
      <c r="B279" s="10" t="s">
        <v>131</v>
      </c>
      <c r="D279" s="10" t="s">
        <v>1298</v>
      </c>
      <c r="E279" s="10">
        <v>2000</v>
      </c>
      <c r="F279" s="10" t="s">
        <v>2654</v>
      </c>
      <c r="G279" s="10" t="s">
        <v>75</v>
      </c>
      <c r="H279" s="10" t="s">
        <v>4</v>
      </c>
      <c r="J279" s="10" t="s">
        <v>63</v>
      </c>
      <c r="K279" s="10" t="s">
        <v>934</v>
      </c>
      <c r="L279" s="10">
        <v>2</v>
      </c>
      <c r="M279" s="10">
        <v>2</v>
      </c>
      <c r="O279" s="10">
        <f>1770*2</f>
        <v>3540</v>
      </c>
      <c r="S279" s="10">
        <v>1860</v>
      </c>
      <c r="Y279" s="14">
        <f t="shared" si="44"/>
        <v>0.52542372881355937</v>
      </c>
      <c r="AA279" s="14">
        <f t="shared" si="47"/>
        <v>0.52542372881355937</v>
      </c>
      <c r="AD279"/>
      <c r="AE279"/>
      <c r="AF279"/>
      <c r="AG279"/>
      <c r="AH279" s="10">
        <v>0</v>
      </c>
      <c r="AI279" s="10" t="s">
        <v>14</v>
      </c>
      <c r="AL279" s="10" t="s">
        <v>2</v>
      </c>
      <c r="AM279" s="10" t="s">
        <v>3</v>
      </c>
      <c r="AN279" s="10" t="s">
        <v>2573</v>
      </c>
    </row>
    <row r="280" spans="1:40" s="10" customFormat="1" x14ac:dyDescent="0.3">
      <c r="A280" s="10" t="s">
        <v>1297</v>
      </c>
      <c r="B280" s="10" t="s">
        <v>131</v>
      </c>
      <c r="D280" s="10" t="s">
        <v>1299</v>
      </c>
      <c r="E280" s="10">
        <v>2000</v>
      </c>
      <c r="F280" s="10" t="s">
        <v>2654</v>
      </c>
      <c r="G280" s="10" t="s">
        <v>75</v>
      </c>
      <c r="H280" s="10" t="s">
        <v>4</v>
      </c>
      <c r="J280" s="10" t="s">
        <v>63</v>
      </c>
      <c r="K280" s="10" t="s">
        <v>934</v>
      </c>
      <c r="L280" s="10">
        <v>3</v>
      </c>
      <c r="M280" s="10">
        <v>3</v>
      </c>
      <c r="O280" s="10">
        <f>3070*2</f>
        <v>6140</v>
      </c>
      <c r="S280" s="10">
        <v>5060</v>
      </c>
      <c r="Y280" s="14">
        <f t="shared" si="44"/>
        <v>0.82410423452768733</v>
      </c>
      <c r="AA280" s="14">
        <f t="shared" si="47"/>
        <v>0.82410423452768733</v>
      </c>
      <c r="AD280"/>
      <c r="AE280"/>
      <c r="AF280"/>
      <c r="AG280"/>
      <c r="AH280" s="10">
        <v>0</v>
      </c>
      <c r="AI280" s="10" t="s">
        <v>14</v>
      </c>
      <c r="AL280" s="10" t="s">
        <v>2</v>
      </c>
      <c r="AM280" s="10" t="s">
        <v>3</v>
      </c>
      <c r="AN280" s="10" t="s">
        <v>2573</v>
      </c>
    </row>
    <row r="281" spans="1:40" s="10" customFormat="1" x14ac:dyDescent="0.3">
      <c r="A281" s="10" t="s">
        <v>1297</v>
      </c>
      <c r="B281" s="10" t="s">
        <v>131</v>
      </c>
      <c r="D281" s="10" t="s">
        <v>1300</v>
      </c>
      <c r="E281" s="10">
        <v>2000</v>
      </c>
      <c r="F281" s="10" t="s">
        <v>2654</v>
      </c>
      <c r="G281" s="10" t="s">
        <v>75</v>
      </c>
      <c r="H281" s="10" t="s">
        <v>4</v>
      </c>
      <c r="J281" s="10" t="s">
        <v>63</v>
      </c>
      <c r="K281" s="10" t="s">
        <v>934</v>
      </c>
      <c r="L281" s="10">
        <v>3</v>
      </c>
      <c r="M281" s="10">
        <v>3</v>
      </c>
      <c r="O281" s="10">
        <f>1930*2</f>
        <v>3860</v>
      </c>
      <c r="S281" s="10">
        <v>4470</v>
      </c>
      <c r="Y281" s="14">
        <f t="shared" si="44"/>
        <v>1.1580310880829014</v>
      </c>
      <c r="AA281" s="14">
        <f t="shared" si="47"/>
        <v>1.1580310880829014</v>
      </c>
      <c r="AD281"/>
      <c r="AE281"/>
      <c r="AF281"/>
      <c r="AG281"/>
      <c r="AH281" s="10">
        <v>0</v>
      </c>
      <c r="AI281" s="10" t="s">
        <v>14</v>
      </c>
      <c r="AL281" s="10" t="s">
        <v>2</v>
      </c>
      <c r="AM281" s="10" t="s">
        <v>3</v>
      </c>
      <c r="AN281" s="10" t="s">
        <v>2573</v>
      </c>
    </row>
    <row r="282" spans="1:40" s="10" customFormat="1" x14ac:dyDescent="0.3">
      <c r="A282" s="10" t="s">
        <v>1320</v>
      </c>
      <c r="B282" s="10" t="s">
        <v>477</v>
      </c>
      <c r="C282" s="10" t="s">
        <v>1321</v>
      </c>
      <c r="D282" s="16" t="s">
        <v>1322</v>
      </c>
      <c r="E282" s="10">
        <v>1991</v>
      </c>
      <c r="F282" s="16" t="s">
        <v>2655</v>
      </c>
      <c r="G282" s="10" t="s">
        <v>7</v>
      </c>
      <c r="H282" s="10" t="s">
        <v>4</v>
      </c>
      <c r="J282" s="10" t="s">
        <v>56</v>
      </c>
      <c r="K282" s="10" t="s">
        <v>173</v>
      </c>
      <c r="L282" s="10">
        <v>4</v>
      </c>
      <c r="M282" s="10">
        <v>4</v>
      </c>
      <c r="O282" s="10">
        <f>1142*2</f>
        <v>2284</v>
      </c>
      <c r="Q282" s="10">
        <f>1680*2</f>
        <v>3360</v>
      </c>
      <c r="S282" s="10">
        <v>1367</v>
      </c>
      <c r="U282" s="10">
        <v>1949</v>
      </c>
      <c r="Y282" s="14">
        <f t="shared" si="44"/>
        <v>0.59851138353765321</v>
      </c>
      <c r="Z282" s="14">
        <f t="shared" ref="Z282:Z290" si="48">U282/Q282</f>
        <v>0.58005952380952386</v>
      </c>
      <c r="AA282" s="14">
        <f t="shared" si="47"/>
        <v>1.1785709073471771</v>
      </c>
      <c r="AD282"/>
      <c r="AE282"/>
      <c r="AF282"/>
      <c r="AG282"/>
      <c r="AH282" s="10">
        <v>0</v>
      </c>
      <c r="AI282" s="10" t="s">
        <v>14</v>
      </c>
      <c r="AJ282" s="10" t="s">
        <v>3</v>
      </c>
      <c r="AL282" s="10" t="s">
        <v>2</v>
      </c>
      <c r="AM282" s="10" t="s">
        <v>3</v>
      </c>
      <c r="AN282" s="10" t="s">
        <v>1923</v>
      </c>
    </row>
    <row r="283" spans="1:40" s="10" customFormat="1" x14ac:dyDescent="0.3">
      <c r="A283" s="10" t="s">
        <v>1320</v>
      </c>
      <c r="B283" s="10" t="s">
        <v>477</v>
      </c>
      <c r="C283" s="10" t="s">
        <v>1321</v>
      </c>
      <c r="D283" s="16" t="s">
        <v>1322</v>
      </c>
      <c r="E283" s="10">
        <v>1992</v>
      </c>
      <c r="F283" s="16" t="s">
        <v>2655</v>
      </c>
      <c r="G283" s="10" t="s">
        <v>7</v>
      </c>
      <c r="H283" s="10" t="s">
        <v>4</v>
      </c>
      <c r="J283" s="10" t="s">
        <v>56</v>
      </c>
      <c r="K283" s="10" t="s">
        <v>173</v>
      </c>
      <c r="L283" s="10">
        <v>4</v>
      </c>
      <c r="M283" s="10">
        <v>4</v>
      </c>
      <c r="O283" s="10">
        <f>2014*2</f>
        <v>4028</v>
      </c>
      <c r="Q283" s="10">
        <f>334*2</f>
        <v>668</v>
      </c>
      <c r="S283" s="10">
        <v>2350</v>
      </c>
      <c r="U283" s="10">
        <v>939</v>
      </c>
      <c r="Y283" s="14">
        <f t="shared" si="44"/>
        <v>0.58341608738828199</v>
      </c>
      <c r="Z283" s="14">
        <f t="shared" si="48"/>
        <v>1.4056886227544909</v>
      </c>
      <c r="AA283" s="14">
        <f t="shared" si="47"/>
        <v>1.9891047101427728</v>
      </c>
      <c r="AD283"/>
      <c r="AE283"/>
      <c r="AF283"/>
      <c r="AG283"/>
      <c r="AH283" s="10">
        <v>0</v>
      </c>
      <c r="AI283" s="10" t="s">
        <v>14</v>
      </c>
      <c r="AJ283" s="10" t="s">
        <v>3</v>
      </c>
      <c r="AL283" s="10" t="s">
        <v>2</v>
      </c>
      <c r="AM283" s="10" t="s">
        <v>3</v>
      </c>
      <c r="AN283" s="10" t="s">
        <v>1923</v>
      </c>
    </row>
    <row r="284" spans="1:40" s="10" customFormat="1" x14ac:dyDescent="0.3">
      <c r="A284" s="10" t="s">
        <v>1320</v>
      </c>
      <c r="B284" s="10" t="s">
        <v>477</v>
      </c>
      <c r="C284" s="10" t="s">
        <v>1321</v>
      </c>
      <c r="D284" s="16" t="s">
        <v>1322</v>
      </c>
      <c r="E284" s="10">
        <v>1993</v>
      </c>
      <c r="F284" s="16" t="s">
        <v>2655</v>
      </c>
      <c r="G284" s="10" t="s">
        <v>7</v>
      </c>
      <c r="H284" s="10" t="s">
        <v>4</v>
      </c>
      <c r="J284" s="10" t="s">
        <v>56</v>
      </c>
      <c r="K284" s="10" t="s">
        <v>173</v>
      </c>
      <c r="L284" s="10">
        <v>4</v>
      </c>
      <c r="M284" s="10">
        <v>4</v>
      </c>
      <c r="O284" s="10">
        <f>1099*2</f>
        <v>2198</v>
      </c>
      <c r="Q284" s="10">
        <f>234*2</f>
        <v>468</v>
      </c>
      <c r="S284" s="10">
        <v>1439</v>
      </c>
      <c r="U284" s="10">
        <v>388</v>
      </c>
      <c r="Y284" s="14">
        <f t="shared" si="44"/>
        <v>0.65468607825295722</v>
      </c>
      <c r="Z284" s="14">
        <f t="shared" si="48"/>
        <v>0.82905982905982911</v>
      </c>
      <c r="AA284" s="14">
        <f t="shared" si="47"/>
        <v>1.4837459073127863</v>
      </c>
      <c r="AD284"/>
      <c r="AE284"/>
      <c r="AF284"/>
      <c r="AG284"/>
      <c r="AH284" s="10">
        <v>0</v>
      </c>
      <c r="AI284" s="10" t="s">
        <v>14</v>
      </c>
      <c r="AJ284" s="10" t="s">
        <v>3</v>
      </c>
      <c r="AL284" s="10" t="s">
        <v>2</v>
      </c>
      <c r="AM284" s="10" t="s">
        <v>3</v>
      </c>
      <c r="AN284" s="10" t="s">
        <v>1923</v>
      </c>
    </row>
    <row r="285" spans="1:40" s="10" customFormat="1" x14ac:dyDescent="0.3">
      <c r="A285" s="10" t="s">
        <v>1320</v>
      </c>
      <c r="B285" s="10" t="s">
        <v>477</v>
      </c>
      <c r="C285" s="10" t="s">
        <v>1321</v>
      </c>
      <c r="D285" s="16" t="s">
        <v>1322</v>
      </c>
      <c r="E285" s="10">
        <v>1994</v>
      </c>
      <c r="F285" s="16" t="s">
        <v>2655</v>
      </c>
      <c r="G285" s="10" t="s">
        <v>7</v>
      </c>
      <c r="H285" s="10" t="s">
        <v>4</v>
      </c>
      <c r="J285" s="10" t="s">
        <v>56</v>
      </c>
      <c r="K285" s="10" t="s">
        <v>173</v>
      </c>
      <c r="L285" s="10">
        <v>4</v>
      </c>
      <c r="M285" s="10">
        <v>4</v>
      </c>
      <c r="O285" s="10">
        <f>1289*2</f>
        <v>2578</v>
      </c>
      <c r="Q285" s="10">
        <f>128*2</f>
        <v>256</v>
      </c>
      <c r="S285" s="10">
        <v>1633</v>
      </c>
      <c r="U285" s="10">
        <v>105</v>
      </c>
      <c r="Y285" s="14">
        <f t="shared" si="44"/>
        <v>0.63343677269200926</v>
      </c>
      <c r="Z285" s="14">
        <f t="shared" si="48"/>
        <v>0.41015625</v>
      </c>
      <c r="AA285" s="14">
        <f t="shared" si="47"/>
        <v>1.0435930226920092</v>
      </c>
      <c r="AD285"/>
      <c r="AE285"/>
      <c r="AF285"/>
      <c r="AG285"/>
      <c r="AH285" s="10">
        <v>0</v>
      </c>
      <c r="AI285" s="10" t="s">
        <v>14</v>
      </c>
      <c r="AJ285" s="10" t="s">
        <v>3</v>
      </c>
      <c r="AL285" s="10" t="s">
        <v>2</v>
      </c>
      <c r="AM285" s="10" t="s">
        <v>3</v>
      </c>
      <c r="AN285" s="10" t="s">
        <v>1923</v>
      </c>
    </row>
    <row r="286" spans="1:40" s="10" customFormat="1" x14ac:dyDescent="0.3">
      <c r="A286" s="10" t="s">
        <v>1320</v>
      </c>
      <c r="B286" s="10" t="s">
        <v>477</v>
      </c>
      <c r="C286" s="10" t="s">
        <v>1321</v>
      </c>
      <c r="D286" s="16" t="s">
        <v>1322</v>
      </c>
      <c r="E286" s="10">
        <v>1995</v>
      </c>
      <c r="F286" s="16" t="s">
        <v>2655</v>
      </c>
      <c r="G286" s="10" t="s">
        <v>7</v>
      </c>
      <c r="H286" s="10" t="s">
        <v>4</v>
      </c>
      <c r="J286" s="10" t="s">
        <v>56</v>
      </c>
      <c r="K286" s="10" t="s">
        <v>173</v>
      </c>
      <c r="L286" s="10">
        <v>4</v>
      </c>
      <c r="M286" s="10">
        <v>4</v>
      </c>
      <c r="O286" s="10">
        <f>1625*2</f>
        <v>3250</v>
      </c>
      <c r="Q286" s="10">
        <f>201*2</f>
        <v>402</v>
      </c>
      <c r="S286" s="10">
        <v>2107</v>
      </c>
      <c r="U286" s="10">
        <v>994</v>
      </c>
      <c r="Y286" s="14">
        <f t="shared" si="44"/>
        <v>0.64830769230769236</v>
      </c>
      <c r="Z286" s="14">
        <f t="shared" si="48"/>
        <v>2.472636815920398</v>
      </c>
      <c r="AA286" s="14">
        <f t="shared" si="47"/>
        <v>3.1209445082280904</v>
      </c>
      <c r="AD286"/>
      <c r="AE286"/>
      <c r="AF286"/>
      <c r="AG286"/>
      <c r="AH286" s="10">
        <v>0</v>
      </c>
      <c r="AI286" s="10" t="s">
        <v>14</v>
      </c>
      <c r="AJ286" s="10" t="s">
        <v>3</v>
      </c>
      <c r="AL286" s="10" t="s">
        <v>2</v>
      </c>
      <c r="AM286" s="10" t="s">
        <v>3</v>
      </c>
      <c r="AN286" s="10" t="s">
        <v>1923</v>
      </c>
    </row>
    <row r="287" spans="1:40" x14ac:dyDescent="0.3">
      <c r="A287" s="8" t="s">
        <v>1884</v>
      </c>
      <c r="B287" s="10" t="s">
        <v>29</v>
      </c>
      <c r="C287" t="s">
        <v>1679</v>
      </c>
      <c r="D287" s="4" t="s">
        <v>1888</v>
      </c>
      <c r="E287" t="s">
        <v>1886</v>
      </c>
      <c r="F287" s="16" t="s">
        <v>2655</v>
      </c>
      <c r="G287" s="10" t="s">
        <v>7</v>
      </c>
      <c r="H287" s="10" t="s">
        <v>1892</v>
      </c>
      <c r="I287" s="6" t="s">
        <v>1894</v>
      </c>
      <c r="J287" s="10" t="s">
        <v>1893</v>
      </c>
      <c r="K287" s="10" t="s">
        <v>180</v>
      </c>
      <c r="L287" s="26">
        <v>4</v>
      </c>
      <c r="M287" s="6">
        <v>4</v>
      </c>
      <c r="N287" s="6"/>
      <c r="O287" s="26">
        <v>1415</v>
      </c>
      <c r="Q287" s="10">
        <v>1067</v>
      </c>
      <c r="R287" s="10"/>
      <c r="S287" s="10">
        <v>1420</v>
      </c>
      <c r="U287" s="10">
        <v>483</v>
      </c>
      <c r="Y287" s="14">
        <f t="shared" si="44"/>
        <v>1.0035335689045937</v>
      </c>
      <c r="Z287" s="14">
        <f t="shared" si="48"/>
        <v>0.45267104029990629</v>
      </c>
      <c r="AA287" s="14">
        <f t="shared" si="47"/>
        <v>1.4562046092045</v>
      </c>
      <c r="AH287">
        <v>100</v>
      </c>
      <c r="AJ287" t="s">
        <v>3</v>
      </c>
      <c r="AL287" s="10" t="s">
        <v>2</v>
      </c>
      <c r="AM287" s="10" t="s">
        <v>3</v>
      </c>
      <c r="AN287" s="10" t="s">
        <v>1936</v>
      </c>
    </row>
    <row r="288" spans="1:40" x14ac:dyDescent="0.3">
      <c r="A288" s="8" t="s">
        <v>1884</v>
      </c>
      <c r="B288" s="10" t="s">
        <v>29</v>
      </c>
      <c r="C288" t="s">
        <v>1679</v>
      </c>
      <c r="D288" s="4" t="s">
        <v>1889</v>
      </c>
      <c r="E288" t="s">
        <v>1886</v>
      </c>
      <c r="F288" s="16" t="s">
        <v>2655</v>
      </c>
      <c r="G288" s="10" t="s">
        <v>7</v>
      </c>
      <c r="H288" s="10" t="s">
        <v>1892</v>
      </c>
      <c r="I288" s="6" t="s">
        <v>1894</v>
      </c>
      <c r="J288" s="10" t="s">
        <v>1893</v>
      </c>
      <c r="K288" s="10" t="s">
        <v>180</v>
      </c>
      <c r="L288" s="26">
        <v>4</v>
      </c>
      <c r="M288" s="6">
        <v>4</v>
      </c>
      <c r="N288" s="6"/>
      <c r="O288" s="26">
        <v>940</v>
      </c>
      <c r="Q288" s="10">
        <v>635</v>
      </c>
      <c r="R288" s="10"/>
      <c r="S288" s="10">
        <v>1011</v>
      </c>
      <c r="U288" s="10">
        <v>134</v>
      </c>
      <c r="Y288" s="14">
        <f t="shared" si="44"/>
        <v>1.0755319148936171</v>
      </c>
      <c r="Z288" s="14">
        <f t="shared" si="48"/>
        <v>0.21102362204724409</v>
      </c>
      <c r="AA288" s="14">
        <f t="shared" si="47"/>
        <v>1.2865555369408612</v>
      </c>
      <c r="AH288">
        <v>100</v>
      </c>
      <c r="AJ288" t="s">
        <v>3</v>
      </c>
      <c r="AL288" s="10" t="s">
        <v>2</v>
      </c>
      <c r="AM288" s="10" t="s">
        <v>3</v>
      </c>
      <c r="AN288" s="10" t="s">
        <v>1936</v>
      </c>
    </row>
    <row r="289" spans="1:40" x14ac:dyDescent="0.3">
      <c r="A289" s="8" t="s">
        <v>1884</v>
      </c>
      <c r="B289" s="10" t="s">
        <v>29</v>
      </c>
      <c r="C289" t="s">
        <v>1885</v>
      </c>
      <c r="D289" t="s">
        <v>1887</v>
      </c>
      <c r="E289">
        <v>2012</v>
      </c>
      <c r="F289" s="16" t="s">
        <v>2655</v>
      </c>
      <c r="G289" s="10" t="s">
        <v>7</v>
      </c>
      <c r="H289" s="10" t="s">
        <v>1892</v>
      </c>
      <c r="I289" s="6" t="s">
        <v>1894</v>
      </c>
      <c r="J289" s="10" t="s">
        <v>1893</v>
      </c>
      <c r="K289" s="10" t="s">
        <v>180</v>
      </c>
      <c r="L289" s="26">
        <v>4</v>
      </c>
      <c r="M289" s="6">
        <v>4</v>
      </c>
      <c r="N289" s="6"/>
      <c r="O289" s="26">
        <v>278</v>
      </c>
      <c r="Q289" s="10">
        <v>1507</v>
      </c>
      <c r="R289" s="10"/>
      <c r="S289" s="10">
        <v>266</v>
      </c>
      <c r="U289" s="10">
        <v>849</v>
      </c>
      <c r="Y289" s="14">
        <f t="shared" si="44"/>
        <v>0.95683453237410077</v>
      </c>
      <c r="Z289" s="14">
        <f t="shared" si="48"/>
        <v>0.56337093563370932</v>
      </c>
      <c r="AA289" s="14">
        <f t="shared" si="47"/>
        <v>1.5202054680078101</v>
      </c>
      <c r="AH289">
        <v>100</v>
      </c>
      <c r="AJ289" t="s">
        <v>3</v>
      </c>
      <c r="AL289" s="10" t="s">
        <v>2</v>
      </c>
      <c r="AM289" s="10" t="s">
        <v>3</v>
      </c>
      <c r="AN289" s="10" t="s">
        <v>1936</v>
      </c>
    </row>
    <row r="290" spans="1:40" x14ac:dyDescent="0.3">
      <c r="A290" s="8" t="s">
        <v>1884</v>
      </c>
      <c r="B290" s="10" t="s">
        <v>29</v>
      </c>
      <c r="C290" t="s">
        <v>1885</v>
      </c>
      <c r="D290" t="s">
        <v>1887</v>
      </c>
      <c r="E290">
        <v>2013</v>
      </c>
      <c r="F290" s="16" t="s">
        <v>2655</v>
      </c>
      <c r="G290" s="10" t="s">
        <v>7</v>
      </c>
      <c r="H290" s="10" t="s">
        <v>1892</v>
      </c>
      <c r="I290" s="6" t="s">
        <v>1894</v>
      </c>
      <c r="J290" s="10" t="s">
        <v>1893</v>
      </c>
      <c r="K290" s="10" t="s">
        <v>180</v>
      </c>
      <c r="L290" s="26">
        <v>4</v>
      </c>
      <c r="M290" s="6">
        <v>4</v>
      </c>
      <c r="N290" s="6"/>
      <c r="O290" s="26">
        <v>1745</v>
      </c>
      <c r="Q290" s="10">
        <v>1250</v>
      </c>
      <c r="R290" s="10"/>
      <c r="S290" s="10">
        <v>1556</v>
      </c>
      <c r="U290" s="10">
        <v>1044</v>
      </c>
      <c r="Y290" s="14">
        <f t="shared" ref="Y290" si="49">S290/O290</f>
        <v>0.89169054441260742</v>
      </c>
      <c r="Z290" s="14">
        <f t="shared" si="48"/>
        <v>0.83520000000000005</v>
      </c>
      <c r="AA290" s="14">
        <f t="shared" si="47"/>
        <v>1.7268905444126075</v>
      </c>
      <c r="AH290">
        <v>100</v>
      </c>
      <c r="AJ290" t="s">
        <v>3</v>
      </c>
      <c r="AL290" s="10" t="s">
        <v>2</v>
      </c>
      <c r="AM290" s="10" t="s">
        <v>3</v>
      </c>
      <c r="AN290" s="10" t="s">
        <v>1936</v>
      </c>
    </row>
    <row r="291" spans="1:40" s="10" customFormat="1" x14ac:dyDescent="0.3">
      <c r="A291" s="26" t="s">
        <v>2165</v>
      </c>
      <c r="B291" s="10" t="s">
        <v>29</v>
      </c>
      <c r="D291" s="10" t="s">
        <v>2168</v>
      </c>
      <c r="F291" s="10" t="s">
        <v>2654</v>
      </c>
      <c r="G291" s="10" t="s">
        <v>8</v>
      </c>
      <c r="H291" s="10" t="s">
        <v>1060</v>
      </c>
      <c r="L291" s="26">
        <v>144</v>
      </c>
      <c r="M291" s="26">
        <v>144</v>
      </c>
      <c r="N291" s="10">
        <v>22</v>
      </c>
      <c r="AA291" s="10">
        <v>1.08</v>
      </c>
      <c r="AB291" s="10">
        <v>0.96</v>
      </c>
      <c r="AC291" s="10">
        <v>1.2</v>
      </c>
      <c r="AL291" s="10" t="s">
        <v>3</v>
      </c>
      <c r="AM291" s="10" t="s">
        <v>3</v>
      </c>
    </row>
    <row r="292" spans="1:40" s="10" customFormat="1" x14ac:dyDescent="0.3">
      <c r="A292" s="26" t="s">
        <v>2167</v>
      </c>
      <c r="B292" s="10" t="s">
        <v>29</v>
      </c>
      <c r="C292" s="10" t="s">
        <v>2178</v>
      </c>
      <c r="D292" s="10" t="s">
        <v>2179</v>
      </c>
      <c r="E292" s="10">
        <v>2014</v>
      </c>
      <c r="F292" s="10" t="s">
        <v>2654</v>
      </c>
      <c r="G292" s="10" t="s">
        <v>8</v>
      </c>
      <c r="H292" s="10" t="s">
        <v>1060</v>
      </c>
      <c r="J292" s="10" t="s">
        <v>63</v>
      </c>
      <c r="K292" s="10" t="s">
        <v>2180</v>
      </c>
      <c r="L292" s="26">
        <v>4</v>
      </c>
      <c r="M292" s="26">
        <v>4</v>
      </c>
      <c r="N292" s="26"/>
      <c r="O292" s="10">
        <f>(15.29+12.05+11.95+15.99)/4</f>
        <v>13.82</v>
      </c>
      <c r="S292" s="10">
        <f>(9.87+16.53+15.74+14.46)/4</f>
        <v>14.15</v>
      </c>
      <c r="Y292" s="14">
        <f t="shared" ref="Y292:Y334" si="50">S292/O292</f>
        <v>1.0238784370477569</v>
      </c>
      <c r="AA292" s="14">
        <f>Y292+Z292</f>
        <v>1.0238784370477569</v>
      </c>
      <c r="AH292" s="10">
        <f>141*100/40</f>
        <v>352.5</v>
      </c>
      <c r="AI292" s="10" t="s">
        <v>1</v>
      </c>
      <c r="AJ292" s="10" t="s">
        <v>2</v>
      </c>
      <c r="AK292" s="10" t="s">
        <v>2</v>
      </c>
      <c r="AL292" s="10" t="s">
        <v>2</v>
      </c>
      <c r="AM292" s="10" t="s">
        <v>3</v>
      </c>
      <c r="AN292" s="10" t="s">
        <v>2574</v>
      </c>
    </row>
    <row r="293" spans="1:40" s="10" customFormat="1" x14ac:dyDescent="0.3">
      <c r="A293" s="26" t="s">
        <v>2167</v>
      </c>
      <c r="B293" s="10" t="s">
        <v>29</v>
      </c>
      <c r="C293" s="10" t="s">
        <v>2178</v>
      </c>
      <c r="D293" s="10" t="s">
        <v>2179</v>
      </c>
      <c r="E293" s="10">
        <v>2014</v>
      </c>
      <c r="F293" s="10" t="s">
        <v>2654</v>
      </c>
      <c r="G293" s="10" t="s">
        <v>8</v>
      </c>
      <c r="H293" s="10" t="s">
        <v>1060</v>
      </c>
      <c r="J293" s="10" t="s">
        <v>63</v>
      </c>
      <c r="K293" s="10" t="s">
        <v>2010</v>
      </c>
      <c r="L293" s="26">
        <v>4</v>
      </c>
      <c r="M293" s="26">
        <v>4</v>
      </c>
      <c r="N293" s="26"/>
      <c r="O293" s="10">
        <f t="shared" ref="O293:O295" si="51">(15.29+12.05+11.95+15.99)/4</f>
        <v>13.82</v>
      </c>
      <c r="S293" s="14">
        <f>(9.613+11.3+9.45)/3</f>
        <v>10.121</v>
      </c>
      <c r="Y293" s="14">
        <f t="shared" si="50"/>
        <v>0.73234442836468883</v>
      </c>
      <c r="AA293" s="14">
        <f t="shared" ref="AA293:AA309" si="52">Y293+Z293</f>
        <v>0.73234442836468883</v>
      </c>
      <c r="AH293" s="10">
        <f t="shared" ref="AH293:AH295" si="53">141*100/40</f>
        <v>352.5</v>
      </c>
      <c r="AI293" s="10" t="s">
        <v>1</v>
      </c>
      <c r="AJ293" s="10" t="s">
        <v>2</v>
      </c>
      <c r="AK293" s="10" t="s">
        <v>2</v>
      </c>
      <c r="AL293" s="10" t="s">
        <v>2</v>
      </c>
      <c r="AM293" s="10" t="s">
        <v>3</v>
      </c>
      <c r="AN293" s="10" t="s">
        <v>2574</v>
      </c>
    </row>
    <row r="294" spans="1:40" s="10" customFormat="1" x14ac:dyDescent="0.3">
      <c r="A294" s="26" t="s">
        <v>2167</v>
      </c>
      <c r="B294" s="10" t="s">
        <v>29</v>
      </c>
      <c r="C294" s="10" t="s">
        <v>2178</v>
      </c>
      <c r="D294" s="10" t="s">
        <v>2179</v>
      </c>
      <c r="E294" s="10">
        <v>2014</v>
      </c>
      <c r="F294" s="10" t="s">
        <v>2654</v>
      </c>
      <c r="G294" s="10" t="s">
        <v>8</v>
      </c>
      <c r="H294" s="10" t="s">
        <v>1060</v>
      </c>
      <c r="J294" s="10" t="s">
        <v>63</v>
      </c>
      <c r="K294" s="10" t="s">
        <v>644</v>
      </c>
      <c r="L294" s="26">
        <v>4</v>
      </c>
      <c r="M294" s="26">
        <v>4</v>
      </c>
      <c r="N294" s="26"/>
      <c r="O294" s="10">
        <f t="shared" si="51"/>
        <v>13.82</v>
      </c>
      <c r="S294" s="14">
        <f>(13.05+13.34+13.79+13.94)/4</f>
        <v>13.53</v>
      </c>
      <c r="Y294" s="14">
        <f t="shared" si="50"/>
        <v>0.97901591895803175</v>
      </c>
      <c r="AA294" s="14">
        <f t="shared" si="52"/>
        <v>0.97901591895803175</v>
      </c>
      <c r="AH294" s="10">
        <f t="shared" si="53"/>
        <v>352.5</v>
      </c>
      <c r="AI294" s="10" t="s">
        <v>1</v>
      </c>
      <c r="AJ294" s="10" t="s">
        <v>2</v>
      </c>
      <c r="AK294" s="10" t="s">
        <v>2</v>
      </c>
      <c r="AL294" s="10" t="s">
        <v>2</v>
      </c>
      <c r="AM294" s="10" t="s">
        <v>3</v>
      </c>
      <c r="AN294" s="10" t="s">
        <v>2574</v>
      </c>
    </row>
    <row r="295" spans="1:40" s="10" customFormat="1" x14ac:dyDescent="0.3">
      <c r="A295" s="26" t="s">
        <v>2167</v>
      </c>
      <c r="B295" s="10" t="s">
        <v>29</v>
      </c>
      <c r="C295" s="10" t="s">
        <v>2178</v>
      </c>
      <c r="D295" s="10" t="s">
        <v>2179</v>
      </c>
      <c r="E295" s="10">
        <v>2014</v>
      </c>
      <c r="F295" s="10" t="s">
        <v>2654</v>
      </c>
      <c r="G295" s="10" t="s">
        <v>8</v>
      </c>
      <c r="H295" s="10" t="s">
        <v>1060</v>
      </c>
      <c r="J295" s="10" t="s">
        <v>63</v>
      </c>
      <c r="K295" s="10" t="s">
        <v>646</v>
      </c>
      <c r="L295" s="26">
        <v>4</v>
      </c>
      <c r="M295" s="26">
        <v>4</v>
      </c>
      <c r="N295" s="26"/>
      <c r="O295" s="10">
        <f t="shared" si="51"/>
        <v>13.82</v>
      </c>
      <c r="S295" s="14">
        <f>(15.68+11.44+16.91)/3</f>
        <v>14.676666666666668</v>
      </c>
      <c r="Y295" s="14">
        <f t="shared" si="50"/>
        <v>1.0619874577906416</v>
      </c>
      <c r="AA295" s="14">
        <f t="shared" si="52"/>
        <v>1.0619874577906416</v>
      </c>
      <c r="AH295" s="10">
        <f t="shared" si="53"/>
        <v>352.5</v>
      </c>
      <c r="AI295" s="10" t="s">
        <v>1</v>
      </c>
      <c r="AJ295" s="10" t="s">
        <v>2</v>
      </c>
      <c r="AK295" s="10" t="s">
        <v>2</v>
      </c>
      <c r="AL295" s="10" t="s">
        <v>2</v>
      </c>
      <c r="AM295" s="10" t="s">
        <v>3</v>
      </c>
      <c r="AN295" s="10" t="s">
        <v>2574</v>
      </c>
    </row>
    <row r="296" spans="1:40" s="10" customFormat="1" x14ac:dyDescent="0.3">
      <c r="A296" s="26" t="s">
        <v>2167</v>
      </c>
      <c r="B296" s="10" t="s">
        <v>29</v>
      </c>
      <c r="C296" s="10" t="s">
        <v>2178</v>
      </c>
      <c r="D296" s="10" t="s">
        <v>2179</v>
      </c>
      <c r="E296" s="10">
        <v>2015</v>
      </c>
      <c r="F296" s="10" t="s">
        <v>2654</v>
      </c>
      <c r="G296" s="10" t="s">
        <v>8</v>
      </c>
      <c r="H296" s="10" t="s">
        <v>1060</v>
      </c>
      <c r="J296" s="10" t="s">
        <v>63</v>
      </c>
      <c r="K296" s="10" t="s">
        <v>2180</v>
      </c>
      <c r="L296" s="26">
        <v>4</v>
      </c>
      <c r="M296" s="26">
        <v>4</v>
      </c>
      <c r="N296" s="26"/>
      <c r="O296" s="14">
        <f>(16.42+16.58+17.36)/3</f>
        <v>16.786666666666665</v>
      </c>
      <c r="P296" s="14"/>
      <c r="Q296" s="14"/>
      <c r="R296" s="14"/>
      <c r="S296" s="14">
        <f>(22.08+20.26+17.03+15.63)/4</f>
        <v>18.75</v>
      </c>
      <c r="Y296" s="14">
        <f t="shared" si="50"/>
        <v>1.1169579030976966</v>
      </c>
      <c r="AA296" s="14">
        <f t="shared" si="52"/>
        <v>1.1169579030976966</v>
      </c>
      <c r="AH296" s="10">
        <f>158*100/40</f>
        <v>395</v>
      </c>
      <c r="AI296" s="10" t="s">
        <v>1</v>
      </c>
      <c r="AJ296" s="10" t="s">
        <v>2</v>
      </c>
      <c r="AK296" s="10" t="s">
        <v>2</v>
      </c>
      <c r="AL296" s="10" t="s">
        <v>2</v>
      </c>
      <c r="AM296" s="10" t="s">
        <v>3</v>
      </c>
      <c r="AN296" s="10" t="s">
        <v>2574</v>
      </c>
    </row>
    <row r="297" spans="1:40" s="10" customFormat="1" x14ac:dyDescent="0.3">
      <c r="A297" s="26" t="s">
        <v>2167</v>
      </c>
      <c r="B297" s="10" t="s">
        <v>29</v>
      </c>
      <c r="C297" s="10" t="s">
        <v>2178</v>
      </c>
      <c r="D297" s="10" t="s">
        <v>2179</v>
      </c>
      <c r="E297" s="10">
        <v>2015</v>
      </c>
      <c r="F297" s="10" t="s">
        <v>2654</v>
      </c>
      <c r="G297" s="10" t="s">
        <v>8</v>
      </c>
      <c r="H297" s="10" t="s">
        <v>1060</v>
      </c>
      <c r="J297" s="10" t="s">
        <v>63</v>
      </c>
      <c r="K297" s="10" t="s">
        <v>2010</v>
      </c>
      <c r="L297" s="26">
        <v>4</v>
      </c>
      <c r="M297" s="26">
        <v>4</v>
      </c>
      <c r="N297" s="26"/>
      <c r="O297" s="14">
        <f t="shared" ref="O297:O299" si="54">(16.42+16.58+17.36)/3</f>
        <v>16.786666666666665</v>
      </c>
      <c r="P297" s="14"/>
      <c r="Q297" s="14"/>
      <c r="R297" s="14"/>
      <c r="S297" s="14">
        <f>(12.47+12.5+11.26)/3</f>
        <v>12.076666666666666</v>
      </c>
      <c r="Y297" s="14">
        <f t="shared" si="50"/>
        <v>0.7194201747418586</v>
      </c>
      <c r="AA297" s="14">
        <f t="shared" si="52"/>
        <v>0.7194201747418586</v>
      </c>
      <c r="AH297" s="10">
        <f t="shared" ref="AH297:AH299" si="55">158*100/40</f>
        <v>395</v>
      </c>
      <c r="AI297" s="10" t="s">
        <v>1</v>
      </c>
      <c r="AJ297" s="10" t="s">
        <v>2</v>
      </c>
      <c r="AK297" s="10" t="s">
        <v>2</v>
      </c>
      <c r="AL297" s="10" t="s">
        <v>2</v>
      </c>
      <c r="AM297" s="10" t="s">
        <v>3</v>
      </c>
      <c r="AN297" s="10" t="s">
        <v>2574</v>
      </c>
    </row>
    <row r="298" spans="1:40" s="10" customFormat="1" x14ac:dyDescent="0.3">
      <c r="A298" s="26" t="s">
        <v>2167</v>
      </c>
      <c r="B298" s="10" t="s">
        <v>29</v>
      </c>
      <c r="C298" s="10" t="s">
        <v>2178</v>
      </c>
      <c r="D298" s="10" t="s">
        <v>2179</v>
      </c>
      <c r="E298" s="10">
        <v>2015</v>
      </c>
      <c r="F298" s="10" t="s">
        <v>2654</v>
      </c>
      <c r="G298" s="10" t="s">
        <v>8</v>
      </c>
      <c r="H298" s="10" t="s">
        <v>1060</v>
      </c>
      <c r="J298" s="10" t="s">
        <v>63</v>
      </c>
      <c r="K298" s="10" t="s">
        <v>644</v>
      </c>
      <c r="L298" s="26">
        <v>4</v>
      </c>
      <c r="M298" s="26">
        <v>4</v>
      </c>
      <c r="N298" s="26"/>
      <c r="O298" s="14">
        <f t="shared" si="54"/>
        <v>16.786666666666665</v>
      </c>
      <c r="P298" s="14"/>
      <c r="Q298" s="14"/>
      <c r="R298" s="14"/>
      <c r="S298" s="14">
        <f>(17.22+17.34+17.71+10.65)/4</f>
        <v>15.73</v>
      </c>
      <c r="Y298" s="14">
        <f t="shared" si="50"/>
        <v>0.93705321683876097</v>
      </c>
      <c r="AA298" s="14">
        <f t="shared" si="52"/>
        <v>0.93705321683876097</v>
      </c>
      <c r="AH298" s="10">
        <f t="shared" si="55"/>
        <v>395</v>
      </c>
      <c r="AI298" s="10" t="s">
        <v>1</v>
      </c>
      <c r="AJ298" s="10" t="s">
        <v>2</v>
      </c>
      <c r="AK298" s="10" t="s">
        <v>2</v>
      </c>
      <c r="AL298" s="10" t="s">
        <v>2</v>
      </c>
      <c r="AM298" s="10" t="s">
        <v>3</v>
      </c>
      <c r="AN298" s="10" t="s">
        <v>2574</v>
      </c>
    </row>
    <row r="299" spans="1:40" s="10" customFormat="1" x14ac:dyDescent="0.3">
      <c r="A299" s="26" t="s">
        <v>2167</v>
      </c>
      <c r="B299" s="10" t="s">
        <v>29</v>
      </c>
      <c r="C299" s="10" t="s">
        <v>2178</v>
      </c>
      <c r="D299" s="10" t="s">
        <v>2179</v>
      </c>
      <c r="E299" s="10">
        <v>2015</v>
      </c>
      <c r="F299" s="10" t="s">
        <v>2654</v>
      </c>
      <c r="G299" s="10" t="s">
        <v>8</v>
      </c>
      <c r="H299" s="10" t="s">
        <v>1060</v>
      </c>
      <c r="J299" s="10" t="s">
        <v>63</v>
      </c>
      <c r="K299" s="10" t="s">
        <v>646</v>
      </c>
      <c r="L299" s="26">
        <v>4</v>
      </c>
      <c r="M299" s="26">
        <v>4</v>
      </c>
      <c r="N299" s="26"/>
      <c r="O299" s="14">
        <f t="shared" si="54"/>
        <v>16.786666666666665</v>
      </c>
      <c r="P299" s="14"/>
      <c r="Q299" s="14"/>
      <c r="R299" s="14"/>
      <c r="S299" s="14">
        <f>(19.96+20.31+18.61+13.54)/4</f>
        <v>18.104999999999997</v>
      </c>
      <c r="Y299" s="14">
        <f t="shared" si="50"/>
        <v>1.0785345512311357</v>
      </c>
      <c r="AA299" s="14">
        <f t="shared" si="52"/>
        <v>1.0785345512311357</v>
      </c>
      <c r="AH299" s="10">
        <f t="shared" si="55"/>
        <v>395</v>
      </c>
      <c r="AI299" s="10" t="s">
        <v>1</v>
      </c>
      <c r="AJ299" s="10" t="s">
        <v>2</v>
      </c>
      <c r="AK299" s="10" t="s">
        <v>2</v>
      </c>
      <c r="AL299" s="10" t="s">
        <v>2</v>
      </c>
      <c r="AM299" s="10" t="s">
        <v>3</v>
      </c>
      <c r="AN299" s="10" t="s">
        <v>2574</v>
      </c>
    </row>
    <row r="300" spans="1:40" s="10" customFormat="1" x14ac:dyDescent="0.3">
      <c r="A300" s="26" t="s">
        <v>2181</v>
      </c>
      <c r="B300" s="10" t="s">
        <v>65</v>
      </c>
      <c r="D300" s="10" t="s">
        <v>2189</v>
      </c>
      <c r="E300" s="10">
        <v>2004</v>
      </c>
      <c r="F300" s="10" t="s">
        <v>2655</v>
      </c>
      <c r="G300" s="10" t="s">
        <v>2182</v>
      </c>
      <c r="H300" s="10" t="s">
        <v>4</v>
      </c>
      <c r="J300" s="10" t="s">
        <v>669</v>
      </c>
      <c r="K300" s="10" t="s">
        <v>2183</v>
      </c>
      <c r="L300" s="26">
        <v>3</v>
      </c>
      <c r="M300" s="26">
        <v>3</v>
      </c>
      <c r="N300" s="26"/>
      <c r="O300" s="14">
        <f>42000*3</f>
        <v>126000</v>
      </c>
      <c r="S300" s="10">
        <v>61000</v>
      </c>
      <c r="Y300" s="14">
        <f t="shared" si="50"/>
        <v>0.48412698412698413</v>
      </c>
      <c r="AA300" s="14">
        <f t="shared" si="52"/>
        <v>0.48412698412698413</v>
      </c>
      <c r="AH300" s="10">
        <f>100*0.18+50*0.46</f>
        <v>41</v>
      </c>
      <c r="AI300" s="10" t="s">
        <v>14</v>
      </c>
      <c r="AL300" s="10" t="s">
        <v>2</v>
      </c>
      <c r="AM300" s="10" t="s">
        <v>2023</v>
      </c>
      <c r="AN300" s="10" t="s">
        <v>2188</v>
      </c>
    </row>
    <row r="301" spans="1:40" s="10" customFormat="1" x14ac:dyDescent="0.3">
      <c r="A301" s="26" t="s">
        <v>2181</v>
      </c>
      <c r="B301" s="10" t="s">
        <v>65</v>
      </c>
      <c r="D301" s="10" t="s">
        <v>2189</v>
      </c>
      <c r="E301" s="10">
        <v>2004</v>
      </c>
      <c r="F301" s="10" t="s">
        <v>2655</v>
      </c>
      <c r="G301" s="10" t="s">
        <v>2182</v>
      </c>
      <c r="H301" s="10" t="s">
        <v>4</v>
      </c>
      <c r="J301" s="10" t="s">
        <v>669</v>
      </c>
      <c r="K301" s="10" t="s">
        <v>2184</v>
      </c>
      <c r="L301" s="26">
        <v>3</v>
      </c>
      <c r="M301" s="26">
        <v>3</v>
      </c>
      <c r="N301" s="26"/>
      <c r="O301" s="14">
        <f t="shared" ref="O301:O309" si="56">42000*3</f>
        <v>126000</v>
      </c>
      <c r="S301" s="10">
        <v>67000</v>
      </c>
      <c r="Y301" s="14">
        <f t="shared" si="50"/>
        <v>0.53174603174603174</v>
      </c>
      <c r="AA301" s="14">
        <f t="shared" si="52"/>
        <v>0.53174603174603174</v>
      </c>
      <c r="AH301" s="10">
        <f t="shared" ref="AH301:AH309" si="57">100*0.18+50*0.46</f>
        <v>41</v>
      </c>
      <c r="AI301" s="10" t="s">
        <v>14</v>
      </c>
      <c r="AL301" s="10" t="s">
        <v>2</v>
      </c>
      <c r="AM301" s="10" t="s">
        <v>2023</v>
      </c>
      <c r="AN301" s="10" t="s">
        <v>2188</v>
      </c>
    </row>
    <row r="302" spans="1:40" s="10" customFormat="1" x14ac:dyDescent="0.3">
      <c r="A302" s="26" t="s">
        <v>2181</v>
      </c>
      <c r="B302" s="10" t="s">
        <v>65</v>
      </c>
      <c r="D302" s="10" t="s">
        <v>2189</v>
      </c>
      <c r="E302" s="10">
        <v>2004</v>
      </c>
      <c r="F302" s="10" t="s">
        <v>2655</v>
      </c>
      <c r="G302" s="10" t="s">
        <v>2182</v>
      </c>
      <c r="H302" s="10" t="s">
        <v>4</v>
      </c>
      <c r="J302" s="10" t="s">
        <v>669</v>
      </c>
      <c r="K302" s="10" t="s">
        <v>210</v>
      </c>
      <c r="L302" s="26">
        <v>3</v>
      </c>
      <c r="M302" s="26">
        <v>3</v>
      </c>
      <c r="N302" s="26"/>
      <c r="O302" s="14">
        <f t="shared" si="56"/>
        <v>126000</v>
      </c>
      <c r="S302" s="10">
        <v>74000</v>
      </c>
      <c r="Y302" s="14">
        <f t="shared" si="50"/>
        <v>0.58730158730158732</v>
      </c>
      <c r="AA302" s="14">
        <f t="shared" si="52"/>
        <v>0.58730158730158732</v>
      </c>
      <c r="AH302" s="10">
        <f t="shared" si="57"/>
        <v>41</v>
      </c>
      <c r="AI302" s="10" t="s">
        <v>14</v>
      </c>
      <c r="AL302" s="10" t="s">
        <v>2</v>
      </c>
      <c r="AM302" s="10" t="s">
        <v>2023</v>
      </c>
      <c r="AN302" s="10" t="s">
        <v>2188</v>
      </c>
    </row>
    <row r="303" spans="1:40" s="10" customFormat="1" x14ac:dyDescent="0.3">
      <c r="A303" s="26" t="s">
        <v>2181</v>
      </c>
      <c r="B303" s="10" t="s">
        <v>65</v>
      </c>
      <c r="D303" s="10" t="s">
        <v>2189</v>
      </c>
      <c r="E303" s="10">
        <v>2004</v>
      </c>
      <c r="F303" s="10" t="s">
        <v>2655</v>
      </c>
      <c r="G303" s="10" t="s">
        <v>2182</v>
      </c>
      <c r="H303" s="10" t="s">
        <v>4</v>
      </c>
      <c r="J303" s="10" t="s">
        <v>669</v>
      </c>
      <c r="K303" s="10" t="s">
        <v>163</v>
      </c>
      <c r="L303" s="26">
        <v>3</v>
      </c>
      <c r="M303" s="26">
        <v>3</v>
      </c>
      <c r="N303" s="26"/>
      <c r="O303" s="14">
        <f t="shared" si="56"/>
        <v>126000</v>
      </c>
      <c r="S303" s="10">
        <v>66000</v>
      </c>
      <c r="Y303" s="14">
        <f t="shared" si="50"/>
        <v>0.52380952380952384</v>
      </c>
      <c r="AA303" s="14">
        <f t="shared" si="52"/>
        <v>0.52380952380952384</v>
      </c>
      <c r="AH303" s="10">
        <f t="shared" si="57"/>
        <v>41</v>
      </c>
      <c r="AI303" s="10" t="s">
        <v>14</v>
      </c>
      <c r="AL303" s="10" t="s">
        <v>2</v>
      </c>
      <c r="AM303" s="10" t="s">
        <v>2023</v>
      </c>
      <c r="AN303" s="10" t="s">
        <v>2188</v>
      </c>
    </row>
    <row r="304" spans="1:40" s="10" customFormat="1" x14ac:dyDescent="0.3">
      <c r="A304" s="26" t="s">
        <v>2181</v>
      </c>
      <c r="B304" s="10" t="s">
        <v>65</v>
      </c>
      <c r="D304" s="10" t="s">
        <v>2189</v>
      </c>
      <c r="E304" s="10">
        <v>2004</v>
      </c>
      <c r="F304" s="10" t="s">
        <v>2655</v>
      </c>
      <c r="G304" s="10" t="s">
        <v>2182</v>
      </c>
      <c r="H304" s="10" t="s">
        <v>4</v>
      </c>
      <c r="J304" s="10" t="s">
        <v>669</v>
      </c>
      <c r="K304" s="10" t="s">
        <v>2185</v>
      </c>
      <c r="L304" s="26">
        <v>3</v>
      </c>
      <c r="M304" s="26">
        <v>3</v>
      </c>
      <c r="N304" s="26"/>
      <c r="O304" s="14">
        <f t="shared" si="56"/>
        <v>126000</v>
      </c>
      <c r="S304" s="10">
        <v>70500</v>
      </c>
      <c r="Y304" s="14">
        <f t="shared" si="50"/>
        <v>0.55952380952380953</v>
      </c>
      <c r="AA304" s="14">
        <f t="shared" si="52"/>
        <v>0.55952380952380953</v>
      </c>
      <c r="AH304" s="10">
        <f t="shared" si="57"/>
        <v>41</v>
      </c>
      <c r="AI304" s="10" t="s">
        <v>14</v>
      </c>
      <c r="AL304" s="10" t="s">
        <v>2</v>
      </c>
      <c r="AM304" s="10" t="s">
        <v>2023</v>
      </c>
      <c r="AN304" s="10" t="s">
        <v>2188</v>
      </c>
    </row>
    <row r="305" spans="1:40" s="10" customFormat="1" x14ac:dyDescent="0.3">
      <c r="A305" s="26" t="s">
        <v>2181</v>
      </c>
      <c r="B305" s="10" t="s">
        <v>65</v>
      </c>
      <c r="D305" s="10" t="s">
        <v>2189</v>
      </c>
      <c r="E305" s="10">
        <v>2004</v>
      </c>
      <c r="F305" s="10" t="s">
        <v>2655</v>
      </c>
      <c r="G305" s="10" t="s">
        <v>2182</v>
      </c>
      <c r="H305" s="10" t="s">
        <v>4</v>
      </c>
      <c r="J305" s="10" t="s">
        <v>669</v>
      </c>
      <c r="K305" s="10" t="s">
        <v>673</v>
      </c>
      <c r="L305" s="26">
        <v>3</v>
      </c>
      <c r="M305" s="26">
        <v>3</v>
      </c>
      <c r="N305" s="26"/>
      <c r="O305" s="14">
        <f t="shared" si="56"/>
        <v>126000</v>
      </c>
      <c r="S305" s="10">
        <v>75000</v>
      </c>
      <c r="Y305" s="14">
        <f t="shared" si="50"/>
        <v>0.59523809523809523</v>
      </c>
      <c r="AA305" s="14">
        <f t="shared" si="52"/>
        <v>0.59523809523809523</v>
      </c>
      <c r="AH305" s="10">
        <f t="shared" si="57"/>
        <v>41</v>
      </c>
      <c r="AI305" s="10" t="s">
        <v>14</v>
      </c>
      <c r="AL305" s="10" t="s">
        <v>2</v>
      </c>
      <c r="AM305" s="10" t="s">
        <v>2023</v>
      </c>
      <c r="AN305" s="10" t="s">
        <v>2188</v>
      </c>
    </row>
    <row r="306" spans="1:40" s="10" customFormat="1" x14ac:dyDescent="0.3">
      <c r="A306" s="26" t="s">
        <v>2181</v>
      </c>
      <c r="B306" s="10" t="s">
        <v>65</v>
      </c>
      <c r="D306" s="10" t="s">
        <v>2189</v>
      </c>
      <c r="E306" s="10">
        <v>2004</v>
      </c>
      <c r="F306" s="10" t="s">
        <v>2655</v>
      </c>
      <c r="G306" s="10" t="s">
        <v>2182</v>
      </c>
      <c r="H306" s="10" t="s">
        <v>4</v>
      </c>
      <c r="J306" s="10" t="s">
        <v>669</v>
      </c>
      <c r="K306" s="10" t="s">
        <v>2186</v>
      </c>
      <c r="L306" s="26">
        <v>3</v>
      </c>
      <c r="M306" s="26">
        <v>3</v>
      </c>
      <c r="N306" s="26"/>
      <c r="O306" s="14">
        <f t="shared" si="56"/>
        <v>126000</v>
      </c>
      <c r="S306" s="10">
        <v>66000</v>
      </c>
      <c r="Y306" s="14">
        <f t="shared" si="50"/>
        <v>0.52380952380952384</v>
      </c>
      <c r="AA306" s="14">
        <f t="shared" si="52"/>
        <v>0.52380952380952384</v>
      </c>
      <c r="AH306" s="10">
        <f t="shared" si="57"/>
        <v>41</v>
      </c>
      <c r="AI306" s="10" t="s">
        <v>14</v>
      </c>
      <c r="AL306" s="10" t="s">
        <v>2</v>
      </c>
      <c r="AM306" s="10" t="s">
        <v>2023</v>
      </c>
      <c r="AN306" s="10" t="s">
        <v>2188</v>
      </c>
    </row>
    <row r="307" spans="1:40" s="10" customFormat="1" x14ac:dyDescent="0.3">
      <c r="A307" s="26" t="s">
        <v>2181</v>
      </c>
      <c r="B307" s="10" t="s">
        <v>65</v>
      </c>
      <c r="D307" s="10" t="s">
        <v>2189</v>
      </c>
      <c r="E307" s="10">
        <v>2004</v>
      </c>
      <c r="F307" s="10" t="s">
        <v>2655</v>
      </c>
      <c r="G307" s="10" t="s">
        <v>2182</v>
      </c>
      <c r="H307" s="10" t="s">
        <v>4</v>
      </c>
      <c r="J307" s="10" t="s">
        <v>669</v>
      </c>
      <c r="K307" s="10" t="s">
        <v>2187</v>
      </c>
      <c r="L307" s="26">
        <v>3</v>
      </c>
      <c r="M307" s="26">
        <v>3</v>
      </c>
      <c r="N307" s="26"/>
      <c r="O307" s="14">
        <f t="shared" si="56"/>
        <v>126000</v>
      </c>
      <c r="S307" s="10">
        <v>78000</v>
      </c>
      <c r="Y307" s="14">
        <f t="shared" si="50"/>
        <v>0.61904761904761907</v>
      </c>
      <c r="AA307" s="14">
        <f t="shared" si="52"/>
        <v>0.61904761904761907</v>
      </c>
      <c r="AH307" s="10">
        <f t="shared" si="57"/>
        <v>41</v>
      </c>
      <c r="AI307" s="10" t="s">
        <v>14</v>
      </c>
      <c r="AL307" s="10" t="s">
        <v>2</v>
      </c>
      <c r="AM307" s="10" t="s">
        <v>2023</v>
      </c>
      <c r="AN307" s="10" t="s">
        <v>2188</v>
      </c>
    </row>
    <row r="308" spans="1:40" s="10" customFormat="1" x14ac:dyDescent="0.3">
      <c r="A308" s="26" t="s">
        <v>2181</v>
      </c>
      <c r="B308" s="10" t="s">
        <v>65</v>
      </c>
      <c r="D308" s="10" t="s">
        <v>2189</v>
      </c>
      <c r="E308" s="10">
        <v>2004</v>
      </c>
      <c r="F308" s="10" t="s">
        <v>2655</v>
      </c>
      <c r="G308" s="10" t="s">
        <v>2182</v>
      </c>
      <c r="H308" s="10" t="s">
        <v>4</v>
      </c>
      <c r="J308" s="10" t="s">
        <v>669</v>
      </c>
      <c r="K308" s="10" t="s">
        <v>63</v>
      </c>
      <c r="L308" s="26">
        <v>3</v>
      </c>
      <c r="M308" s="26">
        <v>3</v>
      </c>
      <c r="N308" s="26"/>
      <c r="O308" s="14">
        <f t="shared" si="56"/>
        <v>126000</v>
      </c>
      <c r="S308" s="10">
        <v>85000</v>
      </c>
      <c r="Y308" s="14">
        <f t="shared" si="50"/>
        <v>0.67460317460317465</v>
      </c>
      <c r="AA308" s="14">
        <f t="shared" si="52"/>
        <v>0.67460317460317465</v>
      </c>
      <c r="AH308" s="10">
        <f t="shared" si="57"/>
        <v>41</v>
      </c>
      <c r="AI308" s="10" t="s">
        <v>14</v>
      </c>
      <c r="AL308" s="10" t="s">
        <v>2</v>
      </c>
      <c r="AM308" s="10" t="s">
        <v>2023</v>
      </c>
      <c r="AN308" s="10" t="s">
        <v>2188</v>
      </c>
    </row>
    <row r="309" spans="1:40" s="10" customFormat="1" x14ac:dyDescent="0.3">
      <c r="A309" s="26" t="s">
        <v>2181</v>
      </c>
      <c r="B309" s="10" t="s">
        <v>65</v>
      </c>
      <c r="D309" s="10" t="s">
        <v>2189</v>
      </c>
      <c r="E309" s="10">
        <v>2004</v>
      </c>
      <c r="F309" s="10" t="s">
        <v>2655</v>
      </c>
      <c r="G309" s="10" t="s">
        <v>2182</v>
      </c>
      <c r="H309" s="10" t="s">
        <v>4</v>
      </c>
      <c r="J309" s="10" t="s">
        <v>669</v>
      </c>
      <c r="K309" s="10" t="s">
        <v>432</v>
      </c>
      <c r="L309" s="26">
        <v>3</v>
      </c>
      <c r="M309" s="26">
        <v>3</v>
      </c>
      <c r="N309" s="26"/>
      <c r="O309" s="14">
        <f t="shared" si="56"/>
        <v>126000</v>
      </c>
      <c r="S309" s="10">
        <v>62200</v>
      </c>
      <c r="Y309" s="14">
        <f t="shared" si="50"/>
        <v>0.49365079365079367</v>
      </c>
      <c r="AA309" s="14">
        <f t="shared" si="52"/>
        <v>0.49365079365079367</v>
      </c>
      <c r="AH309" s="10">
        <f t="shared" si="57"/>
        <v>41</v>
      </c>
      <c r="AI309" s="10" t="s">
        <v>14</v>
      </c>
      <c r="AL309" s="10" t="s">
        <v>2</v>
      </c>
      <c r="AM309" s="10" t="s">
        <v>2023</v>
      </c>
      <c r="AN309" s="10" t="s">
        <v>2188</v>
      </c>
    </row>
    <row r="310" spans="1:40" s="10" customFormat="1" x14ac:dyDescent="0.3">
      <c r="A310" s="26" t="s">
        <v>2196</v>
      </c>
      <c r="B310" s="10" t="s">
        <v>50</v>
      </c>
      <c r="C310" s="10" t="s">
        <v>2197</v>
      </c>
      <c r="D310" s="10" t="s">
        <v>2198</v>
      </c>
      <c r="E310" s="10">
        <v>1995</v>
      </c>
      <c r="F310" s="10" t="s">
        <v>2654</v>
      </c>
      <c r="G310" s="10" t="s">
        <v>2182</v>
      </c>
      <c r="H310" s="10" t="s">
        <v>1060</v>
      </c>
      <c r="J310" s="10" t="s">
        <v>2199</v>
      </c>
      <c r="K310" s="10" t="s">
        <v>244</v>
      </c>
      <c r="L310" s="26">
        <v>4</v>
      </c>
      <c r="M310" s="26">
        <v>4</v>
      </c>
      <c r="N310" s="26"/>
      <c r="O310" s="10">
        <v>170.4</v>
      </c>
      <c r="S310" s="10">
        <v>228.2</v>
      </c>
      <c r="Y310" s="14">
        <f t="shared" si="50"/>
        <v>1.3392018779342723</v>
      </c>
      <c r="AA310" s="14">
        <f>Y310</f>
        <v>1.3392018779342723</v>
      </c>
      <c r="AI310" s="10" t="s">
        <v>14</v>
      </c>
      <c r="AJ310" s="10" t="s">
        <v>3</v>
      </c>
      <c r="AL310" s="10" t="s">
        <v>2</v>
      </c>
      <c r="AM310" s="10" t="s">
        <v>3</v>
      </c>
      <c r="AN310" s="10" t="s">
        <v>2204</v>
      </c>
    </row>
    <row r="311" spans="1:40" s="10" customFormat="1" x14ac:dyDescent="0.3">
      <c r="A311" s="26" t="s">
        <v>2196</v>
      </c>
      <c r="B311" s="10" t="s">
        <v>50</v>
      </c>
      <c r="C311" s="10" t="s">
        <v>2197</v>
      </c>
      <c r="D311" s="10" t="s">
        <v>2198</v>
      </c>
      <c r="E311" s="10">
        <v>1995</v>
      </c>
      <c r="F311" s="10" t="s">
        <v>2654</v>
      </c>
      <c r="G311" s="10" t="s">
        <v>2182</v>
      </c>
      <c r="H311" s="10" t="s">
        <v>1060</v>
      </c>
      <c r="J311" s="10" t="s">
        <v>2199</v>
      </c>
      <c r="K311" s="10" t="s">
        <v>2200</v>
      </c>
      <c r="L311" s="26">
        <v>4</v>
      </c>
      <c r="M311" s="26">
        <v>4</v>
      </c>
      <c r="N311" s="26"/>
      <c r="O311" s="10">
        <v>170.4</v>
      </c>
      <c r="S311" s="10">
        <v>226.8</v>
      </c>
      <c r="Y311" s="14">
        <f t="shared" si="50"/>
        <v>1.3309859154929577</v>
      </c>
      <c r="AA311" s="14">
        <f t="shared" ref="AA311:AA328" si="58">Y311</f>
        <v>1.3309859154929577</v>
      </c>
      <c r="AI311" s="10" t="s">
        <v>14</v>
      </c>
      <c r="AJ311" s="10" t="s">
        <v>3</v>
      </c>
      <c r="AL311" s="10" t="s">
        <v>2</v>
      </c>
      <c r="AM311" s="10" t="s">
        <v>3</v>
      </c>
      <c r="AN311" s="10" t="s">
        <v>2204</v>
      </c>
    </row>
    <row r="312" spans="1:40" s="10" customFormat="1" x14ac:dyDescent="0.3">
      <c r="A312" s="26" t="s">
        <v>2196</v>
      </c>
      <c r="B312" s="10" t="s">
        <v>50</v>
      </c>
      <c r="C312" s="10" t="s">
        <v>2197</v>
      </c>
      <c r="D312" s="10" t="s">
        <v>2198</v>
      </c>
      <c r="E312" s="10">
        <v>1995</v>
      </c>
      <c r="F312" s="10" t="s">
        <v>2654</v>
      </c>
      <c r="G312" s="10" t="s">
        <v>2182</v>
      </c>
      <c r="H312" s="10" t="s">
        <v>1060</v>
      </c>
      <c r="J312" s="10" t="s">
        <v>2199</v>
      </c>
      <c r="K312" s="10" t="s">
        <v>2201</v>
      </c>
      <c r="L312" s="26">
        <v>4</v>
      </c>
      <c r="M312" s="26">
        <v>4</v>
      </c>
      <c r="N312" s="26"/>
      <c r="O312" s="10">
        <v>170.4</v>
      </c>
      <c r="S312" s="10">
        <v>209.9</v>
      </c>
      <c r="Y312" s="14">
        <f t="shared" si="50"/>
        <v>1.2318075117370892</v>
      </c>
      <c r="AA312" s="14">
        <f t="shared" si="58"/>
        <v>1.2318075117370892</v>
      </c>
      <c r="AI312" s="10" t="s">
        <v>14</v>
      </c>
      <c r="AJ312" s="10" t="s">
        <v>3</v>
      </c>
      <c r="AL312" s="10" t="s">
        <v>2</v>
      </c>
      <c r="AM312" s="10" t="s">
        <v>3</v>
      </c>
      <c r="AN312" s="10" t="s">
        <v>2204</v>
      </c>
    </row>
    <row r="313" spans="1:40" s="10" customFormat="1" x14ac:dyDescent="0.3">
      <c r="A313" s="26" t="s">
        <v>2196</v>
      </c>
      <c r="B313" s="10" t="s">
        <v>50</v>
      </c>
      <c r="C313" s="10" t="s">
        <v>2197</v>
      </c>
      <c r="D313" s="10" t="s">
        <v>2198</v>
      </c>
      <c r="E313" s="10">
        <v>1995</v>
      </c>
      <c r="F313" s="10" t="s">
        <v>2654</v>
      </c>
      <c r="G313" s="10" t="s">
        <v>2182</v>
      </c>
      <c r="H313" s="10" t="s">
        <v>1060</v>
      </c>
      <c r="J313" s="10" t="s">
        <v>2199</v>
      </c>
      <c r="K313" s="10" t="s">
        <v>2202</v>
      </c>
      <c r="L313" s="26">
        <v>4</v>
      </c>
      <c r="M313" s="26">
        <v>4</v>
      </c>
      <c r="N313" s="26"/>
      <c r="O313" s="10">
        <v>170.4</v>
      </c>
      <c r="S313" s="10">
        <v>200.3</v>
      </c>
      <c r="Y313" s="14">
        <f t="shared" si="50"/>
        <v>1.1754694835680752</v>
      </c>
      <c r="AA313" s="14">
        <f t="shared" si="58"/>
        <v>1.1754694835680752</v>
      </c>
      <c r="AI313" s="10" t="s">
        <v>14</v>
      </c>
      <c r="AJ313" s="10" t="s">
        <v>3</v>
      </c>
      <c r="AL313" s="10" t="s">
        <v>2</v>
      </c>
      <c r="AM313" s="10" t="s">
        <v>3</v>
      </c>
      <c r="AN313" s="10" t="s">
        <v>2204</v>
      </c>
    </row>
    <row r="314" spans="1:40" s="10" customFormat="1" x14ac:dyDescent="0.3">
      <c r="A314" s="26" t="s">
        <v>2196</v>
      </c>
      <c r="B314" s="10" t="s">
        <v>50</v>
      </c>
      <c r="C314" s="10" t="s">
        <v>2197</v>
      </c>
      <c r="D314" s="10" t="s">
        <v>2198</v>
      </c>
      <c r="E314" s="10">
        <v>1995</v>
      </c>
      <c r="F314" s="10" t="s">
        <v>2654</v>
      </c>
      <c r="G314" s="10" t="s">
        <v>2182</v>
      </c>
      <c r="H314" s="10" t="s">
        <v>1060</v>
      </c>
      <c r="J314" s="10" t="s">
        <v>2199</v>
      </c>
      <c r="K314" s="10" t="s">
        <v>2203</v>
      </c>
      <c r="L314" s="26">
        <v>4</v>
      </c>
      <c r="M314" s="26">
        <v>4</v>
      </c>
      <c r="N314" s="26"/>
      <c r="O314" s="10">
        <v>170.4</v>
      </c>
      <c r="S314" s="10">
        <v>202.9</v>
      </c>
      <c r="Y314" s="14">
        <f t="shared" si="50"/>
        <v>1.1907276995305165</v>
      </c>
      <c r="AA314" s="14">
        <f t="shared" si="58"/>
        <v>1.1907276995305165</v>
      </c>
      <c r="AI314" s="10" t="s">
        <v>14</v>
      </c>
      <c r="AJ314" s="10" t="s">
        <v>3</v>
      </c>
      <c r="AL314" s="10" t="s">
        <v>2</v>
      </c>
      <c r="AM314" s="10" t="s">
        <v>3</v>
      </c>
      <c r="AN314" s="10" t="s">
        <v>2204</v>
      </c>
    </row>
    <row r="315" spans="1:40" s="10" customFormat="1" x14ac:dyDescent="0.3">
      <c r="A315" s="62" t="s">
        <v>2214</v>
      </c>
      <c r="B315" s="10" t="s">
        <v>131</v>
      </c>
      <c r="C315" s="10" t="s">
        <v>1293</v>
      </c>
      <c r="D315" s="10" t="s">
        <v>2205</v>
      </c>
      <c r="E315" s="10">
        <v>1998</v>
      </c>
      <c r="F315" s="10" t="s">
        <v>2654</v>
      </c>
      <c r="G315" s="10" t="s">
        <v>75</v>
      </c>
      <c r="H315" s="10" t="s">
        <v>4</v>
      </c>
      <c r="J315" s="10" t="s">
        <v>63</v>
      </c>
      <c r="K315" s="10" t="s">
        <v>2207</v>
      </c>
      <c r="L315" s="26">
        <v>4</v>
      </c>
      <c r="M315" s="26">
        <v>4</v>
      </c>
      <c r="N315" s="26"/>
      <c r="O315" s="10">
        <f>910*3</f>
        <v>2730</v>
      </c>
      <c r="S315" s="10">
        <v>570</v>
      </c>
      <c r="Y315" s="14">
        <f t="shared" si="50"/>
        <v>0.2087912087912088</v>
      </c>
      <c r="AA315" s="14">
        <f t="shared" si="58"/>
        <v>0.2087912087912088</v>
      </c>
      <c r="AH315" s="10">
        <v>0</v>
      </c>
      <c r="AI315" s="10" t="s">
        <v>14</v>
      </c>
      <c r="AL315" s="10" t="s">
        <v>2</v>
      </c>
      <c r="AM315" s="10" t="s">
        <v>3</v>
      </c>
      <c r="AN315" s="10" t="s">
        <v>2575</v>
      </c>
    </row>
    <row r="316" spans="1:40" s="10" customFormat="1" x14ac:dyDescent="0.3">
      <c r="A316" s="62" t="s">
        <v>2214</v>
      </c>
      <c r="B316" s="10" t="s">
        <v>131</v>
      </c>
      <c r="C316" s="10" t="s">
        <v>1293</v>
      </c>
      <c r="D316" s="10" t="s">
        <v>2205</v>
      </c>
      <c r="E316" s="10">
        <v>1998</v>
      </c>
      <c r="F316" s="10" t="s">
        <v>2654</v>
      </c>
      <c r="G316" s="10" t="s">
        <v>75</v>
      </c>
      <c r="H316" s="10" t="s">
        <v>4</v>
      </c>
      <c r="J316" s="10" t="s">
        <v>63</v>
      </c>
      <c r="K316" s="10" t="s">
        <v>2208</v>
      </c>
      <c r="L316" s="26">
        <v>4</v>
      </c>
      <c r="M316" s="26">
        <v>4</v>
      </c>
      <c r="N316" s="26"/>
      <c r="O316" s="10">
        <f t="shared" ref="O316:O323" si="59">910*3</f>
        <v>2730</v>
      </c>
      <c r="S316" s="10">
        <v>2400</v>
      </c>
      <c r="Y316" s="14">
        <f t="shared" si="50"/>
        <v>0.87912087912087911</v>
      </c>
      <c r="AA316" s="14">
        <f t="shared" si="58"/>
        <v>0.87912087912087911</v>
      </c>
      <c r="AH316" s="10">
        <v>0</v>
      </c>
      <c r="AI316" s="10" t="s">
        <v>14</v>
      </c>
      <c r="AL316" s="10" t="s">
        <v>2</v>
      </c>
      <c r="AM316" s="10" t="s">
        <v>3</v>
      </c>
      <c r="AN316" s="10" t="s">
        <v>2575</v>
      </c>
    </row>
    <row r="317" spans="1:40" s="10" customFormat="1" x14ac:dyDescent="0.3">
      <c r="A317" s="62" t="s">
        <v>2214</v>
      </c>
      <c r="B317" s="10" t="s">
        <v>131</v>
      </c>
      <c r="C317" s="10" t="s">
        <v>1293</v>
      </c>
      <c r="D317" s="10" t="s">
        <v>2205</v>
      </c>
      <c r="E317" s="10">
        <v>1998</v>
      </c>
      <c r="F317" s="10" t="s">
        <v>2654</v>
      </c>
      <c r="G317" s="10" t="s">
        <v>75</v>
      </c>
      <c r="H317" s="10" t="s">
        <v>4</v>
      </c>
      <c r="J317" s="10" t="s">
        <v>63</v>
      </c>
      <c r="K317" s="10" t="s">
        <v>579</v>
      </c>
      <c r="L317" s="26">
        <v>4</v>
      </c>
      <c r="M317" s="26">
        <v>4</v>
      </c>
      <c r="N317" s="26"/>
      <c r="O317" s="10">
        <f t="shared" si="59"/>
        <v>2730</v>
      </c>
      <c r="S317" s="10">
        <v>4190</v>
      </c>
      <c r="Y317" s="14">
        <f t="shared" si="50"/>
        <v>1.5347985347985349</v>
      </c>
      <c r="AA317" s="14">
        <f t="shared" si="58"/>
        <v>1.5347985347985349</v>
      </c>
      <c r="AH317" s="10">
        <v>0</v>
      </c>
      <c r="AI317" s="10" t="s">
        <v>14</v>
      </c>
      <c r="AL317" s="10" t="s">
        <v>2</v>
      </c>
      <c r="AM317" s="10" t="s">
        <v>3</v>
      </c>
      <c r="AN317" s="10" t="s">
        <v>2575</v>
      </c>
    </row>
    <row r="318" spans="1:40" s="10" customFormat="1" x14ac:dyDescent="0.3">
      <c r="A318" s="62" t="s">
        <v>2214</v>
      </c>
      <c r="B318" s="10" t="s">
        <v>131</v>
      </c>
      <c r="C318" s="10" t="s">
        <v>1293</v>
      </c>
      <c r="D318" s="10" t="s">
        <v>2205</v>
      </c>
      <c r="E318" s="10">
        <v>1998</v>
      </c>
      <c r="F318" s="10" t="s">
        <v>2654</v>
      </c>
      <c r="G318" s="10" t="s">
        <v>75</v>
      </c>
      <c r="H318" s="10" t="s">
        <v>4</v>
      </c>
      <c r="J318" s="10" t="s">
        <v>63</v>
      </c>
      <c r="K318" s="10" t="s">
        <v>566</v>
      </c>
      <c r="L318" s="26">
        <v>4</v>
      </c>
      <c r="M318" s="26">
        <v>4</v>
      </c>
      <c r="N318" s="26"/>
      <c r="O318" s="10">
        <f t="shared" si="59"/>
        <v>2730</v>
      </c>
      <c r="S318" s="10">
        <v>1830</v>
      </c>
      <c r="Y318" s="14">
        <f t="shared" si="50"/>
        <v>0.67032967032967028</v>
      </c>
      <c r="AA318" s="14">
        <f t="shared" si="58"/>
        <v>0.67032967032967028</v>
      </c>
      <c r="AH318" s="10">
        <v>0</v>
      </c>
      <c r="AI318" s="10" t="s">
        <v>14</v>
      </c>
      <c r="AL318" s="10" t="s">
        <v>2</v>
      </c>
      <c r="AM318" s="10" t="s">
        <v>3</v>
      </c>
      <c r="AN318" s="10" t="s">
        <v>2575</v>
      </c>
    </row>
    <row r="319" spans="1:40" s="10" customFormat="1" x14ac:dyDescent="0.3">
      <c r="A319" s="62" t="s">
        <v>2214</v>
      </c>
      <c r="B319" s="10" t="s">
        <v>131</v>
      </c>
      <c r="C319" s="10" t="s">
        <v>1293</v>
      </c>
      <c r="D319" s="10" t="s">
        <v>2205</v>
      </c>
      <c r="E319" s="10">
        <v>1998</v>
      </c>
      <c r="F319" s="10" t="s">
        <v>2654</v>
      </c>
      <c r="G319" s="10" t="s">
        <v>75</v>
      </c>
      <c r="H319" s="10" t="s">
        <v>4</v>
      </c>
      <c r="J319" s="10" t="s">
        <v>63</v>
      </c>
      <c r="K319" s="10" t="s">
        <v>73</v>
      </c>
      <c r="L319" s="26">
        <v>4</v>
      </c>
      <c r="M319" s="26">
        <v>4</v>
      </c>
      <c r="N319" s="26"/>
      <c r="O319" s="10">
        <f t="shared" si="59"/>
        <v>2730</v>
      </c>
      <c r="S319" s="10">
        <v>3880</v>
      </c>
      <c r="Y319" s="14">
        <f t="shared" si="50"/>
        <v>1.4212454212454213</v>
      </c>
      <c r="AA319" s="14">
        <f t="shared" si="58"/>
        <v>1.4212454212454213</v>
      </c>
      <c r="AH319" s="10">
        <v>0</v>
      </c>
      <c r="AI319" s="10" t="s">
        <v>14</v>
      </c>
      <c r="AL319" s="10" t="s">
        <v>2</v>
      </c>
      <c r="AM319" s="10" t="s">
        <v>3</v>
      </c>
      <c r="AN319" s="10" t="s">
        <v>2575</v>
      </c>
    </row>
    <row r="320" spans="1:40" s="10" customFormat="1" x14ac:dyDescent="0.3">
      <c r="A320" s="62" t="s">
        <v>2214</v>
      </c>
      <c r="B320" s="10" t="s">
        <v>131</v>
      </c>
      <c r="C320" s="10" t="s">
        <v>1293</v>
      </c>
      <c r="D320" s="10" t="s">
        <v>2205</v>
      </c>
      <c r="E320" s="10">
        <v>1998</v>
      </c>
      <c r="F320" s="10" t="s">
        <v>2654</v>
      </c>
      <c r="G320" s="10" t="s">
        <v>75</v>
      </c>
      <c r="H320" s="10" t="s">
        <v>4</v>
      </c>
      <c r="J320" s="10" t="s">
        <v>63</v>
      </c>
      <c r="K320" s="10" t="s">
        <v>2209</v>
      </c>
      <c r="L320" s="26">
        <v>4</v>
      </c>
      <c r="M320" s="26">
        <v>4</v>
      </c>
      <c r="N320" s="26"/>
      <c r="O320" s="10">
        <f t="shared" si="59"/>
        <v>2730</v>
      </c>
      <c r="S320" s="10">
        <v>3050</v>
      </c>
      <c r="Y320" s="14">
        <f t="shared" si="50"/>
        <v>1.1172161172161172</v>
      </c>
      <c r="AA320" s="14">
        <f t="shared" si="58"/>
        <v>1.1172161172161172</v>
      </c>
      <c r="AH320" s="10">
        <v>0</v>
      </c>
      <c r="AI320" s="10" t="s">
        <v>14</v>
      </c>
      <c r="AL320" s="10" t="s">
        <v>2</v>
      </c>
      <c r="AM320" s="10" t="s">
        <v>3</v>
      </c>
      <c r="AN320" s="10" t="s">
        <v>2575</v>
      </c>
    </row>
    <row r="321" spans="1:40" s="10" customFormat="1" x14ac:dyDescent="0.3">
      <c r="A321" s="62" t="s">
        <v>2214</v>
      </c>
      <c r="B321" s="10" t="s">
        <v>131</v>
      </c>
      <c r="C321" s="10" t="s">
        <v>1293</v>
      </c>
      <c r="D321" s="10" t="s">
        <v>2205</v>
      </c>
      <c r="E321" s="10">
        <v>1998</v>
      </c>
      <c r="F321" s="10" t="s">
        <v>2654</v>
      </c>
      <c r="G321" s="10" t="s">
        <v>75</v>
      </c>
      <c r="H321" s="10" t="s">
        <v>4</v>
      </c>
      <c r="J321" s="10" t="s">
        <v>63</v>
      </c>
      <c r="K321" s="10" t="s">
        <v>682</v>
      </c>
      <c r="L321" s="26">
        <v>4</v>
      </c>
      <c r="M321" s="26">
        <v>4</v>
      </c>
      <c r="N321" s="26"/>
      <c r="O321" s="10">
        <f t="shared" si="59"/>
        <v>2730</v>
      </c>
      <c r="S321" s="10">
        <v>2950</v>
      </c>
      <c r="Y321" s="14">
        <f t="shared" si="50"/>
        <v>1.0805860805860805</v>
      </c>
      <c r="AA321" s="14">
        <f t="shared" si="58"/>
        <v>1.0805860805860805</v>
      </c>
      <c r="AH321" s="10">
        <v>0</v>
      </c>
      <c r="AI321" s="10" t="s">
        <v>14</v>
      </c>
      <c r="AL321" s="10" t="s">
        <v>2</v>
      </c>
      <c r="AM321" s="10" t="s">
        <v>3</v>
      </c>
      <c r="AN321" s="10" t="s">
        <v>2575</v>
      </c>
    </row>
    <row r="322" spans="1:40" s="10" customFormat="1" x14ac:dyDescent="0.3">
      <c r="A322" s="62" t="s">
        <v>2214</v>
      </c>
      <c r="B322" s="10" t="s">
        <v>131</v>
      </c>
      <c r="C322" s="10" t="s">
        <v>1293</v>
      </c>
      <c r="D322" s="10" t="s">
        <v>2205</v>
      </c>
      <c r="E322" s="10">
        <v>1998</v>
      </c>
      <c r="F322" s="10" t="s">
        <v>2654</v>
      </c>
      <c r="G322" s="10" t="s">
        <v>75</v>
      </c>
      <c r="H322" s="10" t="s">
        <v>4</v>
      </c>
      <c r="J322" s="10" t="s">
        <v>63</v>
      </c>
      <c r="K322" s="10" t="s">
        <v>2210</v>
      </c>
      <c r="L322" s="26">
        <v>4</v>
      </c>
      <c r="M322" s="26">
        <v>4</v>
      </c>
      <c r="N322" s="26"/>
      <c r="O322" s="10">
        <f t="shared" si="59"/>
        <v>2730</v>
      </c>
      <c r="S322" s="10">
        <v>3790</v>
      </c>
      <c r="Y322" s="14">
        <f t="shared" si="50"/>
        <v>1.3882783882783882</v>
      </c>
      <c r="AA322" s="14">
        <f t="shared" si="58"/>
        <v>1.3882783882783882</v>
      </c>
      <c r="AH322" s="10">
        <v>0</v>
      </c>
      <c r="AI322" s="10" t="s">
        <v>14</v>
      </c>
      <c r="AL322" s="10" t="s">
        <v>2</v>
      </c>
      <c r="AM322" s="10" t="s">
        <v>3</v>
      </c>
      <c r="AN322" s="10" t="s">
        <v>2575</v>
      </c>
    </row>
    <row r="323" spans="1:40" s="10" customFormat="1" x14ac:dyDescent="0.3">
      <c r="A323" s="62" t="s">
        <v>2214</v>
      </c>
      <c r="B323" s="10" t="s">
        <v>131</v>
      </c>
      <c r="C323" s="10" t="s">
        <v>1293</v>
      </c>
      <c r="D323" s="10" t="s">
        <v>2205</v>
      </c>
      <c r="E323" s="10">
        <v>1998</v>
      </c>
      <c r="F323" s="10" t="s">
        <v>2654</v>
      </c>
      <c r="G323" s="10" t="s">
        <v>75</v>
      </c>
      <c r="H323" s="10" t="s">
        <v>4</v>
      </c>
      <c r="J323" s="10" t="s">
        <v>63</v>
      </c>
      <c r="K323" s="10" t="s">
        <v>2211</v>
      </c>
      <c r="L323" s="26">
        <v>4</v>
      </c>
      <c r="M323" s="26">
        <v>4</v>
      </c>
      <c r="N323" s="26"/>
      <c r="O323" s="10">
        <f t="shared" si="59"/>
        <v>2730</v>
      </c>
      <c r="S323" s="10">
        <v>3550</v>
      </c>
      <c r="Y323" s="14">
        <f t="shared" si="50"/>
        <v>1.3003663003663004</v>
      </c>
      <c r="AA323" s="14">
        <f t="shared" si="58"/>
        <v>1.3003663003663004</v>
      </c>
      <c r="AH323" s="10">
        <v>0</v>
      </c>
      <c r="AI323" s="10" t="s">
        <v>14</v>
      </c>
      <c r="AL323" s="10" t="s">
        <v>2</v>
      </c>
      <c r="AM323" s="10" t="s">
        <v>3</v>
      </c>
      <c r="AN323" s="10" t="s">
        <v>2575</v>
      </c>
    </row>
    <row r="324" spans="1:40" s="10" customFormat="1" x14ac:dyDescent="0.3">
      <c r="A324" s="62" t="s">
        <v>2214</v>
      </c>
      <c r="B324" s="10" t="s">
        <v>131</v>
      </c>
      <c r="C324" s="10" t="s">
        <v>1293</v>
      </c>
      <c r="D324" s="10" t="s">
        <v>2205</v>
      </c>
      <c r="E324" s="10">
        <v>1998</v>
      </c>
      <c r="F324" s="10" t="s">
        <v>2654</v>
      </c>
      <c r="G324" s="10" t="s">
        <v>2206</v>
      </c>
      <c r="H324" s="10" t="s">
        <v>4</v>
      </c>
      <c r="J324" s="10" t="s">
        <v>63</v>
      </c>
      <c r="L324" s="26">
        <v>4</v>
      </c>
      <c r="M324" s="26">
        <v>4</v>
      </c>
      <c r="N324" s="26"/>
      <c r="O324" s="10">
        <f>910*3</f>
        <v>2730</v>
      </c>
      <c r="S324" s="10">
        <v>1600</v>
      </c>
      <c r="Y324" s="14">
        <f t="shared" si="50"/>
        <v>0.58608058608058611</v>
      </c>
      <c r="AA324" s="14">
        <f t="shared" si="58"/>
        <v>0.58608058608058611</v>
      </c>
      <c r="AH324" s="10">
        <v>0</v>
      </c>
      <c r="AI324" s="10" t="s">
        <v>14</v>
      </c>
      <c r="AL324" s="10" t="s">
        <v>2</v>
      </c>
      <c r="AM324" s="10" t="s">
        <v>3</v>
      </c>
      <c r="AN324" s="10" t="s">
        <v>2575</v>
      </c>
    </row>
    <row r="325" spans="1:40" s="10" customFormat="1" x14ac:dyDescent="0.3">
      <c r="A325" s="62" t="s">
        <v>2214</v>
      </c>
      <c r="B325" s="10" t="s">
        <v>131</v>
      </c>
      <c r="C325" s="10" t="s">
        <v>1293</v>
      </c>
      <c r="D325" s="10" t="s">
        <v>2213</v>
      </c>
      <c r="E325" s="10">
        <v>1999</v>
      </c>
      <c r="F325" s="10" t="s">
        <v>2654</v>
      </c>
      <c r="G325" s="10" t="s">
        <v>75</v>
      </c>
      <c r="H325" s="10" t="s">
        <v>4</v>
      </c>
      <c r="J325" s="10" t="s">
        <v>63</v>
      </c>
      <c r="K325" s="10" t="s">
        <v>73</v>
      </c>
      <c r="L325" s="26">
        <v>4</v>
      </c>
      <c r="M325" s="26">
        <v>4</v>
      </c>
      <c r="N325" s="26"/>
      <c r="O325" s="10">
        <f>390*3</f>
        <v>1170</v>
      </c>
      <c r="S325" s="10">
        <v>1820</v>
      </c>
      <c r="Y325" s="14">
        <f t="shared" si="50"/>
        <v>1.5555555555555556</v>
      </c>
      <c r="AA325" s="14">
        <f t="shared" si="58"/>
        <v>1.5555555555555556</v>
      </c>
      <c r="AH325" s="10">
        <v>0</v>
      </c>
      <c r="AI325" s="10" t="s">
        <v>14</v>
      </c>
      <c r="AL325" s="10" t="s">
        <v>2</v>
      </c>
      <c r="AM325" s="10" t="s">
        <v>3</v>
      </c>
      <c r="AN325" s="10" t="s">
        <v>2212</v>
      </c>
    </row>
    <row r="326" spans="1:40" s="10" customFormat="1" x14ac:dyDescent="0.3">
      <c r="A326" s="62" t="s">
        <v>2214</v>
      </c>
      <c r="B326" s="10" t="s">
        <v>131</v>
      </c>
      <c r="C326" s="10" t="s">
        <v>1293</v>
      </c>
      <c r="D326" s="10" t="s">
        <v>2213</v>
      </c>
      <c r="E326" s="10">
        <v>1999</v>
      </c>
      <c r="F326" s="10" t="s">
        <v>2654</v>
      </c>
      <c r="G326" s="10" t="s">
        <v>75</v>
      </c>
      <c r="H326" s="10" t="s">
        <v>4</v>
      </c>
      <c r="J326" s="10" t="s">
        <v>63</v>
      </c>
      <c r="K326" s="10" t="s">
        <v>403</v>
      </c>
      <c r="L326" s="26">
        <v>4</v>
      </c>
      <c r="M326" s="26">
        <v>4</v>
      </c>
      <c r="N326" s="26"/>
      <c r="O326" s="10">
        <f t="shared" ref="O326:O328" si="60">390*3</f>
        <v>1170</v>
      </c>
      <c r="S326" s="10">
        <v>2350</v>
      </c>
      <c r="Y326" s="14">
        <f t="shared" si="50"/>
        <v>2.0085470085470085</v>
      </c>
      <c r="AA326" s="14">
        <f t="shared" si="58"/>
        <v>2.0085470085470085</v>
      </c>
      <c r="AH326" s="10">
        <v>0</v>
      </c>
      <c r="AI326" s="10" t="s">
        <v>14</v>
      </c>
      <c r="AL326" s="10" t="s">
        <v>2</v>
      </c>
      <c r="AM326" s="10" t="s">
        <v>3</v>
      </c>
      <c r="AN326" s="10" t="s">
        <v>2212</v>
      </c>
    </row>
    <row r="327" spans="1:40" s="10" customFormat="1" x14ac:dyDescent="0.3">
      <c r="A327" s="62" t="s">
        <v>2214</v>
      </c>
      <c r="B327" s="10" t="s">
        <v>131</v>
      </c>
      <c r="C327" s="10" t="s">
        <v>1293</v>
      </c>
      <c r="D327" s="10" t="s">
        <v>2213</v>
      </c>
      <c r="E327" s="10">
        <v>1999</v>
      </c>
      <c r="F327" s="10" t="s">
        <v>2654</v>
      </c>
      <c r="G327" s="10" t="s">
        <v>75</v>
      </c>
      <c r="H327" s="10" t="s">
        <v>4</v>
      </c>
      <c r="J327" s="10" t="s">
        <v>63</v>
      </c>
      <c r="K327" s="10" t="s">
        <v>2210</v>
      </c>
      <c r="L327" s="26">
        <v>4</v>
      </c>
      <c r="M327" s="26">
        <v>4</v>
      </c>
      <c r="N327" s="26"/>
      <c r="O327" s="10">
        <f t="shared" si="60"/>
        <v>1170</v>
      </c>
      <c r="S327" s="10">
        <v>1240</v>
      </c>
      <c r="Y327" s="14">
        <f t="shared" si="50"/>
        <v>1.0598290598290598</v>
      </c>
      <c r="AA327" s="14">
        <f t="shared" si="58"/>
        <v>1.0598290598290598</v>
      </c>
      <c r="AH327" s="10">
        <v>0</v>
      </c>
      <c r="AI327" s="10" t="s">
        <v>14</v>
      </c>
      <c r="AL327" s="10" t="s">
        <v>2</v>
      </c>
      <c r="AM327" s="10" t="s">
        <v>3</v>
      </c>
      <c r="AN327" s="10" t="s">
        <v>2212</v>
      </c>
    </row>
    <row r="328" spans="1:40" s="10" customFormat="1" x14ac:dyDescent="0.3">
      <c r="A328" s="62" t="s">
        <v>2214</v>
      </c>
      <c r="B328" s="10" t="s">
        <v>131</v>
      </c>
      <c r="C328" s="10" t="s">
        <v>1293</v>
      </c>
      <c r="D328" s="10" t="s">
        <v>2213</v>
      </c>
      <c r="E328" s="10">
        <v>1999</v>
      </c>
      <c r="F328" s="10" t="s">
        <v>2654</v>
      </c>
      <c r="G328" s="10" t="s">
        <v>2206</v>
      </c>
      <c r="H328" s="10" t="s">
        <v>4</v>
      </c>
      <c r="J328" s="10" t="s">
        <v>63</v>
      </c>
      <c r="L328" s="26">
        <v>4</v>
      </c>
      <c r="M328" s="26">
        <v>4</v>
      </c>
      <c r="N328" s="26"/>
      <c r="O328" s="10">
        <f t="shared" si="60"/>
        <v>1170</v>
      </c>
      <c r="S328" s="10">
        <v>1380</v>
      </c>
      <c r="Y328" s="14">
        <f t="shared" si="50"/>
        <v>1.1794871794871795</v>
      </c>
      <c r="AA328" s="14">
        <f t="shared" si="58"/>
        <v>1.1794871794871795</v>
      </c>
      <c r="AH328" s="10">
        <v>0</v>
      </c>
      <c r="AI328" s="10" t="s">
        <v>14</v>
      </c>
      <c r="AL328" s="10" t="s">
        <v>2</v>
      </c>
      <c r="AM328" s="10" t="s">
        <v>3</v>
      </c>
      <c r="AN328" s="10" t="s">
        <v>2212</v>
      </c>
    </row>
    <row r="329" spans="1:40" s="10" customFormat="1" x14ac:dyDescent="0.3">
      <c r="A329" s="62" t="s">
        <v>2215</v>
      </c>
      <c r="B329" s="10" t="s">
        <v>499</v>
      </c>
      <c r="D329" s="10" t="s">
        <v>2216</v>
      </c>
      <c r="E329" s="10">
        <v>1996</v>
      </c>
      <c r="F329" s="10" t="s">
        <v>2655</v>
      </c>
      <c r="G329" s="10" t="s">
        <v>7</v>
      </c>
      <c r="H329" s="10" t="s">
        <v>4</v>
      </c>
      <c r="I329" s="10" t="s">
        <v>2217</v>
      </c>
      <c r="J329" s="10" t="s">
        <v>56</v>
      </c>
      <c r="K329" s="10" t="s">
        <v>432</v>
      </c>
      <c r="L329" s="26">
        <v>7</v>
      </c>
      <c r="M329" s="26">
        <v>7</v>
      </c>
      <c r="N329" s="26"/>
      <c r="O329" s="10">
        <f>557+327</f>
        <v>884</v>
      </c>
      <c r="Q329" s="10">
        <f>773+328</f>
        <v>1101</v>
      </c>
      <c r="S329" s="10">
        <v>557</v>
      </c>
      <c r="U329" s="10">
        <v>336</v>
      </c>
      <c r="Y329" s="14">
        <f t="shared" si="50"/>
        <v>0.63009049773755654</v>
      </c>
      <c r="Z329" s="14">
        <f>U329/Q329</f>
        <v>0.30517711171662126</v>
      </c>
      <c r="AA329" s="14">
        <f>Y329+Z329</f>
        <v>0.93526760945417786</v>
      </c>
      <c r="AH329" s="10">
        <v>0</v>
      </c>
      <c r="AI329" s="10" t="s">
        <v>14</v>
      </c>
      <c r="AL329" s="10" t="s">
        <v>2</v>
      </c>
      <c r="AM329" s="10" t="s">
        <v>3</v>
      </c>
      <c r="AN329" s="10" t="s">
        <v>2219</v>
      </c>
    </row>
    <row r="330" spans="1:40" s="21" customFormat="1" x14ac:dyDescent="0.3">
      <c r="A330" s="63" t="s">
        <v>2215</v>
      </c>
      <c r="B330" s="21" t="s">
        <v>499</v>
      </c>
      <c r="D330" s="21" t="s">
        <v>2216</v>
      </c>
      <c r="E330" s="21">
        <v>1996</v>
      </c>
      <c r="F330" s="21" t="s">
        <v>2655</v>
      </c>
      <c r="G330" s="21" t="s">
        <v>7</v>
      </c>
      <c r="H330" s="21" t="s">
        <v>4</v>
      </c>
      <c r="I330" s="21" t="s">
        <v>2218</v>
      </c>
      <c r="J330" s="21" t="s">
        <v>56</v>
      </c>
      <c r="K330" s="21" t="s">
        <v>432</v>
      </c>
      <c r="L330" s="23">
        <v>7</v>
      </c>
      <c r="M330" s="23">
        <v>7</v>
      </c>
      <c r="N330" s="23"/>
      <c r="O330" s="21">
        <f>557+327</f>
        <v>884</v>
      </c>
      <c r="Q330" s="21">
        <f>773+328</f>
        <v>1101</v>
      </c>
      <c r="S330" s="21">
        <v>448</v>
      </c>
      <c r="U330" s="21">
        <v>773</v>
      </c>
      <c r="Y330" s="54">
        <f t="shared" si="50"/>
        <v>0.50678733031674206</v>
      </c>
      <c r="Z330" s="54">
        <f>U330/Q330</f>
        <v>0.70208900999091739</v>
      </c>
      <c r="AA330" s="54">
        <f>Y330+Z330</f>
        <v>1.2088763403076594</v>
      </c>
      <c r="AH330" s="21">
        <v>0</v>
      </c>
      <c r="AI330" s="21" t="s">
        <v>14</v>
      </c>
      <c r="AL330" s="21" t="s">
        <v>2</v>
      </c>
      <c r="AM330" s="21" t="s">
        <v>3</v>
      </c>
      <c r="AN330" s="21" t="s">
        <v>2219</v>
      </c>
    </row>
    <row r="331" spans="1:40" s="7" customFormat="1" x14ac:dyDescent="0.3">
      <c r="A331" s="63" t="s">
        <v>2431</v>
      </c>
      <c r="B331" s="23" t="s">
        <v>131</v>
      </c>
      <c r="C331" s="23" t="s">
        <v>2576</v>
      </c>
      <c r="D331" s="21"/>
      <c r="E331" s="21" t="s">
        <v>1815</v>
      </c>
      <c r="F331" s="21" t="s">
        <v>2655</v>
      </c>
      <c r="G331" s="23" t="s">
        <v>7</v>
      </c>
      <c r="H331" s="23" t="s">
        <v>4</v>
      </c>
      <c r="I331" s="23" t="s">
        <v>2432</v>
      </c>
      <c r="J331" s="23" t="s">
        <v>63</v>
      </c>
      <c r="K331" s="23" t="s">
        <v>180</v>
      </c>
      <c r="L331" s="23">
        <v>4</v>
      </c>
      <c r="M331" s="23">
        <v>4</v>
      </c>
      <c r="N331" s="23"/>
      <c r="O331" s="21">
        <v>1.1399999999999999</v>
      </c>
      <c r="P331" s="21"/>
      <c r="Q331" s="21"/>
      <c r="R331" s="21"/>
      <c r="S331" s="23">
        <v>1.35</v>
      </c>
      <c r="T331" s="21"/>
      <c r="U331" s="21"/>
      <c r="V331" s="21"/>
      <c r="W331" s="21"/>
      <c r="X331" s="21"/>
      <c r="Y331" s="11">
        <f t="shared" si="50"/>
        <v>1.1842105263157896</v>
      </c>
      <c r="Z331" s="21"/>
      <c r="AA331" s="54">
        <f>Y331</f>
        <v>1.1842105263157896</v>
      </c>
      <c r="AB331" s="21"/>
      <c r="AC331" s="21"/>
      <c r="AD331" s="21"/>
      <c r="AE331" s="21"/>
      <c r="AF331" s="21"/>
      <c r="AG331" s="21"/>
      <c r="AH331" s="21">
        <v>45</v>
      </c>
      <c r="AI331" s="21" t="s">
        <v>14</v>
      </c>
      <c r="AJ331" s="21"/>
      <c r="AK331" s="21"/>
      <c r="AL331" s="23" t="s">
        <v>2</v>
      </c>
      <c r="AM331" s="23" t="s">
        <v>2023</v>
      </c>
      <c r="AN331" s="21"/>
    </row>
    <row r="332" spans="1:40" x14ac:dyDescent="0.3">
      <c r="A332" s="63" t="s">
        <v>2431</v>
      </c>
      <c r="B332" s="23" t="s">
        <v>131</v>
      </c>
      <c r="C332" s="23" t="s">
        <v>2576</v>
      </c>
      <c r="D332" s="10"/>
      <c r="E332" s="10" t="s">
        <v>1815</v>
      </c>
      <c r="F332" s="10" t="s">
        <v>2655</v>
      </c>
      <c r="G332" s="23" t="s">
        <v>7</v>
      </c>
      <c r="H332" s="23" t="s">
        <v>4</v>
      </c>
      <c r="I332" s="23" t="s">
        <v>2432</v>
      </c>
      <c r="J332" s="23" t="s">
        <v>63</v>
      </c>
      <c r="K332" s="23" t="s">
        <v>180</v>
      </c>
      <c r="L332" s="23">
        <v>4</v>
      </c>
      <c r="M332" s="23">
        <v>4</v>
      </c>
      <c r="N332" s="23"/>
      <c r="O332" s="10">
        <v>0.71</v>
      </c>
      <c r="P332" s="10"/>
      <c r="Q332" s="10"/>
      <c r="R332" s="10"/>
      <c r="S332" s="23">
        <v>0.9</v>
      </c>
      <c r="T332" s="10"/>
      <c r="U332" s="10"/>
      <c r="V332" s="10"/>
      <c r="W332" s="10"/>
      <c r="X332" s="10"/>
      <c r="Y332" s="11">
        <f t="shared" si="50"/>
        <v>1.267605633802817</v>
      </c>
      <c r="Z332" s="10"/>
      <c r="AA332" s="14">
        <f t="shared" ref="AA332:AA338" si="61">Y332</f>
        <v>1.267605633802817</v>
      </c>
      <c r="AB332" s="10"/>
      <c r="AC332" s="10"/>
      <c r="AD332" s="10"/>
      <c r="AE332" s="10"/>
      <c r="AF332" s="10"/>
      <c r="AG332" s="10"/>
      <c r="AH332" s="10">
        <v>0</v>
      </c>
      <c r="AI332" s="10"/>
      <c r="AJ332" s="10"/>
      <c r="AK332" s="10"/>
      <c r="AL332" s="23" t="s">
        <v>2</v>
      </c>
      <c r="AM332" s="23" t="s">
        <v>2023</v>
      </c>
      <c r="AN332" s="10"/>
    </row>
    <row r="333" spans="1:40" x14ac:dyDescent="0.3">
      <c r="A333" s="63" t="s">
        <v>2431</v>
      </c>
      <c r="B333" s="23" t="s">
        <v>131</v>
      </c>
      <c r="C333" s="23" t="s">
        <v>2576</v>
      </c>
      <c r="D333" s="10"/>
      <c r="E333" s="10" t="s">
        <v>1815</v>
      </c>
      <c r="F333" s="10" t="s">
        <v>2655</v>
      </c>
      <c r="G333" s="23" t="s">
        <v>7</v>
      </c>
      <c r="H333" s="23" t="s">
        <v>4</v>
      </c>
      <c r="I333" s="23" t="s">
        <v>2433</v>
      </c>
      <c r="J333" s="23" t="s">
        <v>63</v>
      </c>
      <c r="K333" s="23" t="s">
        <v>180</v>
      </c>
      <c r="L333" s="23">
        <v>4</v>
      </c>
      <c r="M333" s="23">
        <v>4</v>
      </c>
      <c r="N333" s="23"/>
      <c r="O333" s="10">
        <v>1</v>
      </c>
      <c r="P333" s="10"/>
      <c r="Q333" s="10"/>
      <c r="R333" s="10"/>
      <c r="S333" s="23">
        <v>1.37</v>
      </c>
      <c r="T333" s="10"/>
      <c r="U333" s="10"/>
      <c r="V333" s="10"/>
      <c r="W333" s="10"/>
      <c r="X333" s="10"/>
      <c r="Y333" s="11">
        <f t="shared" si="50"/>
        <v>1.37</v>
      </c>
      <c r="Z333" s="10"/>
      <c r="AA333" s="14">
        <f t="shared" si="61"/>
        <v>1.37</v>
      </c>
      <c r="AB333" s="10"/>
      <c r="AC333" s="10"/>
      <c r="AD333" s="10"/>
      <c r="AE333" s="10"/>
      <c r="AF333" s="10"/>
      <c r="AG333" s="10"/>
      <c r="AH333" s="10">
        <v>45</v>
      </c>
      <c r="AI333" s="10" t="s">
        <v>14</v>
      </c>
      <c r="AJ333" s="10"/>
      <c r="AK333" s="10"/>
      <c r="AL333" s="23" t="s">
        <v>2</v>
      </c>
      <c r="AM333" s="23" t="s">
        <v>2023</v>
      </c>
      <c r="AN333" s="10"/>
    </row>
    <row r="334" spans="1:40" x14ac:dyDescent="0.3">
      <c r="A334" s="63" t="s">
        <v>2431</v>
      </c>
      <c r="B334" s="23" t="s">
        <v>131</v>
      </c>
      <c r="C334" s="23" t="s">
        <v>2576</v>
      </c>
      <c r="D334" s="10"/>
      <c r="E334" s="10" t="s">
        <v>1815</v>
      </c>
      <c r="F334" s="10" t="s">
        <v>2655</v>
      </c>
      <c r="G334" s="23" t="s">
        <v>7</v>
      </c>
      <c r="H334" s="23" t="s">
        <v>4</v>
      </c>
      <c r="I334" s="23" t="s">
        <v>2433</v>
      </c>
      <c r="J334" s="23" t="s">
        <v>63</v>
      </c>
      <c r="K334" s="23" t="s">
        <v>180</v>
      </c>
      <c r="L334" s="23">
        <v>4</v>
      </c>
      <c r="M334" s="23">
        <v>4</v>
      </c>
      <c r="N334" s="23"/>
      <c r="O334" s="10">
        <v>0.54</v>
      </c>
      <c r="P334" s="10"/>
      <c r="Q334" s="10"/>
      <c r="R334" s="10"/>
      <c r="S334" s="23">
        <v>1.03</v>
      </c>
      <c r="T334" s="10"/>
      <c r="U334" s="10"/>
      <c r="V334" s="10"/>
      <c r="W334" s="10"/>
      <c r="X334" s="10"/>
      <c r="Y334" s="11">
        <f t="shared" si="50"/>
        <v>1.9074074074074074</v>
      </c>
      <c r="Z334" s="10"/>
      <c r="AA334" s="14">
        <f t="shared" si="61"/>
        <v>1.9074074074074074</v>
      </c>
      <c r="AB334" s="10"/>
      <c r="AC334" s="10"/>
      <c r="AD334" s="10"/>
      <c r="AE334" s="10"/>
      <c r="AF334" s="10"/>
      <c r="AG334" s="10"/>
      <c r="AH334" s="10">
        <v>0</v>
      </c>
      <c r="AI334" s="10"/>
      <c r="AJ334" s="10"/>
      <c r="AK334" s="10"/>
      <c r="AL334" s="23" t="s">
        <v>2</v>
      </c>
      <c r="AM334" s="23" t="s">
        <v>2023</v>
      </c>
      <c r="AN334" s="10"/>
    </row>
    <row r="335" spans="1:40" x14ac:dyDescent="0.3">
      <c r="A335" s="63" t="s">
        <v>2431</v>
      </c>
      <c r="B335" s="23" t="s">
        <v>131</v>
      </c>
      <c r="C335" s="23" t="s">
        <v>2576</v>
      </c>
      <c r="D335" s="10"/>
      <c r="E335" s="10" t="s">
        <v>1815</v>
      </c>
      <c r="F335" s="10" t="s">
        <v>2654</v>
      </c>
      <c r="G335" s="23" t="s">
        <v>8</v>
      </c>
      <c r="H335" s="23" t="s">
        <v>4</v>
      </c>
      <c r="I335" s="23" t="s">
        <v>2432</v>
      </c>
      <c r="J335" s="23" t="s">
        <v>63</v>
      </c>
      <c r="K335" s="23" t="s">
        <v>651</v>
      </c>
      <c r="L335" s="23">
        <v>4</v>
      </c>
      <c r="M335" s="23">
        <v>4</v>
      </c>
      <c r="N335" s="23"/>
      <c r="O335" s="10">
        <v>1.1399999999999999</v>
      </c>
      <c r="P335" s="10"/>
      <c r="Q335" s="10"/>
      <c r="R335" s="10"/>
      <c r="S335" s="23">
        <v>1.42</v>
      </c>
      <c r="T335" s="10"/>
      <c r="U335" s="10"/>
      <c r="V335" s="10"/>
      <c r="W335" s="10"/>
      <c r="X335" s="10"/>
      <c r="Y335" s="11">
        <f>S335/(O335*2)</f>
        <v>0.6228070175438597</v>
      </c>
      <c r="Z335" s="10"/>
      <c r="AA335" s="14">
        <f t="shared" si="61"/>
        <v>0.6228070175438597</v>
      </c>
      <c r="AB335" s="10"/>
      <c r="AC335" s="10"/>
      <c r="AD335" s="10"/>
      <c r="AE335" s="10"/>
      <c r="AF335" s="10"/>
      <c r="AG335" s="10"/>
      <c r="AH335" s="10">
        <v>45</v>
      </c>
      <c r="AI335" s="10" t="s">
        <v>14</v>
      </c>
      <c r="AJ335" s="10"/>
      <c r="AK335" s="10"/>
      <c r="AL335" s="23" t="s">
        <v>2</v>
      </c>
      <c r="AM335" s="23" t="s">
        <v>3</v>
      </c>
      <c r="AN335" s="10" t="s">
        <v>2434</v>
      </c>
    </row>
    <row r="336" spans="1:40" x14ac:dyDescent="0.3">
      <c r="A336" s="63" t="s">
        <v>2431</v>
      </c>
      <c r="B336" s="23" t="s">
        <v>131</v>
      </c>
      <c r="C336" s="23" t="s">
        <v>2576</v>
      </c>
      <c r="D336" s="10"/>
      <c r="E336" s="10" t="s">
        <v>1815</v>
      </c>
      <c r="F336" s="10" t="s">
        <v>2654</v>
      </c>
      <c r="G336" s="23" t="s">
        <v>8</v>
      </c>
      <c r="H336" s="23" t="s">
        <v>4</v>
      </c>
      <c r="I336" s="23" t="s">
        <v>2432</v>
      </c>
      <c r="J336" s="23" t="s">
        <v>63</v>
      </c>
      <c r="K336" s="23" t="s">
        <v>651</v>
      </c>
      <c r="L336" s="23">
        <v>4</v>
      </c>
      <c r="M336" s="23">
        <v>4</v>
      </c>
      <c r="N336" s="23"/>
      <c r="O336" s="10">
        <v>0.71</v>
      </c>
      <c r="P336" s="10"/>
      <c r="Q336" s="10"/>
      <c r="R336" s="10"/>
      <c r="S336" s="23">
        <v>1.02</v>
      </c>
      <c r="T336" s="10"/>
      <c r="U336" s="10"/>
      <c r="V336" s="10"/>
      <c r="W336" s="10"/>
      <c r="X336" s="10"/>
      <c r="Y336" s="11">
        <f>S336/(O336*2)</f>
        <v>0.71830985915492962</v>
      </c>
      <c r="Z336" s="10"/>
      <c r="AA336" s="14">
        <f t="shared" si="61"/>
        <v>0.71830985915492962</v>
      </c>
      <c r="AB336" s="10"/>
      <c r="AC336" s="10"/>
      <c r="AD336" s="10"/>
      <c r="AE336" s="10"/>
      <c r="AF336" s="10"/>
      <c r="AG336" s="10"/>
      <c r="AH336" s="10">
        <v>0</v>
      </c>
      <c r="AI336" s="10"/>
      <c r="AJ336" s="10"/>
      <c r="AK336" s="10"/>
      <c r="AL336" s="23" t="s">
        <v>2</v>
      </c>
      <c r="AM336" s="23" t="s">
        <v>3</v>
      </c>
      <c r="AN336" s="10" t="s">
        <v>2434</v>
      </c>
    </row>
    <row r="337" spans="1:40" x14ac:dyDescent="0.3">
      <c r="A337" s="63" t="s">
        <v>2431</v>
      </c>
      <c r="B337" s="23" t="s">
        <v>131</v>
      </c>
      <c r="C337" s="23" t="s">
        <v>2576</v>
      </c>
      <c r="D337" s="10"/>
      <c r="E337" s="10" t="s">
        <v>1815</v>
      </c>
      <c r="F337" s="10" t="s">
        <v>2654</v>
      </c>
      <c r="G337" s="23" t="s">
        <v>8</v>
      </c>
      <c r="H337" s="23" t="s">
        <v>4</v>
      </c>
      <c r="I337" s="23" t="s">
        <v>2433</v>
      </c>
      <c r="J337" s="23" t="s">
        <v>63</v>
      </c>
      <c r="K337" s="23" t="s">
        <v>651</v>
      </c>
      <c r="L337" s="23">
        <v>4</v>
      </c>
      <c r="M337" s="23">
        <v>4</v>
      </c>
      <c r="N337" s="23"/>
      <c r="O337" s="10">
        <v>1</v>
      </c>
      <c r="P337" s="10"/>
      <c r="Q337" s="10"/>
      <c r="R337" s="10"/>
      <c r="S337" s="23">
        <v>1.61</v>
      </c>
      <c r="T337" s="10"/>
      <c r="U337" s="10"/>
      <c r="V337" s="10"/>
      <c r="W337" s="10"/>
      <c r="X337" s="10"/>
      <c r="Y337" s="11">
        <f>S337/(O337*2)</f>
        <v>0.80500000000000005</v>
      </c>
      <c r="Z337" s="10"/>
      <c r="AA337" s="14">
        <f t="shared" si="61"/>
        <v>0.80500000000000005</v>
      </c>
      <c r="AB337" s="10"/>
      <c r="AC337" s="10"/>
      <c r="AD337" s="10"/>
      <c r="AE337" s="10"/>
      <c r="AF337" s="10"/>
      <c r="AG337" s="10"/>
      <c r="AH337" s="10">
        <v>45</v>
      </c>
      <c r="AI337" s="10" t="s">
        <v>14</v>
      </c>
      <c r="AJ337" s="10"/>
      <c r="AK337" s="10"/>
      <c r="AL337" s="23" t="s">
        <v>2</v>
      </c>
      <c r="AM337" s="23" t="s">
        <v>3</v>
      </c>
      <c r="AN337" s="10" t="s">
        <v>2434</v>
      </c>
    </row>
    <row r="338" spans="1:40" x14ac:dyDescent="0.3">
      <c r="A338" s="63" t="s">
        <v>2431</v>
      </c>
      <c r="B338" s="23" t="s">
        <v>131</v>
      </c>
      <c r="C338" s="23" t="s">
        <v>2576</v>
      </c>
      <c r="D338" s="10"/>
      <c r="E338" s="10" t="s">
        <v>1815</v>
      </c>
      <c r="F338" s="10" t="s">
        <v>2654</v>
      </c>
      <c r="G338" s="23" t="s">
        <v>8</v>
      </c>
      <c r="H338" s="23" t="s">
        <v>4</v>
      </c>
      <c r="I338" s="23" t="s">
        <v>2433</v>
      </c>
      <c r="J338" s="23" t="s">
        <v>63</v>
      </c>
      <c r="K338" s="23" t="s">
        <v>651</v>
      </c>
      <c r="L338" s="23">
        <v>4</v>
      </c>
      <c r="M338" s="23">
        <v>4</v>
      </c>
      <c r="N338" s="23"/>
      <c r="O338" s="10">
        <v>0.54</v>
      </c>
      <c r="P338" s="10"/>
      <c r="Q338" s="10"/>
      <c r="R338" s="10"/>
      <c r="S338" s="23">
        <v>0.96</v>
      </c>
      <c r="T338" s="10"/>
      <c r="U338" s="10"/>
      <c r="V338" s="10"/>
      <c r="W338" s="10"/>
      <c r="X338" s="10"/>
      <c r="Y338" s="11">
        <f>S338/(O338*2)</f>
        <v>0.88888888888888884</v>
      </c>
      <c r="Z338" s="10"/>
      <c r="AA338" s="14">
        <f t="shared" si="61"/>
        <v>0.88888888888888884</v>
      </c>
      <c r="AB338" s="10"/>
      <c r="AC338" s="10"/>
      <c r="AD338" s="10"/>
      <c r="AE338" s="10"/>
      <c r="AF338" s="10"/>
      <c r="AG338" s="10"/>
      <c r="AH338" s="10">
        <v>0</v>
      </c>
      <c r="AI338" s="10"/>
      <c r="AJ338" s="10"/>
      <c r="AK338" s="10"/>
      <c r="AL338" s="23" t="s">
        <v>2</v>
      </c>
      <c r="AM338" s="23" t="s">
        <v>3</v>
      </c>
      <c r="AN338" s="10" t="s">
        <v>2434</v>
      </c>
    </row>
    <row r="339" spans="1:40" x14ac:dyDescent="0.3">
      <c r="A339" s="63" t="s">
        <v>1934</v>
      </c>
      <c r="B339" s="23" t="s">
        <v>767</v>
      </c>
      <c r="C339" s="23"/>
      <c r="D339" s="23" t="s">
        <v>2582</v>
      </c>
      <c r="E339" s="10" t="s">
        <v>1224</v>
      </c>
      <c r="F339" s="23" t="s">
        <v>2655</v>
      </c>
      <c r="G339" s="23" t="s">
        <v>7</v>
      </c>
      <c r="H339" s="23" t="s">
        <v>4</v>
      </c>
      <c r="I339" s="23" t="s">
        <v>2577</v>
      </c>
      <c r="J339" s="23" t="s">
        <v>63</v>
      </c>
      <c r="K339" s="23" t="s">
        <v>516</v>
      </c>
      <c r="L339" s="23">
        <v>2</v>
      </c>
      <c r="M339" s="23">
        <v>2</v>
      </c>
      <c r="O339" s="10">
        <v>5085</v>
      </c>
      <c r="Q339" s="10">
        <v>6710</v>
      </c>
      <c r="S339" s="23">
        <v>5682</v>
      </c>
      <c r="U339">
        <v>7701</v>
      </c>
      <c r="Y339" s="11">
        <f>S339/(O339)</f>
        <v>1.1174041297935102</v>
      </c>
      <c r="Z339" s="3">
        <f>U339/Q339</f>
        <v>1.1476900149031297</v>
      </c>
      <c r="AA339" s="14">
        <f>Y339+Z339</f>
        <v>2.2650941446966399</v>
      </c>
      <c r="AH339" s="10">
        <v>120</v>
      </c>
      <c r="AI339" t="s">
        <v>14</v>
      </c>
      <c r="AL339" s="23" t="s">
        <v>2</v>
      </c>
      <c r="AM339" s="23" t="s">
        <v>3</v>
      </c>
      <c r="AN339" s="10" t="s">
        <v>2581</v>
      </c>
    </row>
    <row r="340" spans="1:40" x14ac:dyDescent="0.3">
      <c r="A340" s="63" t="s">
        <v>1934</v>
      </c>
      <c r="B340" s="23" t="s">
        <v>767</v>
      </c>
      <c r="C340" s="23"/>
      <c r="D340" s="23" t="s">
        <v>2582</v>
      </c>
      <c r="E340" s="10" t="s">
        <v>1224</v>
      </c>
      <c r="F340" s="23" t="s">
        <v>2655</v>
      </c>
      <c r="G340" s="23" t="s">
        <v>7</v>
      </c>
      <c r="H340" s="23" t="s">
        <v>4</v>
      </c>
      <c r="I340" s="23" t="s">
        <v>2578</v>
      </c>
      <c r="J340" s="23" t="s">
        <v>63</v>
      </c>
      <c r="K340" s="23" t="s">
        <v>516</v>
      </c>
      <c r="L340" s="23">
        <v>2</v>
      </c>
      <c r="M340" s="23">
        <v>2</v>
      </c>
      <c r="O340" s="10">
        <v>1377</v>
      </c>
      <c r="Q340" s="10">
        <v>5278</v>
      </c>
      <c r="S340" s="23">
        <v>3855</v>
      </c>
      <c r="U340">
        <v>3947</v>
      </c>
      <c r="Y340" s="11">
        <f t="shared" ref="Y340:Y342" si="62">S340/(O340)</f>
        <v>2.7995642701525054</v>
      </c>
      <c r="Z340" s="3">
        <f t="shared" ref="Z340:Z342" si="63">U340/Q340</f>
        <v>0.74782114437286851</v>
      </c>
      <c r="AA340" s="14">
        <f t="shared" ref="AA340:AA342" si="64">Y340+Z340</f>
        <v>3.5473854145253738</v>
      </c>
      <c r="AH340" s="10">
        <v>120</v>
      </c>
      <c r="AI340" t="s">
        <v>14</v>
      </c>
      <c r="AL340" s="23" t="s">
        <v>2</v>
      </c>
      <c r="AM340" s="23" t="s">
        <v>3</v>
      </c>
      <c r="AN340" s="10" t="s">
        <v>2581</v>
      </c>
    </row>
    <row r="341" spans="1:40" x14ac:dyDescent="0.3">
      <c r="A341" s="63" t="s">
        <v>1934</v>
      </c>
      <c r="B341" s="23" t="s">
        <v>767</v>
      </c>
      <c r="C341" s="23"/>
      <c r="D341" s="23" t="s">
        <v>2582</v>
      </c>
      <c r="E341" s="10" t="s">
        <v>1224</v>
      </c>
      <c r="F341" s="23" t="s">
        <v>2655</v>
      </c>
      <c r="G341" s="23" t="s">
        <v>7</v>
      </c>
      <c r="H341" s="23" t="s">
        <v>4</v>
      </c>
      <c r="I341" s="23" t="s">
        <v>2579</v>
      </c>
      <c r="J341" s="23" t="s">
        <v>63</v>
      </c>
      <c r="K341" s="23" t="s">
        <v>516</v>
      </c>
      <c r="L341" s="23">
        <v>2</v>
      </c>
      <c r="M341" s="23">
        <v>2</v>
      </c>
      <c r="O341" s="10">
        <v>3167</v>
      </c>
      <c r="Q341" s="10">
        <v>6058</v>
      </c>
      <c r="S341" s="23">
        <v>4415</v>
      </c>
      <c r="U341">
        <v>5875</v>
      </c>
      <c r="Y341" s="11">
        <f t="shared" si="62"/>
        <v>1.3940637827597095</v>
      </c>
      <c r="Z341" s="3">
        <f t="shared" si="63"/>
        <v>0.96979201056454278</v>
      </c>
      <c r="AA341" s="14">
        <f t="shared" si="64"/>
        <v>2.3638557933242526</v>
      </c>
      <c r="AH341" s="10">
        <v>120</v>
      </c>
      <c r="AI341" t="s">
        <v>14</v>
      </c>
      <c r="AL341" s="23" t="s">
        <v>2</v>
      </c>
      <c r="AM341" s="23" t="s">
        <v>3</v>
      </c>
      <c r="AN341" s="10" t="s">
        <v>2581</v>
      </c>
    </row>
    <row r="342" spans="1:40" x14ac:dyDescent="0.3">
      <c r="A342" s="63" t="s">
        <v>1934</v>
      </c>
      <c r="B342" s="23" t="s">
        <v>767</v>
      </c>
      <c r="C342" s="23"/>
      <c r="D342" s="23" t="s">
        <v>2582</v>
      </c>
      <c r="E342" s="10" t="s">
        <v>1224</v>
      </c>
      <c r="F342" s="23" t="s">
        <v>2655</v>
      </c>
      <c r="G342" s="23" t="s">
        <v>7</v>
      </c>
      <c r="H342" s="23" t="s">
        <v>4</v>
      </c>
      <c r="I342" s="23" t="s">
        <v>2580</v>
      </c>
      <c r="J342" s="23" t="s">
        <v>63</v>
      </c>
      <c r="K342" s="23" t="s">
        <v>516</v>
      </c>
      <c r="L342" s="23">
        <v>2</v>
      </c>
      <c r="M342" s="23">
        <v>2</v>
      </c>
      <c r="O342" s="10">
        <v>3259</v>
      </c>
      <c r="Q342" s="10">
        <v>5122</v>
      </c>
      <c r="S342" s="23">
        <v>3816</v>
      </c>
      <c r="U342">
        <v>5131</v>
      </c>
      <c r="Y342" s="11">
        <f t="shared" si="62"/>
        <v>1.1709113224915619</v>
      </c>
      <c r="Z342" s="3">
        <f t="shared" si="63"/>
        <v>1.0017571261226084</v>
      </c>
      <c r="AA342" s="14">
        <f t="shared" si="64"/>
        <v>2.1726684486141705</v>
      </c>
      <c r="AH342" s="10">
        <v>120</v>
      </c>
      <c r="AI342" t="s">
        <v>14</v>
      </c>
      <c r="AL342" s="23" t="s">
        <v>2</v>
      </c>
      <c r="AM342" s="23" t="s">
        <v>3</v>
      </c>
      <c r="AN342" s="10" t="s">
        <v>2581</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BF43E-3241-460E-9835-911CD8111DB8}">
  <dimension ref="A1:AX1556"/>
  <sheetViews>
    <sheetView zoomScale="90" zoomScaleNormal="90" workbookViewId="0">
      <pane ySplit="1" topLeftCell="A2" activePane="bottomLeft" state="frozen"/>
      <selection pane="bottomLeft" activeCell="B11" sqref="B11"/>
    </sheetView>
  </sheetViews>
  <sheetFormatPr defaultRowHeight="14.4" x14ac:dyDescent="0.3"/>
  <cols>
    <col min="1" max="1" width="21.5546875" bestFit="1" customWidth="1"/>
    <col min="3" max="3" width="9.109375" customWidth="1"/>
    <col min="4" max="4" width="13.109375" customWidth="1"/>
    <col min="7" max="7" width="13.109375" bestFit="1" customWidth="1"/>
    <col min="9" max="9" width="10.88671875" customWidth="1"/>
    <col min="10" max="10" width="30.33203125" bestFit="1" customWidth="1"/>
    <col min="11" max="12" width="9.109375" style="6"/>
    <col min="13" max="13" width="9.109375" style="53"/>
    <col min="15" max="15" width="7.88671875" bestFit="1" customWidth="1"/>
    <col min="17" max="17" width="7.88671875" bestFit="1" customWidth="1"/>
    <col min="19" max="19" width="7.88671875" bestFit="1" customWidth="1"/>
    <col min="20" max="21" width="7.88671875" customWidth="1"/>
    <col min="35" max="35" width="8.5546875" customWidth="1"/>
    <col min="36" max="36" width="10.44140625" bestFit="1" customWidth="1"/>
    <col min="37" max="37" width="10.88671875" bestFit="1" customWidth="1"/>
    <col min="38" max="42" width="10.88671875" customWidth="1"/>
    <col min="49" max="49" width="167.5546875" customWidth="1"/>
    <col min="50" max="50" width="10.44140625" customWidth="1"/>
    <col min="51" max="51" width="9.33203125" customWidth="1"/>
  </cols>
  <sheetData>
    <row r="1" spans="1:49" x14ac:dyDescent="0.3">
      <c r="A1" s="77" t="s">
        <v>9</v>
      </c>
      <c r="B1" s="77" t="s">
        <v>26</v>
      </c>
      <c r="C1" s="77" t="s">
        <v>25</v>
      </c>
      <c r="D1" s="77" t="s">
        <v>27</v>
      </c>
      <c r="E1" s="77" t="s">
        <v>832</v>
      </c>
      <c r="F1" s="77" t="s">
        <v>2659</v>
      </c>
      <c r="G1" s="77" t="s">
        <v>15</v>
      </c>
      <c r="H1" s="77" t="s">
        <v>16</v>
      </c>
      <c r="I1" s="77" t="s">
        <v>2629</v>
      </c>
      <c r="J1" s="77" t="s">
        <v>10</v>
      </c>
      <c r="K1" s="77" t="s">
        <v>1671</v>
      </c>
      <c r="L1" s="77" t="s">
        <v>1672</v>
      </c>
      <c r="M1" s="77" t="s">
        <v>2395</v>
      </c>
      <c r="N1" s="77" t="s">
        <v>2672</v>
      </c>
      <c r="O1" s="77" t="s">
        <v>737</v>
      </c>
      <c r="P1" s="77" t="s">
        <v>2673</v>
      </c>
      <c r="Q1" s="77" t="s">
        <v>738</v>
      </c>
      <c r="R1" s="77" t="s">
        <v>2674</v>
      </c>
      <c r="S1" s="77" t="s">
        <v>739</v>
      </c>
      <c r="T1" s="77" t="s">
        <v>894</v>
      </c>
      <c r="U1" s="77" t="s">
        <v>893</v>
      </c>
      <c r="V1" s="77" t="s">
        <v>2756</v>
      </c>
      <c r="W1" s="77" t="s">
        <v>2689</v>
      </c>
      <c r="X1" s="77" t="s">
        <v>2700</v>
      </c>
      <c r="Y1" s="77" t="s">
        <v>2691</v>
      </c>
      <c r="Z1" s="77" t="s">
        <v>2704</v>
      </c>
      <c r="AA1" s="77" t="s">
        <v>2692</v>
      </c>
      <c r="AB1" s="77" t="s">
        <v>2705</v>
      </c>
      <c r="AC1" s="77" t="s">
        <v>2693</v>
      </c>
      <c r="AD1" s="77" t="s">
        <v>19</v>
      </c>
      <c r="AE1" s="77" t="s">
        <v>20</v>
      </c>
      <c r="AF1" s="77" t="s">
        <v>222</v>
      </c>
      <c r="AG1" s="77" t="s">
        <v>1187</v>
      </c>
      <c r="AH1" s="77" t="s">
        <v>1188</v>
      </c>
      <c r="AI1" s="77" t="s">
        <v>21</v>
      </c>
      <c r="AJ1" s="77" t="s">
        <v>727</v>
      </c>
      <c r="AK1" s="77" t="s">
        <v>728</v>
      </c>
      <c r="AL1" s="77" t="s">
        <v>1999</v>
      </c>
      <c r="AM1" s="77" t="s">
        <v>2000</v>
      </c>
      <c r="AN1" s="77" t="s">
        <v>2001</v>
      </c>
      <c r="AO1" s="77" t="s">
        <v>2002</v>
      </c>
      <c r="AP1" s="77" t="s">
        <v>2004</v>
      </c>
      <c r="AQ1" s="77" t="s">
        <v>2033</v>
      </c>
      <c r="AR1" s="77" t="s">
        <v>2032</v>
      </c>
      <c r="AS1" s="77" t="s">
        <v>2034</v>
      </c>
      <c r="AT1" s="77" t="s">
        <v>12</v>
      </c>
      <c r="AU1" s="77" t="s">
        <v>1991</v>
      </c>
      <c r="AV1" s="77" t="s">
        <v>2414</v>
      </c>
      <c r="AW1" s="77" t="s">
        <v>2392</v>
      </c>
    </row>
    <row r="2" spans="1:49" x14ac:dyDescent="0.3">
      <c r="A2" t="s">
        <v>107</v>
      </c>
      <c r="B2" t="s">
        <v>29</v>
      </c>
      <c r="C2" t="s">
        <v>28</v>
      </c>
      <c r="D2" t="s">
        <v>23</v>
      </c>
      <c r="F2" t="s">
        <v>2661</v>
      </c>
      <c r="G2" t="s">
        <v>34</v>
      </c>
      <c r="H2" t="s">
        <v>17</v>
      </c>
      <c r="J2" t="s">
        <v>18</v>
      </c>
      <c r="K2">
        <v>4</v>
      </c>
      <c r="L2">
        <v>4</v>
      </c>
      <c r="AD2">
        <v>0.64</v>
      </c>
      <c r="AE2">
        <v>0.48</v>
      </c>
      <c r="AI2">
        <v>1.05</v>
      </c>
      <c r="AR2" t="s">
        <v>14</v>
      </c>
      <c r="AT2" t="s">
        <v>3</v>
      </c>
      <c r="AU2" t="s">
        <v>2</v>
      </c>
      <c r="AV2" t="s">
        <v>3</v>
      </c>
    </row>
    <row r="3" spans="1:49" x14ac:dyDescent="0.3">
      <c r="A3" t="s">
        <v>107</v>
      </c>
      <c r="B3" t="s">
        <v>29</v>
      </c>
      <c r="C3" t="s">
        <v>28</v>
      </c>
      <c r="D3" t="s">
        <v>24</v>
      </c>
      <c r="F3" t="s">
        <v>2661</v>
      </c>
      <c r="G3" t="s">
        <v>34</v>
      </c>
      <c r="H3" t="s">
        <v>17</v>
      </c>
      <c r="J3" t="s">
        <v>18</v>
      </c>
      <c r="K3">
        <v>4</v>
      </c>
      <c r="L3">
        <v>4</v>
      </c>
      <c r="AD3">
        <v>0.63</v>
      </c>
      <c r="AE3">
        <v>0.45</v>
      </c>
      <c r="AI3">
        <v>1.05</v>
      </c>
      <c r="AR3" t="s">
        <v>14</v>
      </c>
      <c r="AT3" t="s">
        <v>2</v>
      </c>
      <c r="AU3" t="s">
        <v>2</v>
      </c>
      <c r="AV3" t="s">
        <v>3</v>
      </c>
    </row>
    <row r="4" spans="1:49" x14ac:dyDescent="0.3">
      <c r="A4" t="s">
        <v>107</v>
      </c>
      <c r="B4" t="s">
        <v>29</v>
      </c>
      <c r="C4" t="s">
        <v>28</v>
      </c>
      <c r="D4" t="s">
        <v>23</v>
      </c>
      <c r="F4" t="s">
        <v>2661</v>
      </c>
      <c r="G4" t="s">
        <v>22</v>
      </c>
      <c r="H4" t="s">
        <v>17</v>
      </c>
      <c r="J4" t="s">
        <v>18</v>
      </c>
      <c r="K4">
        <v>4</v>
      </c>
      <c r="L4">
        <v>4</v>
      </c>
      <c r="AD4">
        <v>0.82</v>
      </c>
      <c r="AE4">
        <v>0.42</v>
      </c>
      <c r="AI4">
        <v>1.24</v>
      </c>
      <c r="AR4" t="s">
        <v>14</v>
      </c>
      <c r="AT4" t="s">
        <v>3</v>
      </c>
      <c r="AU4" t="s">
        <v>2</v>
      </c>
      <c r="AV4" t="s">
        <v>3</v>
      </c>
    </row>
    <row r="5" spans="1:49" x14ac:dyDescent="0.3">
      <c r="A5" t="s">
        <v>107</v>
      </c>
      <c r="B5" t="s">
        <v>29</v>
      </c>
      <c r="C5" t="s">
        <v>28</v>
      </c>
      <c r="D5" t="s">
        <v>24</v>
      </c>
      <c r="F5" t="s">
        <v>2661</v>
      </c>
      <c r="G5" t="s">
        <v>22</v>
      </c>
      <c r="H5" t="s">
        <v>17</v>
      </c>
      <c r="J5" t="s">
        <v>18</v>
      </c>
      <c r="K5">
        <v>4</v>
      </c>
      <c r="L5">
        <v>4</v>
      </c>
      <c r="AD5">
        <v>0.79</v>
      </c>
      <c r="AE5">
        <v>0.28999999999999998</v>
      </c>
      <c r="AI5">
        <v>1.0900000000000001</v>
      </c>
      <c r="AR5" t="s">
        <v>14</v>
      </c>
      <c r="AT5" t="s">
        <v>2</v>
      </c>
      <c r="AU5" t="s">
        <v>2</v>
      </c>
      <c r="AV5" t="s">
        <v>3</v>
      </c>
    </row>
    <row r="6" spans="1:49" x14ac:dyDescent="0.3">
      <c r="A6" t="s">
        <v>33</v>
      </c>
      <c r="B6" t="s">
        <v>32</v>
      </c>
      <c r="C6" t="s">
        <v>31</v>
      </c>
      <c r="D6" t="s">
        <v>30</v>
      </c>
      <c r="F6" t="s">
        <v>2661</v>
      </c>
      <c r="G6" t="s">
        <v>34</v>
      </c>
      <c r="H6" t="s">
        <v>17</v>
      </c>
      <c r="I6" t="s">
        <v>1547</v>
      </c>
      <c r="J6" t="s">
        <v>35</v>
      </c>
      <c r="K6">
        <v>4</v>
      </c>
      <c r="L6">
        <v>4</v>
      </c>
      <c r="AD6">
        <v>0.46</v>
      </c>
      <c r="AE6">
        <v>0.47</v>
      </c>
      <c r="AI6">
        <v>0.93</v>
      </c>
      <c r="AQ6">
        <v>31.5</v>
      </c>
      <c r="AR6" t="s">
        <v>14</v>
      </c>
      <c r="AU6" t="s">
        <v>2</v>
      </c>
      <c r="AV6" t="s">
        <v>3</v>
      </c>
    </row>
    <row r="7" spans="1:49" x14ac:dyDescent="0.3">
      <c r="A7" t="s">
        <v>33</v>
      </c>
      <c r="B7" t="s">
        <v>32</v>
      </c>
      <c r="C7" t="s">
        <v>31</v>
      </c>
      <c r="D7" t="s">
        <v>30</v>
      </c>
      <c r="F7" t="s">
        <v>2661</v>
      </c>
      <c r="G7" t="s">
        <v>34</v>
      </c>
      <c r="H7" t="s">
        <v>17</v>
      </c>
      <c r="I7" t="s">
        <v>1547</v>
      </c>
      <c r="J7" t="s">
        <v>36</v>
      </c>
      <c r="K7">
        <v>4</v>
      </c>
      <c r="L7">
        <v>4</v>
      </c>
      <c r="AD7">
        <v>0.28000000000000003</v>
      </c>
      <c r="AE7">
        <v>0.57999999999999996</v>
      </c>
      <c r="AI7">
        <v>0.86</v>
      </c>
      <c r="AQ7">
        <v>31.5</v>
      </c>
      <c r="AR7" t="s">
        <v>14</v>
      </c>
      <c r="AU7" t="s">
        <v>2</v>
      </c>
      <c r="AV7" t="s">
        <v>3</v>
      </c>
    </row>
    <row r="8" spans="1:49" x14ac:dyDescent="0.3">
      <c r="A8" t="s">
        <v>33</v>
      </c>
      <c r="B8" t="s">
        <v>32</v>
      </c>
      <c r="C8" t="s">
        <v>31</v>
      </c>
      <c r="D8" t="s">
        <v>30</v>
      </c>
      <c r="F8" t="s">
        <v>2661</v>
      </c>
      <c r="G8" t="s">
        <v>34</v>
      </c>
      <c r="H8" t="s">
        <v>17</v>
      </c>
      <c r="I8" t="s">
        <v>1547</v>
      </c>
      <c r="J8" t="s">
        <v>37</v>
      </c>
      <c r="K8">
        <v>4</v>
      </c>
      <c r="L8">
        <v>4</v>
      </c>
      <c r="AD8">
        <v>0.16</v>
      </c>
      <c r="AE8">
        <v>0.69</v>
      </c>
      <c r="AI8">
        <v>0.85</v>
      </c>
      <c r="AQ8">
        <v>31.5</v>
      </c>
      <c r="AR8" t="s">
        <v>14</v>
      </c>
      <c r="AU8" t="s">
        <v>2</v>
      </c>
      <c r="AV8" t="s">
        <v>3</v>
      </c>
    </row>
    <row r="9" spans="1:49" x14ac:dyDescent="0.3">
      <c r="A9" t="s">
        <v>33</v>
      </c>
      <c r="B9" t="s">
        <v>32</v>
      </c>
      <c r="C9" t="s">
        <v>31</v>
      </c>
      <c r="D9" t="s">
        <v>30</v>
      </c>
      <c r="F9" t="s">
        <v>2661</v>
      </c>
      <c r="G9" t="s">
        <v>34</v>
      </c>
      <c r="H9" t="s">
        <v>17</v>
      </c>
      <c r="I9" t="s">
        <v>1548</v>
      </c>
      <c r="J9" t="s">
        <v>35</v>
      </c>
      <c r="K9">
        <v>4</v>
      </c>
      <c r="L9">
        <v>4</v>
      </c>
      <c r="AD9">
        <v>0.47</v>
      </c>
      <c r="AE9">
        <v>0.42</v>
      </c>
      <c r="AI9">
        <v>0.89</v>
      </c>
      <c r="AQ9">
        <v>31.5</v>
      </c>
      <c r="AR9" t="s">
        <v>14</v>
      </c>
      <c r="AU9" t="s">
        <v>2</v>
      </c>
      <c r="AV9" t="s">
        <v>3</v>
      </c>
    </row>
    <row r="10" spans="1:49" x14ac:dyDescent="0.3">
      <c r="A10" t="s">
        <v>33</v>
      </c>
      <c r="B10" t="s">
        <v>32</v>
      </c>
      <c r="C10" t="s">
        <v>31</v>
      </c>
      <c r="D10" t="s">
        <v>30</v>
      </c>
      <c r="F10" t="s">
        <v>2661</v>
      </c>
      <c r="G10" t="s">
        <v>34</v>
      </c>
      <c r="H10" t="s">
        <v>17</v>
      </c>
      <c r="I10" t="s">
        <v>1548</v>
      </c>
      <c r="J10" t="s">
        <v>36</v>
      </c>
      <c r="K10">
        <v>4</v>
      </c>
      <c r="L10">
        <v>4</v>
      </c>
      <c r="AD10">
        <v>0.26</v>
      </c>
      <c r="AE10">
        <v>0.56999999999999995</v>
      </c>
      <c r="AI10">
        <v>0.83</v>
      </c>
      <c r="AQ10">
        <v>31.5</v>
      </c>
      <c r="AR10" t="s">
        <v>14</v>
      </c>
      <c r="AU10" t="s">
        <v>2</v>
      </c>
      <c r="AV10" t="s">
        <v>3</v>
      </c>
    </row>
    <row r="11" spans="1:49" x14ac:dyDescent="0.3">
      <c r="A11" t="s">
        <v>33</v>
      </c>
      <c r="B11" t="s">
        <v>32</v>
      </c>
      <c r="C11" t="s">
        <v>31</v>
      </c>
      <c r="D11" t="s">
        <v>30</v>
      </c>
      <c r="F11" t="s">
        <v>2661</v>
      </c>
      <c r="G11" t="s">
        <v>34</v>
      </c>
      <c r="H11" t="s">
        <v>17</v>
      </c>
      <c r="I11" t="s">
        <v>1548</v>
      </c>
      <c r="J11" t="s">
        <v>37</v>
      </c>
      <c r="K11">
        <v>4</v>
      </c>
      <c r="L11">
        <v>4</v>
      </c>
      <c r="AD11">
        <v>0.18</v>
      </c>
      <c r="AE11">
        <v>0.68</v>
      </c>
      <c r="AI11">
        <v>0.86</v>
      </c>
      <c r="AQ11">
        <v>31.5</v>
      </c>
      <c r="AR11" t="s">
        <v>14</v>
      </c>
      <c r="AU11" t="s">
        <v>2</v>
      </c>
      <c r="AV11" t="s">
        <v>3</v>
      </c>
    </row>
    <row r="12" spans="1:49" x14ac:dyDescent="0.3">
      <c r="A12" t="s">
        <v>39</v>
      </c>
      <c r="B12" t="s">
        <v>32</v>
      </c>
      <c r="C12" t="s">
        <v>31</v>
      </c>
      <c r="D12" t="s">
        <v>38</v>
      </c>
      <c r="F12" t="s">
        <v>2661</v>
      </c>
      <c r="G12" t="s">
        <v>40</v>
      </c>
      <c r="H12" t="s">
        <v>17</v>
      </c>
      <c r="J12" t="s">
        <v>35</v>
      </c>
      <c r="K12">
        <v>4</v>
      </c>
      <c r="L12">
        <v>4</v>
      </c>
      <c r="N12">
        <v>7.91</v>
      </c>
      <c r="P12">
        <v>9.6999999999999993</v>
      </c>
      <c r="V12">
        <v>7.86</v>
      </c>
      <c r="W12" s="3">
        <f>(25/100)*V12</f>
        <v>1.9650000000000001</v>
      </c>
      <c r="Y12">
        <f>(75/100)*V12</f>
        <v>5.8950000000000005</v>
      </c>
      <c r="AD12" s="3">
        <f>W12/N12</f>
        <v>0.2484197218710493</v>
      </c>
      <c r="AE12" s="3">
        <f>Y12/P12</f>
        <v>0.60773195876288666</v>
      </c>
      <c r="AI12" s="3">
        <f t="shared" ref="AI12:AI25" si="0">AD12+AE12</f>
        <v>0.85615168063393599</v>
      </c>
      <c r="AJ12" s="3"/>
      <c r="AK12" s="3"/>
      <c r="AQ12">
        <v>80</v>
      </c>
      <c r="AR12" t="s">
        <v>14</v>
      </c>
      <c r="AT12" t="s">
        <v>2</v>
      </c>
      <c r="AU12" t="s">
        <v>2</v>
      </c>
      <c r="AV12" t="s">
        <v>3</v>
      </c>
    </row>
    <row r="13" spans="1:49" x14ac:dyDescent="0.3">
      <c r="A13" t="s">
        <v>39</v>
      </c>
      <c r="B13" t="s">
        <v>32</v>
      </c>
      <c r="C13" t="s">
        <v>31</v>
      </c>
      <c r="D13" t="s">
        <v>38</v>
      </c>
      <c r="F13" t="s">
        <v>2661</v>
      </c>
      <c r="G13" t="s">
        <v>40</v>
      </c>
      <c r="H13" t="s">
        <v>17</v>
      </c>
      <c r="J13" t="s">
        <v>36</v>
      </c>
      <c r="K13">
        <v>4</v>
      </c>
      <c r="L13">
        <v>4</v>
      </c>
      <c r="N13">
        <v>7.91</v>
      </c>
      <c r="P13">
        <v>9.6999999999999993</v>
      </c>
      <c r="V13">
        <v>8.59</v>
      </c>
      <c r="W13" s="3">
        <f>(14/100)*V13</f>
        <v>1.2026000000000001</v>
      </c>
      <c r="Y13">
        <f>(86/100)*V13</f>
        <v>7.3873999999999995</v>
      </c>
      <c r="AD13" s="3">
        <f t="shared" ref="AD13:AD17" si="1">W13/N13</f>
        <v>0.15203539823008852</v>
      </c>
      <c r="AE13" s="3">
        <f t="shared" ref="AE13:AE17" si="2">Y13/P13</f>
        <v>0.76158762886597942</v>
      </c>
      <c r="AI13" s="3">
        <f t="shared" si="0"/>
        <v>0.91362302709606791</v>
      </c>
      <c r="AJ13" s="3"/>
      <c r="AK13" s="3"/>
      <c r="AQ13">
        <v>80</v>
      </c>
      <c r="AR13" t="s">
        <v>14</v>
      </c>
      <c r="AT13" t="s">
        <v>2</v>
      </c>
      <c r="AU13" t="s">
        <v>2</v>
      </c>
      <c r="AV13" t="s">
        <v>3</v>
      </c>
    </row>
    <row r="14" spans="1:49" x14ac:dyDescent="0.3">
      <c r="A14" t="s">
        <v>39</v>
      </c>
      <c r="B14" t="s">
        <v>32</v>
      </c>
      <c r="C14" t="s">
        <v>31</v>
      </c>
      <c r="D14" t="s">
        <v>38</v>
      </c>
      <c r="F14" t="s">
        <v>2661</v>
      </c>
      <c r="G14" t="s">
        <v>40</v>
      </c>
      <c r="H14" t="s">
        <v>17</v>
      </c>
      <c r="J14" t="s">
        <v>37</v>
      </c>
      <c r="K14">
        <v>4</v>
      </c>
      <c r="L14">
        <v>4</v>
      </c>
      <c r="N14">
        <v>7.91</v>
      </c>
      <c r="P14">
        <v>9.6999999999999993</v>
      </c>
      <c r="V14">
        <v>8.76</v>
      </c>
      <c r="W14" s="3">
        <f>(6/100)*V14</f>
        <v>0.52559999999999996</v>
      </c>
      <c r="Y14">
        <f>(94/100)*V14</f>
        <v>8.2343999999999991</v>
      </c>
      <c r="AD14" s="3">
        <f t="shared" si="1"/>
        <v>6.6447534766118824E-2</v>
      </c>
      <c r="AE14" s="3">
        <f t="shared" si="2"/>
        <v>0.84890721649484535</v>
      </c>
      <c r="AI14" s="3">
        <f t="shared" si="0"/>
        <v>0.91535475126096422</v>
      </c>
      <c r="AJ14" s="3"/>
      <c r="AK14" s="3"/>
      <c r="AQ14">
        <v>80</v>
      </c>
      <c r="AR14" t="s">
        <v>14</v>
      </c>
      <c r="AT14" t="s">
        <v>2</v>
      </c>
      <c r="AU14" t="s">
        <v>2</v>
      </c>
      <c r="AV14" t="s">
        <v>3</v>
      </c>
    </row>
    <row r="15" spans="1:49" x14ac:dyDescent="0.3">
      <c r="A15" t="s">
        <v>39</v>
      </c>
      <c r="B15" t="s">
        <v>32</v>
      </c>
      <c r="C15" t="s">
        <v>31</v>
      </c>
      <c r="D15" t="s">
        <v>38</v>
      </c>
      <c r="F15" t="s">
        <v>2661</v>
      </c>
      <c r="G15" t="s">
        <v>40</v>
      </c>
      <c r="H15" t="s">
        <v>17</v>
      </c>
      <c r="J15" t="s">
        <v>41</v>
      </c>
      <c r="K15">
        <v>4</v>
      </c>
      <c r="L15">
        <v>4</v>
      </c>
      <c r="N15">
        <v>7.91</v>
      </c>
      <c r="P15">
        <v>12.42</v>
      </c>
      <c r="V15">
        <v>10.89</v>
      </c>
      <c r="W15" s="3">
        <f>(18/100)*V15</f>
        <v>1.9601999999999999</v>
      </c>
      <c r="Y15">
        <f>(82/100)*V15</f>
        <v>8.9298000000000002</v>
      </c>
      <c r="AD15" s="3">
        <f t="shared" si="1"/>
        <v>0.24781289506953222</v>
      </c>
      <c r="AE15" s="3">
        <f t="shared" si="2"/>
        <v>0.71898550724637678</v>
      </c>
      <c r="AI15" s="3">
        <f t="shared" si="0"/>
        <v>0.96679840231590897</v>
      </c>
      <c r="AJ15" s="3"/>
      <c r="AK15" s="3"/>
      <c r="AQ15">
        <v>80</v>
      </c>
      <c r="AR15" t="s">
        <v>14</v>
      </c>
      <c r="AT15" t="s">
        <v>2</v>
      </c>
      <c r="AU15" t="s">
        <v>2</v>
      </c>
      <c r="AV15" t="s">
        <v>3</v>
      </c>
    </row>
    <row r="16" spans="1:49" x14ac:dyDescent="0.3">
      <c r="A16" t="s">
        <v>39</v>
      </c>
      <c r="B16" t="s">
        <v>32</v>
      </c>
      <c r="C16" t="s">
        <v>31</v>
      </c>
      <c r="D16" t="s">
        <v>38</v>
      </c>
      <c r="F16" t="s">
        <v>2661</v>
      </c>
      <c r="G16" t="s">
        <v>40</v>
      </c>
      <c r="H16" t="s">
        <v>17</v>
      </c>
      <c r="J16" t="s">
        <v>42</v>
      </c>
      <c r="K16">
        <v>4</v>
      </c>
      <c r="L16">
        <v>4</v>
      </c>
      <c r="N16">
        <v>7.91</v>
      </c>
      <c r="P16">
        <v>12.42</v>
      </c>
      <c r="V16">
        <v>10.1</v>
      </c>
      <c r="W16" s="3">
        <f>(10/100)*V16</f>
        <v>1.01</v>
      </c>
      <c r="Y16">
        <f>(90/100)*V16</f>
        <v>9.09</v>
      </c>
      <c r="AD16" s="3">
        <f t="shared" si="1"/>
        <v>0.12768647281921619</v>
      </c>
      <c r="AE16" s="3">
        <f t="shared" si="2"/>
        <v>0.73188405797101452</v>
      </c>
      <c r="AI16" s="3">
        <f t="shared" si="0"/>
        <v>0.85957053079023071</v>
      </c>
      <c r="AJ16" s="3"/>
      <c r="AK16" s="3"/>
      <c r="AQ16">
        <v>80</v>
      </c>
      <c r="AR16" t="s">
        <v>14</v>
      </c>
      <c r="AT16" t="s">
        <v>2</v>
      </c>
      <c r="AU16" t="s">
        <v>2</v>
      </c>
      <c r="AV16" t="s">
        <v>3</v>
      </c>
    </row>
    <row r="17" spans="1:48" x14ac:dyDescent="0.3">
      <c r="A17" t="s">
        <v>39</v>
      </c>
      <c r="B17" t="s">
        <v>32</v>
      </c>
      <c r="C17" t="s">
        <v>31</v>
      </c>
      <c r="D17" t="s">
        <v>38</v>
      </c>
      <c r="F17" t="s">
        <v>2661</v>
      </c>
      <c r="G17" t="s">
        <v>40</v>
      </c>
      <c r="H17" t="s">
        <v>17</v>
      </c>
      <c r="J17" t="s">
        <v>43</v>
      </c>
      <c r="K17">
        <v>4</v>
      </c>
      <c r="L17">
        <v>4</v>
      </c>
      <c r="N17">
        <v>7.91</v>
      </c>
      <c r="P17">
        <v>12.42</v>
      </c>
      <c r="V17">
        <v>10.43</v>
      </c>
      <c r="W17" s="3">
        <f>(4/100)*V17</f>
        <v>0.41720000000000002</v>
      </c>
      <c r="Y17">
        <f>(96/100)*V17</f>
        <v>10.012799999999999</v>
      </c>
      <c r="AD17" s="3">
        <f t="shared" si="1"/>
        <v>5.2743362831858411E-2</v>
      </c>
      <c r="AE17" s="3">
        <f t="shared" si="2"/>
        <v>0.80618357487922698</v>
      </c>
      <c r="AI17" s="3">
        <f t="shared" si="0"/>
        <v>0.85892693771108541</v>
      </c>
      <c r="AJ17" s="3"/>
      <c r="AK17" s="3"/>
      <c r="AQ17">
        <v>80</v>
      </c>
      <c r="AR17" t="s">
        <v>14</v>
      </c>
      <c r="AT17" t="s">
        <v>2</v>
      </c>
      <c r="AU17" t="s">
        <v>2</v>
      </c>
      <c r="AV17" t="s">
        <v>3</v>
      </c>
    </row>
    <row r="18" spans="1:48" x14ac:dyDescent="0.3">
      <c r="A18" t="s">
        <v>80</v>
      </c>
      <c r="B18" t="s">
        <v>81</v>
      </c>
      <c r="C18" t="s">
        <v>82</v>
      </c>
      <c r="F18" t="s">
        <v>2661</v>
      </c>
      <c r="G18" t="s">
        <v>40</v>
      </c>
      <c r="H18" t="s">
        <v>17</v>
      </c>
      <c r="J18" t="s">
        <v>79</v>
      </c>
      <c r="K18">
        <v>3</v>
      </c>
      <c r="L18">
        <v>3</v>
      </c>
      <c r="N18">
        <v>5.5</v>
      </c>
      <c r="P18">
        <v>12.2</v>
      </c>
      <c r="V18">
        <f>3.9+6.1</f>
        <v>10</v>
      </c>
      <c r="W18">
        <v>3.9</v>
      </c>
      <c r="Y18">
        <v>6.1</v>
      </c>
      <c r="AD18" s="3">
        <f>3.9/N18</f>
        <v>0.70909090909090911</v>
      </c>
      <c r="AE18" s="3">
        <f>6.1/P18</f>
        <v>0.5</v>
      </c>
      <c r="AI18" s="3">
        <f t="shared" si="0"/>
        <v>1.209090909090909</v>
      </c>
      <c r="AJ18" s="3"/>
      <c r="AK18" s="3"/>
      <c r="AQ18">
        <v>300</v>
      </c>
      <c r="AR18" t="s">
        <v>14</v>
      </c>
      <c r="AT18" t="s">
        <v>3</v>
      </c>
      <c r="AU18" t="s">
        <v>2</v>
      </c>
      <c r="AV18" t="s">
        <v>3</v>
      </c>
    </row>
    <row r="19" spans="1:48" x14ac:dyDescent="0.3">
      <c r="A19" t="s">
        <v>80</v>
      </c>
      <c r="B19" t="s">
        <v>81</v>
      </c>
      <c r="C19" t="s">
        <v>82</v>
      </c>
      <c r="F19" t="s">
        <v>2661</v>
      </c>
      <c r="G19" t="s">
        <v>40</v>
      </c>
      <c r="H19" t="s">
        <v>17</v>
      </c>
      <c r="J19" t="s">
        <v>79</v>
      </c>
      <c r="K19">
        <v>3</v>
      </c>
      <c r="L19">
        <v>3</v>
      </c>
      <c r="N19">
        <v>5.2</v>
      </c>
      <c r="P19">
        <v>8.6</v>
      </c>
      <c r="V19">
        <f>3.5+7.7</f>
        <v>11.2</v>
      </c>
      <c r="W19">
        <v>3.5</v>
      </c>
      <c r="Y19">
        <v>7.7</v>
      </c>
      <c r="AD19" s="3">
        <f>3.5/N19</f>
        <v>0.67307692307692302</v>
      </c>
      <c r="AE19" s="3">
        <f>7.7/P19</f>
        <v>0.89534883720930236</v>
      </c>
      <c r="AI19" s="3">
        <f t="shared" si="0"/>
        <v>1.5684257602862255</v>
      </c>
      <c r="AJ19" s="3"/>
      <c r="AK19" s="3"/>
      <c r="AQ19">
        <v>300</v>
      </c>
      <c r="AR19" t="s">
        <v>14</v>
      </c>
      <c r="AT19" t="s">
        <v>3</v>
      </c>
      <c r="AU19" t="s">
        <v>2</v>
      </c>
      <c r="AV19" t="s">
        <v>3</v>
      </c>
    </row>
    <row r="20" spans="1:48" x14ac:dyDescent="0.3">
      <c r="A20" t="s">
        <v>80</v>
      </c>
      <c r="B20" t="s">
        <v>81</v>
      </c>
      <c r="C20" t="s">
        <v>82</v>
      </c>
      <c r="F20" t="s">
        <v>2661</v>
      </c>
      <c r="G20" t="s">
        <v>40</v>
      </c>
      <c r="H20" t="s">
        <v>17</v>
      </c>
      <c r="J20" t="s">
        <v>79</v>
      </c>
      <c r="K20">
        <v>3</v>
      </c>
      <c r="L20">
        <v>3</v>
      </c>
      <c r="N20">
        <v>4.7</v>
      </c>
      <c r="P20">
        <v>10.8</v>
      </c>
      <c r="V20">
        <f>4+6.7</f>
        <v>10.7</v>
      </c>
      <c r="W20">
        <v>4</v>
      </c>
      <c r="Y20">
        <v>6.7</v>
      </c>
      <c r="AD20" s="3">
        <f>4/N20</f>
        <v>0.85106382978723405</v>
      </c>
      <c r="AE20" s="3">
        <f>6.7/P20</f>
        <v>0.62037037037037035</v>
      </c>
      <c r="AI20" s="3">
        <f t="shared" si="0"/>
        <v>1.4714342001576044</v>
      </c>
      <c r="AJ20" s="3"/>
      <c r="AK20" s="3"/>
      <c r="AQ20">
        <v>300</v>
      </c>
      <c r="AR20" t="s">
        <v>14</v>
      </c>
      <c r="AT20" t="s">
        <v>3</v>
      </c>
      <c r="AU20" t="s">
        <v>2</v>
      </c>
      <c r="AV20" t="s">
        <v>3</v>
      </c>
    </row>
    <row r="21" spans="1:48" x14ac:dyDescent="0.3">
      <c r="A21" t="s">
        <v>80</v>
      </c>
      <c r="B21" t="s">
        <v>81</v>
      </c>
      <c r="C21" t="s">
        <v>82</v>
      </c>
      <c r="F21" t="s">
        <v>2661</v>
      </c>
      <c r="G21" t="s">
        <v>40</v>
      </c>
      <c r="H21" t="s">
        <v>17</v>
      </c>
      <c r="J21" t="s">
        <v>79</v>
      </c>
      <c r="K21">
        <v>3</v>
      </c>
      <c r="L21">
        <v>3</v>
      </c>
      <c r="N21">
        <v>5.9</v>
      </c>
      <c r="P21">
        <v>12.9</v>
      </c>
      <c r="V21">
        <f>4.4+8.9</f>
        <v>13.3</v>
      </c>
      <c r="W21">
        <v>4.4000000000000004</v>
      </c>
      <c r="Y21">
        <v>8.9</v>
      </c>
      <c r="AD21" s="3">
        <f>4.4/N21</f>
        <v>0.74576271186440679</v>
      </c>
      <c r="AE21" s="3">
        <f>8.9/P21</f>
        <v>0.68992248062015504</v>
      </c>
      <c r="AI21" s="3">
        <f t="shared" si="0"/>
        <v>1.4356851924845619</v>
      </c>
      <c r="AJ21" s="3"/>
      <c r="AK21" s="3"/>
      <c r="AQ21">
        <v>300</v>
      </c>
      <c r="AR21" t="s">
        <v>14</v>
      </c>
      <c r="AT21" t="s">
        <v>3</v>
      </c>
      <c r="AU21" t="s">
        <v>2</v>
      </c>
      <c r="AV21" t="s">
        <v>3</v>
      </c>
    </row>
    <row r="22" spans="1:48" x14ac:dyDescent="0.3">
      <c r="A22" t="s">
        <v>80</v>
      </c>
      <c r="B22" t="s">
        <v>81</v>
      </c>
      <c r="C22" t="s">
        <v>82</v>
      </c>
      <c r="F22" t="s">
        <v>2661</v>
      </c>
      <c r="G22" t="s">
        <v>40</v>
      </c>
      <c r="H22" t="s">
        <v>17</v>
      </c>
      <c r="J22" t="s">
        <v>83</v>
      </c>
      <c r="K22">
        <v>3</v>
      </c>
      <c r="L22">
        <v>3</v>
      </c>
      <c r="N22">
        <v>5.8</v>
      </c>
      <c r="P22">
        <v>1.5</v>
      </c>
      <c r="V22">
        <f>5.6+3.8</f>
        <v>9.3999999999999986</v>
      </c>
      <c r="W22">
        <v>5.6</v>
      </c>
      <c r="Y22">
        <v>3.8</v>
      </c>
      <c r="AD22" s="54">
        <f>5.6/N22</f>
        <v>0.96551724137931028</v>
      </c>
      <c r="AE22" s="54">
        <f>3.8/P22</f>
        <v>2.5333333333333332</v>
      </c>
      <c r="AF22" s="21"/>
      <c r="AG22" s="21"/>
      <c r="AH22" s="21"/>
      <c r="AI22" s="14">
        <f t="shared" si="0"/>
        <v>3.4988505747126437</v>
      </c>
      <c r="AJ22" s="14"/>
      <c r="AK22" s="2"/>
      <c r="AQ22">
        <v>225</v>
      </c>
      <c r="AR22" t="s">
        <v>14</v>
      </c>
      <c r="AT22" t="s">
        <v>3</v>
      </c>
      <c r="AU22" t="s">
        <v>2</v>
      </c>
      <c r="AV22" t="s">
        <v>3</v>
      </c>
    </row>
    <row r="23" spans="1:48" s="6" customFormat="1" x14ac:dyDescent="0.3">
      <c r="A23" t="s">
        <v>80</v>
      </c>
      <c r="B23" t="s">
        <v>81</v>
      </c>
      <c r="C23" t="s">
        <v>82</v>
      </c>
      <c r="D23"/>
      <c r="F23" t="s">
        <v>2661</v>
      </c>
      <c r="G23" t="s">
        <v>40</v>
      </c>
      <c r="H23" t="s">
        <v>17</v>
      </c>
      <c r="J23" t="s">
        <v>83</v>
      </c>
      <c r="K23" s="6">
        <v>3</v>
      </c>
      <c r="L23" s="6">
        <v>3</v>
      </c>
      <c r="M23" s="53"/>
      <c r="N23" s="6">
        <v>6.4</v>
      </c>
      <c r="P23" s="6">
        <v>1.6</v>
      </c>
      <c r="V23" s="6">
        <f>6.2+4.5</f>
        <v>10.7</v>
      </c>
      <c r="W23" s="6">
        <v>6.2</v>
      </c>
      <c r="Y23" s="6">
        <v>4.5</v>
      </c>
      <c r="AD23" s="11">
        <f>6.2/N23</f>
        <v>0.96875</v>
      </c>
      <c r="AE23" s="11">
        <f>4.5/P23</f>
        <v>2.8125</v>
      </c>
      <c r="AF23" s="23"/>
      <c r="AG23" s="23"/>
      <c r="AH23" s="23"/>
      <c r="AI23" s="14">
        <f t="shared" si="0"/>
        <v>3.78125</v>
      </c>
      <c r="AJ23" s="14"/>
      <c r="AK23" s="2"/>
      <c r="AL23"/>
      <c r="AM23"/>
      <c r="AN23"/>
      <c r="AO23"/>
      <c r="AP23"/>
      <c r="AQ23" s="6">
        <v>225</v>
      </c>
      <c r="AR23" t="s">
        <v>14</v>
      </c>
      <c r="AT23" s="6" t="s">
        <v>3</v>
      </c>
      <c r="AU23" t="s">
        <v>2</v>
      </c>
      <c r="AV23" t="s">
        <v>3</v>
      </c>
    </row>
    <row r="24" spans="1:48" s="6" customFormat="1" x14ac:dyDescent="0.3">
      <c r="A24" s="6" t="s">
        <v>84</v>
      </c>
      <c r="B24" s="6" t="s">
        <v>81</v>
      </c>
      <c r="C24" s="6" t="s">
        <v>86</v>
      </c>
      <c r="E24" s="6" t="s">
        <v>1310</v>
      </c>
      <c r="F24" t="s">
        <v>2661</v>
      </c>
      <c r="G24" t="s">
        <v>40</v>
      </c>
      <c r="H24" t="s">
        <v>17</v>
      </c>
      <c r="J24" s="6" t="s">
        <v>85</v>
      </c>
      <c r="K24" s="6">
        <v>3</v>
      </c>
      <c r="L24" s="6">
        <v>3</v>
      </c>
      <c r="M24" s="53"/>
      <c r="N24" s="6">
        <v>12.81</v>
      </c>
      <c r="P24" s="6">
        <v>4.29</v>
      </c>
      <c r="V24" s="6">
        <f>18.9+5.24</f>
        <v>24.14</v>
      </c>
      <c r="W24" s="6">
        <v>18.899999999999999</v>
      </c>
      <c r="Y24" s="6">
        <v>5.24</v>
      </c>
      <c r="AD24" s="11">
        <f>W24/N24</f>
        <v>1.4754098360655736</v>
      </c>
      <c r="AE24" s="11">
        <f>Y24/P24</f>
        <v>1.2214452214452214</v>
      </c>
      <c r="AF24" s="23"/>
      <c r="AG24" s="23"/>
      <c r="AH24" s="23"/>
      <c r="AI24" s="14">
        <f t="shared" si="0"/>
        <v>2.696855057510795</v>
      </c>
      <c r="AJ24" s="2"/>
      <c r="AK24" s="2"/>
      <c r="AL24"/>
      <c r="AM24"/>
      <c r="AN24"/>
      <c r="AO24"/>
      <c r="AP24"/>
      <c r="AQ24">
        <v>225</v>
      </c>
      <c r="AR24" t="s">
        <v>14</v>
      </c>
      <c r="AT24" t="s">
        <v>3</v>
      </c>
      <c r="AU24" t="s">
        <v>2</v>
      </c>
      <c r="AV24" t="s">
        <v>3</v>
      </c>
    </row>
    <row r="25" spans="1:48" s="6" customFormat="1" x14ac:dyDescent="0.3">
      <c r="A25" s="6" t="s">
        <v>84</v>
      </c>
      <c r="B25" s="6" t="s">
        <v>81</v>
      </c>
      <c r="C25" s="6" t="s">
        <v>86</v>
      </c>
      <c r="E25" s="6" t="s">
        <v>1310</v>
      </c>
      <c r="F25" t="s">
        <v>2661</v>
      </c>
      <c r="G25" t="s">
        <v>40</v>
      </c>
      <c r="H25" t="s">
        <v>17</v>
      </c>
      <c r="J25" s="6" t="s">
        <v>85</v>
      </c>
      <c r="K25" s="6">
        <v>3</v>
      </c>
      <c r="L25" s="6">
        <v>3</v>
      </c>
      <c r="M25" s="53"/>
      <c r="N25" s="6">
        <v>12.81</v>
      </c>
      <c r="P25" s="6">
        <v>4.29</v>
      </c>
      <c r="V25" s="6">
        <f>17.36+5.71</f>
        <v>23.07</v>
      </c>
      <c r="W25" s="6">
        <v>17.36</v>
      </c>
      <c r="Y25" s="6">
        <v>5.72</v>
      </c>
      <c r="AD25" s="11">
        <f>W25/N25</f>
        <v>1.355191256830601</v>
      </c>
      <c r="AE25" s="11">
        <f>Y25/P25</f>
        <v>1.3333333333333333</v>
      </c>
      <c r="AF25" s="23"/>
      <c r="AG25" s="23"/>
      <c r="AH25" s="23"/>
      <c r="AI25" s="14">
        <f t="shared" si="0"/>
        <v>2.6885245901639343</v>
      </c>
      <c r="AJ25" s="2"/>
      <c r="AK25" s="2"/>
      <c r="AL25"/>
      <c r="AM25"/>
      <c r="AN25"/>
      <c r="AO25"/>
      <c r="AP25"/>
      <c r="AQ25" s="6">
        <v>225</v>
      </c>
      <c r="AR25" t="s">
        <v>14</v>
      </c>
      <c r="AT25" s="6" t="s">
        <v>3</v>
      </c>
      <c r="AU25" t="s">
        <v>2</v>
      </c>
      <c r="AV25" t="s">
        <v>3</v>
      </c>
    </row>
    <row r="26" spans="1:48" s="6" customFormat="1" x14ac:dyDescent="0.3">
      <c r="A26" s="6" t="s">
        <v>87</v>
      </c>
      <c r="B26" s="6" t="s">
        <v>0</v>
      </c>
      <c r="C26" s="6" t="s">
        <v>88</v>
      </c>
      <c r="D26" s="6" t="s">
        <v>89</v>
      </c>
      <c r="F26" t="s">
        <v>2661</v>
      </c>
      <c r="G26" t="s">
        <v>40</v>
      </c>
      <c r="H26" t="s">
        <v>17</v>
      </c>
      <c r="J26" s="6" t="s">
        <v>90</v>
      </c>
      <c r="K26" s="6">
        <v>3</v>
      </c>
      <c r="L26" s="6">
        <v>3</v>
      </c>
      <c r="M26" s="53"/>
      <c r="AD26" s="8"/>
      <c r="AE26" s="8"/>
      <c r="AF26" s="8"/>
      <c r="AG26" s="8"/>
      <c r="AH26" s="8"/>
      <c r="AI26" s="9">
        <v>1.27</v>
      </c>
      <c r="AJ26" s="9"/>
      <c r="AK26" s="9"/>
      <c r="AL26"/>
      <c r="AM26"/>
      <c r="AN26"/>
      <c r="AO26"/>
      <c r="AP26"/>
      <c r="AQ26" s="6">
        <v>0</v>
      </c>
      <c r="AS26" s="6" t="s">
        <v>2</v>
      </c>
      <c r="AU26" t="s">
        <v>2</v>
      </c>
      <c r="AV26" t="s">
        <v>3</v>
      </c>
    </row>
    <row r="27" spans="1:48" s="6" customFormat="1" x14ac:dyDescent="0.3">
      <c r="A27" s="6" t="s">
        <v>87</v>
      </c>
      <c r="B27" s="6" t="s">
        <v>0</v>
      </c>
      <c r="C27" s="6" t="s">
        <v>88</v>
      </c>
      <c r="D27" s="6" t="s">
        <v>89</v>
      </c>
      <c r="F27" t="s">
        <v>2661</v>
      </c>
      <c r="G27" t="s">
        <v>40</v>
      </c>
      <c r="H27" t="s">
        <v>17</v>
      </c>
      <c r="J27" s="6" t="s">
        <v>18</v>
      </c>
      <c r="K27" s="6">
        <v>3</v>
      </c>
      <c r="L27" s="6">
        <v>3</v>
      </c>
      <c r="M27" s="53"/>
      <c r="AD27" s="8"/>
      <c r="AE27" s="8"/>
      <c r="AF27" s="8"/>
      <c r="AG27" s="8"/>
      <c r="AH27" s="8"/>
      <c r="AI27" s="9">
        <v>1.48</v>
      </c>
      <c r="AJ27" s="9"/>
      <c r="AK27" s="9"/>
      <c r="AL27"/>
      <c r="AM27"/>
      <c r="AN27"/>
      <c r="AO27"/>
      <c r="AP27"/>
      <c r="AQ27" s="6">
        <v>0</v>
      </c>
      <c r="AS27" s="6" t="s">
        <v>2</v>
      </c>
      <c r="AU27" t="s">
        <v>2</v>
      </c>
      <c r="AV27" t="s">
        <v>3</v>
      </c>
    </row>
    <row r="28" spans="1:48" s="6" customFormat="1" x14ac:dyDescent="0.3">
      <c r="A28" t="s">
        <v>91</v>
      </c>
      <c r="B28" s="6" t="s">
        <v>92</v>
      </c>
      <c r="C28" s="6" t="s">
        <v>93</v>
      </c>
      <c r="D28" s="6" t="s">
        <v>94</v>
      </c>
      <c r="F28" t="s">
        <v>2661</v>
      </c>
      <c r="G28" t="s">
        <v>40</v>
      </c>
      <c r="H28" t="s">
        <v>17</v>
      </c>
      <c r="J28" s="6" t="s">
        <v>95</v>
      </c>
      <c r="K28" s="6">
        <v>4</v>
      </c>
      <c r="L28" s="6">
        <v>4</v>
      </c>
      <c r="M28" s="53"/>
      <c r="AD28" s="8">
        <v>0.65</v>
      </c>
      <c r="AE28" s="8">
        <v>0.54</v>
      </c>
      <c r="AF28" s="8"/>
      <c r="AG28" s="8"/>
      <c r="AH28" s="8"/>
      <c r="AI28" s="9">
        <f t="shared" ref="AI28:AI48" si="3">AD28+AE28</f>
        <v>1.19</v>
      </c>
      <c r="AJ28" s="9"/>
      <c r="AK28" s="9"/>
      <c r="AL28"/>
      <c r="AM28"/>
      <c r="AN28"/>
      <c r="AO28"/>
      <c r="AP28"/>
      <c r="AQ28" s="6">
        <v>0</v>
      </c>
      <c r="AS28" s="6" t="s">
        <v>2</v>
      </c>
      <c r="AT28" s="6" t="s">
        <v>3</v>
      </c>
      <c r="AU28" t="s">
        <v>2</v>
      </c>
      <c r="AV28" t="s">
        <v>3</v>
      </c>
    </row>
    <row r="29" spans="1:48" s="6" customFormat="1" x14ac:dyDescent="0.3">
      <c r="A29" t="s">
        <v>91</v>
      </c>
      <c r="B29" s="6" t="s">
        <v>92</v>
      </c>
      <c r="C29" s="6" t="s">
        <v>93</v>
      </c>
      <c r="D29" s="6" t="s">
        <v>94</v>
      </c>
      <c r="F29" t="s">
        <v>2661</v>
      </c>
      <c r="G29" t="s">
        <v>40</v>
      </c>
      <c r="H29" t="s">
        <v>17</v>
      </c>
      <c r="J29" s="6" t="s">
        <v>95</v>
      </c>
      <c r="K29" s="6">
        <v>4</v>
      </c>
      <c r="L29" s="6">
        <v>4</v>
      </c>
      <c r="M29" s="53"/>
      <c r="AD29" s="8">
        <v>0.59</v>
      </c>
      <c r="AE29" s="8">
        <v>0.53</v>
      </c>
      <c r="AF29" s="8"/>
      <c r="AG29" s="8"/>
      <c r="AH29" s="8"/>
      <c r="AI29" s="9">
        <f t="shared" si="3"/>
        <v>1.1200000000000001</v>
      </c>
      <c r="AJ29" s="9"/>
      <c r="AK29" s="9"/>
      <c r="AL29"/>
      <c r="AM29"/>
      <c r="AN29"/>
      <c r="AO29"/>
      <c r="AP29"/>
      <c r="AQ29" s="6">
        <v>0</v>
      </c>
      <c r="AS29" s="6" t="s">
        <v>2</v>
      </c>
      <c r="AT29" s="6" t="s">
        <v>3</v>
      </c>
      <c r="AU29" t="s">
        <v>2</v>
      </c>
      <c r="AV29" t="s">
        <v>3</v>
      </c>
    </row>
    <row r="30" spans="1:48" s="6" customFormat="1" x14ac:dyDescent="0.3">
      <c r="A30" t="s">
        <v>91</v>
      </c>
      <c r="B30" s="6" t="s">
        <v>92</v>
      </c>
      <c r="C30" s="6" t="s">
        <v>93</v>
      </c>
      <c r="D30" s="6" t="s">
        <v>94</v>
      </c>
      <c r="F30" t="s">
        <v>2661</v>
      </c>
      <c r="G30" t="s">
        <v>40</v>
      </c>
      <c r="H30" t="s">
        <v>17</v>
      </c>
      <c r="J30" s="6" t="s">
        <v>95</v>
      </c>
      <c r="K30" s="6">
        <v>4</v>
      </c>
      <c r="L30" s="6">
        <v>4</v>
      </c>
      <c r="M30" s="53"/>
      <c r="AD30" s="8">
        <v>0.53</v>
      </c>
      <c r="AE30" s="8">
        <v>0.45</v>
      </c>
      <c r="AF30" s="8"/>
      <c r="AG30" s="8"/>
      <c r="AH30" s="8"/>
      <c r="AI30" s="9">
        <f t="shared" si="3"/>
        <v>0.98</v>
      </c>
      <c r="AJ30" s="9"/>
      <c r="AK30" s="9"/>
      <c r="AL30"/>
      <c r="AM30"/>
      <c r="AN30"/>
      <c r="AO30"/>
      <c r="AP30"/>
      <c r="AQ30" s="6">
        <v>0</v>
      </c>
      <c r="AS30" s="6" t="s">
        <v>2</v>
      </c>
      <c r="AT30" s="6" t="s">
        <v>3</v>
      </c>
      <c r="AU30" t="s">
        <v>2</v>
      </c>
      <c r="AV30" t="s">
        <v>3</v>
      </c>
    </row>
    <row r="31" spans="1:48" s="6" customFormat="1" x14ac:dyDescent="0.3">
      <c r="A31" t="s">
        <v>91</v>
      </c>
      <c r="B31" s="6" t="s">
        <v>92</v>
      </c>
      <c r="C31" s="6" t="s">
        <v>93</v>
      </c>
      <c r="D31" s="6" t="s">
        <v>94</v>
      </c>
      <c r="F31" t="s">
        <v>2661</v>
      </c>
      <c r="G31" t="s">
        <v>40</v>
      </c>
      <c r="H31" t="s">
        <v>17</v>
      </c>
      <c r="J31" s="6" t="s">
        <v>95</v>
      </c>
      <c r="K31" s="6">
        <v>4</v>
      </c>
      <c r="L31" s="6">
        <v>4</v>
      </c>
      <c r="M31" s="53"/>
      <c r="AD31" s="8">
        <v>0.49</v>
      </c>
      <c r="AE31" s="8">
        <v>0.43</v>
      </c>
      <c r="AF31" s="8"/>
      <c r="AG31" s="8"/>
      <c r="AH31" s="8"/>
      <c r="AI31" s="9">
        <f t="shared" si="3"/>
        <v>0.91999999999999993</v>
      </c>
      <c r="AJ31" s="9"/>
      <c r="AK31" s="9"/>
      <c r="AL31"/>
      <c r="AM31"/>
      <c r="AN31"/>
      <c r="AO31"/>
      <c r="AP31"/>
      <c r="AQ31" s="6">
        <v>0</v>
      </c>
      <c r="AS31" s="6" t="s">
        <v>2</v>
      </c>
      <c r="AT31" s="6" t="s">
        <v>3</v>
      </c>
      <c r="AU31" t="s">
        <v>2</v>
      </c>
      <c r="AV31" t="s">
        <v>3</v>
      </c>
    </row>
    <row r="32" spans="1:48" s="6" customFormat="1" x14ac:dyDescent="0.3">
      <c r="A32" t="s">
        <v>91</v>
      </c>
      <c r="B32" s="6" t="s">
        <v>92</v>
      </c>
      <c r="C32" s="6" t="s">
        <v>93</v>
      </c>
      <c r="D32" s="6" t="s">
        <v>94</v>
      </c>
      <c r="F32" t="s">
        <v>2661</v>
      </c>
      <c r="G32" t="s">
        <v>40</v>
      </c>
      <c r="H32" t="s">
        <v>17</v>
      </c>
      <c r="J32" s="6" t="s">
        <v>95</v>
      </c>
      <c r="K32" s="6">
        <v>4</v>
      </c>
      <c r="L32" s="6">
        <v>4</v>
      </c>
      <c r="M32" s="53"/>
      <c r="AD32" s="8">
        <v>0.5</v>
      </c>
      <c r="AE32" s="8">
        <v>0.5</v>
      </c>
      <c r="AF32" s="8"/>
      <c r="AG32" s="8"/>
      <c r="AH32" s="8"/>
      <c r="AI32" s="9">
        <f t="shared" si="3"/>
        <v>1</v>
      </c>
      <c r="AJ32" s="9"/>
      <c r="AK32" s="9"/>
      <c r="AL32"/>
      <c r="AM32"/>
      <c r="AN32"/>
      <c r="AO32"/>
      <c r="AP32"/>
      <c r="AQ32" s="6">
        <v>0</v>
      </c>
      <c r="AS32" s="6" t="s">
        <v>2</v>
      </c>
      <c r="AT32" s="6" t="s">
        <v>3</v>
      </c>
      <c r="AU32" t="s">
        <v>2</v>
      </c>
      <c r="AV32" t="s">
        <v>3</v>
      </c>
    </row>
    <row r="33" spans="1:48" x14ac:dyDescent="0.3">
      <c r="A33" t="s">
        <v>91</v>
      </c>
      <c r="B33" s="6" t="s">
        <v>92</v>
      </c>
      <c r="C33" s="6" t="s">
        <v>93</v>
      </c>
      <c r="D33" s="6" t="s">
        <v>94</v>
      </c>
      <c r="E33" s="6"/>
      <c r="F33" t="s">
        <v>2661</v>
      </c>
      <c r="G33" t="s">
        <v>40</v>
      </c>
      <c r="H33" t="s">
        <v>17</v>
      </c>
      <c r="I33" s="6"/>
      <c r="J33" s="6" t="s">
        <v>95</v>
      </c>
      <c r="K33" s="6">
        <v>4</v>
      </c>
      <c r="L33" s="6">
        <v>4</v>
      </c>
      <c r="AD33" s="8">
        <v>0.7</v>
      </c>
      <c r="AE33" s="8">
        <v>0.38</v>
      </c>
      <c r="AF33" s="8"/>
      <c r="AG33" s="8"/>
      <c r="AH33" s="8"/>
      <c r="AI33" s="9">
        <f t="shared" si="3"/>
        <v>1.08</v>
      </c>
      <c r="AJ33" s="9"/>
      <c r="AK33" s="9"/>
      <c r="AQ33" s="6">
        <v>0</v>
      </c>
      <c r="AR33" s="6"/>
      <c r="AS33" s="6" t="s">
        <v>2</v>
      </c>
      <c r="AT33" s="6" t="s">
        <v>3</v>
      </c>
      <c r="AU33" t="s">
        <v>2</v>
      </c>
      <c r="AV33" t="s">
        <v>3</v>
      </c>
    </row>
    <row r="34" spans="1:48" x14ac:dyDescent="0.3">
      <c r="A34" t="s">
        <v>91</v>
      </c>
      <c r="B34" s="6" t="s">
        <v>92</v>
      </c>
      <c r="C34" s="6" t="s">
        <v>93</v>
      </c>
      <c r="D34" s="6" t="s">
        <v>94</v>
      </c>
      <c r="E34" s="6"/>
      <c r="F34" t="s">
        <v>2661</v>
      </c>
      <c r="G34" t="s">
        <v>40</v>
      </c>
      <c r="H34" t="s">
        <v>17</v>
      </c>
      <c r="I34" s="6"/>
      <c r="J34" s="6" t="s">
        <v>95</v>
      </c>
      <c r="K34" s="6">
        <v>4</v>
      </c>
      <c r="L34" s="6">
        <v>4</v>
      </c>
      <c r="AD34" s="8">
        <v>0.66</v>
      </c>
      <c r="AE34" s="8">
        <v>0.46</v>
      </c>
      <c r="AF34" s="8"/>
      <c r="AG34" s="8"/>
      <c r="AH34" s="8"/>
      <c r="AI34" s="9">
        <f t="shared" si="3"/>
        <v>1.1200000000000001</v>
      </c>
      <c r="AJ34" s="9"/>
      <c r="AK34" s="9"/>
      <c r="AQ34" s="6">
        <v>0</v>
      </c>
      <c r="AR34" s="6"/>
      <c r="AS34" s="6" t="s">
        <v>2</v>
      </c>
      <c r="AT34" s="6" t="s">
        <v>3</v>
      </c>
      <c r="AU34" t="s">
        <v>2</v>
      </c>
      <c r="AV34" t="s">
        <v>3</v>
      </c>
    </row>
    <row r="35" spans="1:48" x14ac:dyDescent="0.3">
      <c r="A35" t="s">
        <v>91</v>
      </c>
      <c r="B35" s="6" t="s">
        <v>92</v>
      </c>
      <c r="C35" s="6" t="s">
        <v>93</v>
      </c>
      <c r="D35" s="6" t="s">
        <v>94</v>
      </c>
      <c r="E35" s="6"/>
      <c r="F35" t="s">
        <v>2661</v>
      </c>
      <c r="G35" t="s">
        <v>40</v>
      </c>
      <c r="H35" t="s">
        <v>17</v>
      </c>
      <c r="I35" s="6"/>
      <c r="J35" s="6" t="s">
        <v>95</v>
      </c>
      <c r="K35" s="6">
        <v>4</v>
      </c>
      <c r="L35" s="6">
        <v>4</v>
      </c>
      <c r="AD35" s="8">
        <v>0.46</v>
      </c>
      <c r="AE35" s="8">
        <v>0.56000000000000005</v>
      </c>
      <c r="AF35" s="8"/>
      <c r="AG35" s="8"/>
      <c r="AH35" s="8"/>
      <c r="AI35" s="9">
        <f t="shared" si="3"/>
        <v>1.02</v>
      </c>
      <c r="AJ35" s="9"/>
      <c r="AK35" s="9"/>
      <c r="AQ35" s="6">
        <v>0</v>
      </c>
      <c r="AR35" s="6"/>
      <c r="AS35" s="6" t="s">
        <v>2</v>
      </c>
      <c r="AT35" s="6" t="s">
        <v>3</v>
      </c>
      <c r="AU35" t="s">
        <v>2</v>
      </c>
      <c r="AV35" t="s">
        <v>3</v>
      </c>
    </row>
    <row r="36" spans="1:48" x14ac:dyDescent="0.3">
      <c r="A36" t="s">
        <v>91</v>
      </c>
      <c r="B36" s="6" t="s">
        <v>92</v>
      </c>
      <c r="C36" s="6" t="s">
        <v>93</v>
      </c>
      <c r="D36" s="6" t="s">
        <v>94</v>
      </c>
      <c r="E36" s="6"/>
      <c r="F36" t="s">
        <v>2661</v>
      </c>
      <c r="G36" t="s">
        <v>40</v>
      </c>
      <c r="H36" t="s">
        <v>17</v>
      </c>
      <c r="I36" s="6"/>
      <c r="J36" s="6" t="s">
        <v>95</v>
      </c>
      <c r="K36" s="6">
        <v>4</v>
      </c>
      <c r="L36" s="6">
        <v>4</v>
      </c>
      <c r="AD36" s="8">
        <v>0.42</v>
      </c>
      <c r="AE36" s="8">
        <v>0.62</v>
      </c>
      <c r="AF36" s="8"/>
      <c r="AG36" s="8"/>
      <c r="AH36" s="8"/>
      <c r="AI36" s="9">
        <f t="shared" si="3"/>
        <v>1.04</v>
      </c>
      <c r="AJ36" s="9"/>
      <c r="AK36" s="9"/>
      <c r="AQ36" s="6">
        <v>0</v>
      </c>
      <c r="AR36" s="6"/>
      <c r="AS36" s="6" t="s">
        <v>2</v>
      </c>
      <c r="AT36" s="6" t="s">
        <v>3</v>
      </c>
      <c r="AU36" t="s">
        <v>2</v>
      </c>
      <c r="AV36" t="s">
        <v>3</v>
      </c>
    </row>
    <row r="37" spans="1:48" x14ac:dyDescent="0.3">
      <c r="A37" t="s">
        <v>91</v>
      </c>
      <c r="B37" s="6" t="s">
        <v>92</v>
      </c>
      <c r="C37" s="6" t="s">
        <v>93</v>
      </c>
      <c r="D37" s="6" t="s">
        <v>94</v>
      </c>
      <c r="E37" s="6"/>
      <c r="F37" t="s">
        <v>2661</v>
      </c>
      <c r="G37" t="s">
        <v>40</v>
      </c>
      <c r="H37" t="s">
        <v>17</v>
      </c>
      <c r="I37" s="6"/>
      <c r="J37" s="6" t="s">
        <v>95</v>
      </c>
      <c r="K37" s="6">
        <v>4</v>
      </c>
      <c r="L37" s="6">
        <v>4</v>
      </c>
      <c r="AD37" s="8">
        <v>0.5</v>
      </c>
      <c r="AE37" s="8">
        <v>0.5</v>
      </c>
      <c r="AF37" s="8"/>
      <c r="AG37" s="8"/>
      <c r="AH37" s="8"/>
      <c r="AI37" s="9">
        <f t="shared" si="3"/>
        <v>1</v>
      </c>
      <c r="AJ37" s="9"/>
      <c r="AK37" s="9"/>
      <c r="AQ37" s="6">
        <v>0</v>
      </c>
      <c r="AR37" s="6"/>
      <c r="AS37" s="6" t="s">
        <v>2</v>
      </c>
      <c r="AT37" s="6" t="s">
        <v>3</v>
      </c>
      <c r="AU37" t="s">
        <v>2</v>
      </c>
      <c r="AV37" t="s">
        <v>3</v>
      </c>
    </row>
    <row r="38" spans="1:48" s="10" customFormat="1" x14ac:dyDescent="0.3">
      <c r="A38" s="10" t="s">
        <v>462</v>
      </c>
      <c r="B38" s="26" t="s">
        <v>81</v>
      </c>
      <c r="C38" s="26" t="s">
        <v>82</v>
      </c>
      <c r="D38" s="26" t="s">
        <v>463</v>
      </c>
      <c r="E38" s="10">
        <v>2009</v>
      </c>
      <c r="F38" t="s">
        <v>2661</v>
      </c>
      <c r="G38" s="10" t="s">
        <v>34</v>
      </c>
      <c r="H38" s="10" t="s">
        <v>17</v>
      </c>
      <c r="J38" s="26" t="s">
        <v>466</v>
      </c>
      <c r="K38" s="26">
        <v>3</v>
      </c>
      <c r="L38" s="26">
        <v>3</v>
      </c>
      <c r="M38" s="53"/>
      <c r="N38" s="10">
        <v>12.6</v>
      </c>
      <c r="P38" s="10">
        <v>1.2</v>
      </c>
      <c r="W38" s="10">
        <v>9.6</v>
      </c>
      <c r="Y38" s="10">
        <v>1.7</v>
      </c>
      <c r="AD38" s="14">
        <f t="shared" ref="AD38:AD48" si="4">W38/N38</f>
        <v>0.76190476190476186</v>
      </c>
      <c r="AE38" s="14">
        <f t="shared" ref="AE38:AE48" si="5">Y38/P38</f>
        <v>1.4166666666666667</v>
      </c>
      <c r="AI38" s="11">
        <f t="shared" si="3"/>
        <v>2.1785714285714288</v>
      </c>
      <c r="AJ38" s="11"/>
      <c r="AK38" s="11"/>
      <c r="AL38"/>
      <c r="AM38"/>
      <c r="AN38"/>
      <c r="AO38"/>
      <c r="AP38"/>
      <c r="AQ38" s="26">
        <v>225</v>
      </c>
      <c r="AR38" s="10" t="s">
        <v>14</v>
      </c>
      <c r="AS38" s="10" t="s">
        <v>3</v>
      </c>
      <c r="AT38" s="26" t="s">
        <v>3</v>
      </c>
      <c r="AU38" s="10" t="s">
        <v>2</v>
      </c>
      <c r="AV38" t="s">
        <v>3</v>
      </c>
    </row>
    <row r="39" spans="1:48" s="10" customFormat="1" x14ac:dyDescent="0.3">
      <c r="A39" s="10" t="s">
        <v>462</v>
      </c>
      <c r="B39" s="26" t="s">
        <v>81</v>
      </c>
      <c r="C39" s="26" t="s">
        <v>82</v>
      </c>
      <c r="D39" s="26" t="s">
        <v>463</v>
      </c>
      <c r="E39" s="10">
        <v>2010</v>
      </c>
      <c r="F39" t="s">
        <v>2661</v>
      </c>
      <c r="G39" s="10" t="s">
        <v>34</v>
      </c>
      <c r="H39" s="10" t="s">
        <v>17</v>
      </c>
      <c r="J39" s="26" t="s">
        <v>466</v>
      </c>
      <c r="K39" s="26">
        <v>3</v>
      </c>
      <c r="L39" s="26">
        <v>3</v>
      </c>
      <c r="M39" s="53"/>
      <c r="N39" s="10">
        <v>13.6</v>
      </c>
      <c r="P39" s="10">
        <v>0.8</v>
      </c>
      <c r="W39" s="10">
        <v>18.600000000000001</v>
      </c>
      <c r="Y39" s="10">
        <v>1.1000000000000001</v>
      </c>
      <c r="AD39" s="14">
        <f t="shared" si="4"/>
        <v>1.3676470588235297</v>
      </c>
      <c r="AE39" s="14">
        <f t="shared" si="5"/>
        <v>1.375</v>
      </c>
      <c r="AI39" s="11">
        <f t="shared" si="3"/>
        <v>2.7426470588235299</v>
      </c>
      <c r="AJ39" s="11"/>
      <c r="AK39" s="11"/>
      <c r="AL39"/>
      <c r="AM39"/>
      <c r="AN39"/>
      <c r="AO39"/>
      <c r="AP39"/>
      <c r="AQ39" s="26">
        <v>225</v>
      </c>
      <c r="AR39" s="10" t="s">
        <v>14</v>
      </c>
      <c r="AS39" s="10" t="s">
        <v>3</v>
      </c>
      <c r="AT39" s="26" t="s">
        <v>3</v>
      </c>
      <c r="AU39" s="10" t="s">
        <v>2</v>
      </c>
      <c r="AV39" t="s">
        <v>3</v>
      </c>
    </row>
    <row r="40" spans="1:48" s="10" customFormat="1" x14ac:dyDescent="0.3">
      <c r="A40" s="10" t="s">
        <v>462</v>
      </c>
      <c r="B40" s="26" t="s">
        <v>81</v>
      </c>
      <c r="C40" s="26" t="s">
        <v>82</v>
      </c>
      <c r="D40" s="26" t="s">
        <v>463</v>
      </c>
      <c r="E40" s="10">
        <v>2011</v>
      </c>
      <c r="F40" t="s">
        <v>2661</v>
      </c>
      <c r="G40" s="10" t="s">
        <v>34</v>
      </c>
      <c r="H40" s="10" t="s">
        <v>17</v>
      </c>
      <c r="J40" s="26" t="s">
        <v>466</v>
      </c>
      <c r="K40" s="26">
        <v>3</v>
      </c>
      <c r="L40" s="26">
        <v>3</v>
      </c>
      <c r="M40" s="53"/>
      <c r="N40" s="10">
        <v>13.4</v>
      </c>
      <c r="P40" s="10">
        <v>1.4</v>
      </c>
      <c r="W40" s="10">
        <v>18.600000000000001</v>
      </c>
      <c r="Y40" s="10">
        <v>1.7</v>
      </c>
      <c r="AD40" s="14">
        <f t="shared" si="4"/>
        <v>1.3880597014925373</v>
      </c>
      <c r="AE40" s="14">
        <f t="shared" si="5"/>
        <v>1.2142857142857144</v>
      </c>
      <c r="AI40" s="11">
        <f t="shared" si="3"/>
        <v>2.6023454157782515</v>
      </c>
      <c r="AJ40" s="11"/>
      <c r="AK40" s="11"/>
      <c r="AL40"/>
      <c r="AM40"/>
      <c r="AN40"/>
      <c r="AO40"/>
      <c r="AP40"/>
      <c r="AQ40" s="26">
        <v>225</v>
      </c>
      <c r="AR40" s="10" t="s">
        <v>14</v>
      </c>
      <c r="AS40" s="10" t="s">
        <v>3</v>
      </c>
      <c r="AT40" s="26" t="s">
        <v>3</v>
      </c>
      <c r="AU40" s="10" t="s">
        <v>2</v>
      </c>
      <c r="AV40" t="s">
        <v>3</v>
      </c>
    </row>
    <row r="41" spans="1:48" s="10" customFormat="1" x14ac:dyDescent="0.3">
      <c r="A41" s="10" t="s">
        <v>462</v>
      </c>
      <c r="B41" s="26" t="s">
        <v>81</v>
      </c>
      <c r="C41" s="26" t="s">
        <v>82</v>
      </c>
      <c r="D41" s="26" t="s">
        <v>463</v>
      </c>
      <c r="E41" s="10">
        <v>2009</v>
      </c>
      <c r="F41" t="s">
        <v>2661</v>
      </c>
      <c r="G41" s="10" t="s">
        <v>34</v>
      </c>
      <c r="H41" s="10" t="s">
        <v>17</v>
      </c>
      <c r="J41" s="26" t="s">
        <v>85</v>
      </c>
      <c r="K41" s="26">
        <v>3</v>
      </c>
      <c r="L41" s="26">
        <v>3</v>
      </c>
      <c r="M41" s="53"/>
      <c r="N41" s="10">
        <v>12.6</v>
      </c>
      <c r="P41" s="10">
        <v>2.5</v>
      </c>
      <c r="W41" s="10">
        <v>14.8</v>
      </c>
      <c r="Y41" s="10">
        <v>3.4</v>
      </c>
      <c r="AD41" s="14">
        <f t="shared" si="4"/>
        <v>1.1746031746031746</v>
      </c>
      <c r="AE41" s="14">
        <f t="shared" si="5"/>
        <v>1.3599999999999999</v>
      </c>
      <c r="AI41" s="11">
        <f t="shared" si="3"/>
        <v>2.5346031746031743</v>
      </c>
      <c r="AJ41" s="11"/>
      <c r="AK41" s="11"/>
      <c r="AL41"/>
      <c r="AM41"/>
      <c r="AN41"/>
      <c r="AO41"/>
      <c r="AP41"/>
      <c r="AQ41" s="26">
        <v>225</v>
      </c>
      <c r="AR41" s="10" t="s">
        <v>14</v>
      </c>
      <c r="AS41" s="10" t="s">
        <v>3</v>
      </c>
      <c r="AT41" s="26" t="s">
        <v>3</v>
      </c>
      <c r="AU41" s="10" t="s">
        <v>2</v>
      </c>
      <c r="AV41" t="s">
        <v>3</v>
      </c>
    </row>
    <row r="42" spans="1:48" s="10" customFormat="1" x14ac:dyDescent="0.3">
      <c r="A42" s="10" t="s">
        <v>462</v>
      </c>
      <c r="B42" s="26" t="s">
        <v>81</v>
      </c>
      <c r="C42" s="26" t="s">
        <v>82</v>
      </c>
      <c r="D42" s="26" t="s">
        <v>463</v>
      </c>
      <c r="E42" s="10">
        <v>2010</v>
      </c>
      <c r="F42" t="s">
        <v>2661</v>
      </c>
      <c r="G42" s="10" t="s">
        <v>34</v>
      </c>
      <c r="H42" s="10" t="s">
        <v>17</v>
      </c>
      <c r="J42" s="26" t="s">
        <v>85</v>
      </c>
      <c r="K42" s="26">
        <v>3</v>
      </c>
      <c r="L42" s="26">
        <v>3</v>
      </c>
      <c r="M42" s="53"/>
      <c r="N42" s="10">
        <v>13.6</v>
      </c>
      <c r="P42" s="10">
        <v>2</v>
      </c>
      <c r="W42" s="10">
        <v>18.7</v>
      </c>
      <c r="Y42" s="10">
        <v>2.2999999999999998</v>
      </c>
      <c r="AD42" s="14">
        <f t="shared" si="4"/>
        <v>1.375</v>
      </c>
      <c r="AE42" s="14">
        <f t="shared" si="5"/>
        <v>1.1499999999999999</v>
      </c>
      <c r="AI42" s="11">
        <f t="shared" si="3"/>
        <v>2.5249999999999999</v>
      </c>
      <c r="AJ42" s="11"/>
      <c r="AK42" s="11"/>
      <c r="AL42"/>
      <c r="AM42"/>
      <c r="AN42"/>
      <c r="AO42"/>
      <c r="AP42"/>
      <c r="AQ42" s="26">
        <v>225</v>
      </c>
      <c r="AR42" s="10" t="s">
        <v>14</v>
      </c>
      <c r="AS42" s="10" t="s">
        <v>3</v>
      </c>
      <c r="AT42" s="26" t="s">
        <v>3</v>
      </c>
      <c r="AU42" s="10" t="s">
        <v>2</v>
      </c>
      <c r="AV42" t="s">
        <v>3</v>
      </c>
    </row>
    <row r="43" spans="1:48" s="10" customFormat="1" x14ac:dyDescent="0.3">
      <c r="A43" s="10" t="s">
        <v>462</v>
      </c>
      <c r="B43" s="26" t="s">
        <v>81</v>
      </c>
      <c r="C43" s="26" t="s">
        <v>82</v>
      </c>
      <c r="D43" s="26" t="s">
        <v>463</v>
      </c>
      <c r="E43" s="10">
        <v>2011</v>
      </c>
      <c r="F43" t="s">
        <v>2661</v>
      </c>
      <c r="G43" s="10" t="s">
        <v>34</v>
      </c>
      <c r="H43" s="10" t="s">
        <v>17</v>
      </c>
      <c r="J43" s="26" t="s">
        <v>85</v>
      </c>
      <c r="K43" s="26">
        <v>3</v>
      </c>
      <c r="L43" s="26">
        <v>3</v>
      </c>
      <c r="M43" s="53"/>
      <c r="N43" s="10">
        <v>13.4</v>
      </c>
      <c r="P43" s="10">
        <v>2.2000000000000002</v>
      </c>
      <c r="W43" s="10">
        <v>15.4</v>
      </c>
      <c r="Y43" s="10">
        <v>3.2</v>
      </c>
      <c r="AD43" s="14">
        <f t="shared" si="4"/>
        <v>1.1492537313432836</v>
      </c>
      <c r="AE43" s="14">
        <f t="shared" si="5"/>
        <v>1.4545454545454546</v>
      </c>
      <c r="AI43" s="11">
        <f t="shared" si="3"/>
        <v>2.6037991858887382</v>
      </c>
      <c r="AJ43" s="11"/>
      <c r="AK43" s="11"/>
      <c r="AL43"/>
      <c r="AM43"/>
      <c r="AN43"/>
      <c r="AO43"/>
      <c r="AP43"/>
      <c r="AQ43" s="26">
        <v>225</v>
      </c>
      <c r="AR43" s="10" t="s">
        <v>14</v>
      </c>
      <c r="AS43" s="10" t="s">
        <v>3</v>
      </c>
      <c r="AT43" s="26" t="s">
        <v>3</v>
      </c>
      <c r="AU43" s="10" t="s">
        <v>2</v>
      </c>
      <c r="AV43" t="s">
        <v>3</v>
      </c>
    </row>
    <row r="44" spans="1:48" s="10" customFormat="1" x14ac:dyDescent="0.3">
      <c r="A44" s="10" t="s">
        <v>462</v>
      </c>
      <c r="B44" s="26" t="s">
        <v>81</v>
      </c>
      <c r="C44" s="26" t="s">
        <v>82</v>
      </c>
      <c r="D44" s="26" t="s">
        <v>463</v>
      </c>
      <c r="E44" s="10">
        <v>2009</v>
      </c>
      <c r="F44" t="s">
        <v>2661</v>
      </c>
      <c r="G44" s="10" t="s">
        <v>34</v>
      </c>
      <c r="H44" s="10" t="s">
        <v>17</v>
      </c>
      <c r="J44" s="26" t="s">
        <v>464</v>
      </c>
      <c r="K44" s="26">
        <v>3</v>
      </c>
      <c r="L44" s="26">
        <v>3</v>
      </c>
      <c r="M44" s="53"/>
      <c r="N44" s="10">
        <v>12.6</v>
      </c>
      <c r="P44" s="10">
        <v>4</v>
      </c>
      <c r="W44" s="10">
        <v>14</v>
      </c>
      <c r="Y44" s="10">
        <v>5.2</v>
      </c>
      <c r="AD44" s="14">
        <f t="shared" si="4"/>
        <v>1.1111111111111112</v>
      </c>
      <c r="AE44" s="14">
        <f t="shared" si="5"/>
        <v>1.3</v>
      </c>
      <c r="AI44" s="11">
        <f t="shared" si="3"/>
        <v>2.4111111111111114</v>
      </c>
      <c r="AJ44" s="11"/>
      <c r="AK44" s="11"/>
      <c r="AL44"/>
      <c r="AM44"/>
      <c r="AN44"/>
      <c r="AO44"/>
      <c r="AP44"/>
      <c r="AQ44" s="26">
        <v>225</v>
      </c>
      <c r="AR44" s="10" t="s">
        <v>14</v>
      </c>
      <c r="AS44" s="10" t="s">
        <v>3</v>
      </c>
      <c r="AT44" s="26" t="s">
        <v>3</v>
      </c>
      <c r="AU44" s="10" t="s">
        <v>2</v>
      </c>
      <c r="AV44" t="s">
        <v>3</v>
      </c>
    </row>
    <row r="45" spans="1:48" s="10" customFormat="1" x14ac:dyDescent="0.3">
      <c r="A45" s="10" t="s">
        <v>462</v>
      </c>
      <c r="B45" s="26" t="s">
        <v>81</v>
      </c>
      <c r="C45" s="26" t="s">
        <v>82</v>
      </c>
      <c r="D45" s="26" t="s">
        <v>463</v>
      </c>
      <c r="E45" s="10">
        <v>2010</v>
      </c>
      <c r="F45" t="s">
        <v>2661</v>
      </c>
      <c r="G45" s="10" t="s">
        <v>34</v>
      </c>
      <c r="H45" s="10" t="s">
        <v>17</v>
      </c>
      <c r="J45" s="26" t="s">
        <v>464</v>
      </c>
      <c r="K45" s="26">
        <v>3</v>
      </c>
      <c r="L45" s="26">
        <v>3</v>
      </c>
      <c r="M45" s="53"/>
      <c r="N45" s="10">
        <v>13.6</v>
      </c>
      <c r="P45" s="10">
        <v>3.2</v>
      </c>
      <c r="W45" s="10">
        <v>19.100000000000001</v>
      </c>
      <c r="Y45" s="10">
        <v>3</v>
      </c>
      <c r="AD45" s="14">
        <f t="shared" si="4"/>
        <v>1.4044117647058825</v>
      </c>
      <c r="AE45" s="14">
        <f t="shared" si="5"/>
        <v>0.9375</v>
      </c>
      <c r="AI45" s="11">
        <f t="shared" si="3"/>
        <v>2.3419117647058822</v>
      </c>
      <c r="AJ45" s="11"/>
      <c r="AK45" s="11"/>
      <c r="AL45"/>
      <c r="AM45"/>
      <c r="AN45"/>
      <c r="AO45"/>
      <c r="AP45"/>
      <c r="AQ45" s="26">
        <v>225</v>
      </c>
      <c r="AR45" s="10" t="s">
        <v>14</v>
      </c>
      <c r="AS45" s="10" t="s">
        <v>3</v>
      </c>
      <c r="AT45" s="26" t="s">
        <v>3</v>
      </c>
      <c r="AU45" s="10" t="s">
        <v>2</v>
      </c>
      <c r="AV45" t="s">
        <v>3</v>
      </c>
    </row>
    <row r="46" spans="1:48" s="10" customFormat="1" x14ac:dyDescent="0.3">
      <c r="A46" s="10" t="s">
        <v>462</v>
      </c>
      <c r="B46" s="26" t="s">
        <v>81</v>
      </c>
      <c r="C46" s="26" t="s">
        <v>82</v>
      </c>
      <c r="D46" s="26" t="s">
        <v>463</v>
      </c>
      <c r="E46" s="10">
        <v>2011</v>
      </c>
      <c r="F46" t="s">
        <v>2661</v>
      </c>
      <c r="G46" s="10" t="s">
        <v>34</v>
      </c>
      <c r="H46" s="10" t="s">
        <v>17</v>
      </c>
      <c r="J46" s="26" t="s">
        <v>464</v>
      </c>
      <c r="K46" s="26">
        <v>3</v>
      </c>
      <c r="L46" s="26">
        <v>3</v>
      </c>
      <c r="M46" s="53"/>
      <c r="N46" s="10">
        <v>13.4</v>
      </c>
      <c r="P46" s="10">
        <v>3</v>
      </c>
      <c r="W46" s="10">
        <v>16.600000000000001</v>
      </c>
      <c r="Y46" s="10">
        <v>4.3</v>
      </c>
      <c r="AD46" s="14">
        <f t="shared" si="4"/>
        <v>1.2388059701492538</v>
      </c>
      <c r="AE46" s="14">
        <f t="shared" si="5"/>
        <v>1.4333333333333333</v>
      </c>
      <c r="AI46" s="11">
        <f t="shared" si="3"/>
        <v>2.6721393034825871</v>
      </c>
      <c r="AJ46" s="11"/>
      <c r="AK46" s="11"/>
      <c r="AL46"/>
      <c r="AM46"/>
      <c r="AN46"/>
      <c r="AO46"/>
      <c r="AP46"/>
      <c r="AQ46" s="26">
        <v>225</v>
      </c>
      <c r="AR46" s="10" t="s">
        <v>14</v>
      </c>
      <c r="AS46" s="10" t="s">
        <v>3</v>
      </c>
      <c r="AT46" s="26" t="s">
        <v>3</v>
      </c>
      <c r="AU46" s="10" t="s">
        <v>2</v>
      </c>
      <c r="AV46" t="s">
        <v>3</v>
      </c>
    </row>
    <row r="47" spans="1:48" s="10" customFormat="1" x14ac:dyDescent="0.3">
      <c r="A47" s="10" t="s">
        <v>462</v>
      </c>
      <c r="B47" s="26" t="s">
        <v>81</v>
      </c>
      <c r="C47" s="26" t="s">
        <v>82</v>
      </c>
      <c r="D47" s="26" t="s">
        <v>463</v>
      </c>
      <c r="E47" s="10">
        <v>2010</v>
      </c>
      <c r="F47" t="s">
        <v>2661</v>
      </c>
      <c r="G47" s="10" t="s">
        <v>34</v>
      </c>
      <c r="H47" s="10" t="s">
        <v>17</v>
      </c>
      <c r="J47" s="26" t="s">
        <v>465</v>
      </c>
      <c r="K47" s="26">
        <v>3</v>
      </c>
      <c r="L47" s="26">
        <v>3</v>
      </c>
      <c r="M47" s="53"/>
      <c r="N47" s="10">
        <v>13.6</v>
      </c>
      <c r="P47" s="10">
        <v>2.9</v>
      </c>
      <c r="W47" s="10">
        <v>18.399999999999999</v>
      </c>
      <c r="Y47" s="10">
        <v>1.9</v>
      </c>
      <c r="AD47" s="14">
        <f t="shared" si="4"/>
        <v>1.3529411764705881</v>
      </c>
      <c r="AE47" s="14">
        <f t="shared" si="5"/>
        <v>0.65517241379310343</v>
      </c>
      <c r="AI47" s="11">
        <f t="shared" si="3"/>
        <v>2.0081135902636915</v>
      </c>
      <c r="AJ47" s="11"/>
      <c r="AK47" s="11"/>
      <c r="AL47"/>
      <c r="AM47"/>
      <c r="AN47"/>
      <c r="AO47"/>
      <c r="AP47"/>
      <c r="AQ47" s="26">
        <v>225</v>
      </c>
      <c r="AR47" s="10" t="s">
        <v>14</v>
      </c>
      <c r="AS47" s="10" t="s">
        <v>3</v>
      </c>
      <c r="AT47" s="26" t="s">
        <v>3</v>
      </c>
      <c r="AU47" s="10" t="s">
        <v>2</v>
      </c>
      <c r="AV47" t="s">
        <v>3</v>
      </c>
    </row>
    <row r="48" spans="1:48" s="10" customFormat="1" x14ac:dyDescent="0.3">
      <c r="A48" s="10" t="s">
        <v>462</v>
      </c>
      <c r="B48" s="26" t="s">
        <v>81</v>
      </c>
      <c r="C48" s="26" t="s">
        <v>82</v>
      </c>
      <c r="D48" s="26" t="s">
        <v>463</v>
      </c>
      <c r="E48" s="10">
        <v>2011</v>
      </c>
      <c r="F48" t="s">
        <v>2661</v>
      </c>
      <c r="G48" s="10" t="s">
        <v>34</v>
      </c>
      <c r="H48" s="10" t="s">
        <v>17</v>
      </c>
      <c r="J48" s="26" t="s">
        <v>465</v>
      </c>
      <c r="K48" s="26">
        <v>3</v>
      </c>
      <c r="L48" s="26">
        <v>3</v>
      </c>
      <c r="M48" s="53"/>
      <c r="N48" s="10">
        <v>13.4</v>
      </c>
      <c r="P48" s="10">
        <v>2.2999999999999998</v>
      </c>
      <c r="W48" s="10">
        <v>18.399999999999999</v>
      </c>
      <c r="Y48" s="10">
        <v>1.9</v>
      </c>
      <c r="AD48" s="14">
        <f t="shared" si="4"/>
        <v>1.3731343283582089</v>
      </c>
      <c r="AE48" s="14">
        <f t="shared" si="5"/>
        <v>0.82608695652173914</v>
      </c>
      <c r="AI48" s="11">
        <f t="shared" si="3"/>
        <v>2.1992212848799482</v>
      </c>
      <c r="AJ48" s="11"/>
      <c r="AK48" s="11"/>
      <c r="AL48"/>
      <c r="AM48"/>
      <c r="AN48"/>
      <c r="AO48"/>
      <c r="AP48"/>
      <c r="AQ48" s="26">
        <v>225</v>
      </c>
      <c r="AR48" s="10" t="s">
        <v>14</v>
      </c>
      <c r="AS48" s="10" t="s">
        <v>3</v>
      </c>
      <c r="AT48" s="26" t="s">
        <v>3</v>
      </c>
      <c r="AU48" s="10" t="s">
        <v>2</v>
      </c>
      <c r="AV48" t="s">
        <v>3</v>
      </c>
    </row>
    <row r="49" spans="1:50" x14ac:dyDescent="0.3">
      <c r="A49" t="s">
        <v>98</v>
      </c>
      <c r="B49" t="s">
        <v>70</v>
      </c>
      <c r="F49" t="s">
        <v>2661</v>
      </c>
      <c r="G49" t="s">
        <v>6</v>
      </c>
      <c r="H49" t="s">
        <v>17</v>
      </c>
      <c r="K49" s="26">
        <v>351</v>
      </c>
      <c r="L49" s="26">
        <v>351</v>
      </c>
      <c r="M49" s="53">
        <v>58</v>
      </c>
      <c r="AI49">
        <v>1.23</v>
      </c>
      <c r="AJ49">
        <v>1.08</v>
      </c>
      <c r="AK49">
        <v>1.41</v>
      </c>
      <c r="AU49" t="s">
        <v>3</v>
      </c>
      <c r="AV49" t="s">
        <v>3</v>
      </c>
    </row>
    <row r="50" spans="1:50" s="26" customFormat="1" x14ac:dyDescent="0.3">
      <c r="A50" s="26" t="s">
        <v>99</v>
      </c>
      <c r="B50" s="26" t="s">
        <v>100</v>
      </c>
      <c r="C50" s="26" t="s">
        <v>101</v>
      </c>
      <c r="D50" s="26" t="s">
        <v>102</v>
      </c>
      <c r="E50" s="26">
        <v>1997</v>
      </c>
      <c r="F50" t="s">
        <v>2661</v>
      </c>
      <c r="G50" s="26" t="s">
        <v>34</v>
      </c>
      <c r="H50" s="26" t="s">
        <v>17</v>
      </c>
      <c r="I50" s="26" t="s">
        <v>104</v>
      </c>
      <c r="J50" s="26" t="s">
        <v>103</v>
      </c>
      <c r="K50" s="26">
        <v>3</v>
      </c>
      <c r="L50" s="26">
        <v>3</v>
      </c>
      <c r="M50" s="53"/>
      <c r="N50" s="26">
        <v>17.798999999999999</v>
      </c>
      <c r="P50" s="26">
        <v>6.7309999999999999</v>
      </c>
      <c r="W50" s="26">
        <v>8.1449999999999996</v>
      </c>
      <c r="Y50" s="26">
        <v>3.2989999999999999</v>
      </c>
      <c r="AD50" s="3">
        <f t="shared" ref="AD50:AD55" si="6">(W50/N50)</f>
        <v>0.45760997808865667</v>
      </c>
      <c r="AE50" s="3">
        <f t="shared" ref="AE50:AE55" si="7">Y50/P50</f>
        <v>0.4901203387312435</v>
      </c>
      <c r="AF50" s="3"/>
      <c r="AG50" s="3"/>
      <c r="AH50" s="3"/>
      <c r="AI50" s="3">
        <f t="shared" ref="AI50:AI55" si="8">AD50+AE50</f>
        <v>0.94773031681990016</v>
      </c>
      <c r="AL50"/>
      <c r="AM50"/>
      <c r="AN50"/>
      <c r="AO50"/>
      <c r="AP50"/>
      <c r="AQ50">
        <v>0</v>
      </c>
      <c r="AR50" t="s">
        <v>308</v>
      </c>
      <c r="AS50" t="s">
        <v>3</v>
      </c>
      <c r="AT50"/>
      <c r="AU50" t="s">
        <v>2</v>
      </c>
      <c r="AV50" t="s">
        <v>3</v>
      </c>
    </row>
    <row r="51" spans="1:50" s="26" customFormat="1" x14ac:dyDescent="0.3">
      <c r="A51" s="26" t="s">
        <v>99</v>
      </c>
      <c r="B51" s="26" t="s">
        <v>100</v>
      </c>
      <c r="C51" s="26" t="s">
        <v>101</v>
      </c>
      <c r="D51" s="26" t="s">
        <v>102</v>
      </c>
      <c r="E51" s="26">
        <v>1997</v>
      </c>
      <c r="F51" t="s">
        <v>2661</v>
      </c>
      <c r="G51" s="26" t="s">
        <v>34</v>
      </c>
      <c r="H51" s="26" t="s">
        <v>17</v>
      </c>
      <c r="I51" s="26" t="s">
        <v>105</v>
      </c>
      <c r="J51" s="26" t="s">
        <v>103</v>
      </c>
      <c r="K51" s="26">
        <v>3</v>
      </c>
      <c r="L51" s="26">
        <v>3</v>
      </c>
      <c r="M51" s="53"/>
      <c r="N51" s="26">
        <v>17.798999999999999</v>
      </c>
      <c r="P51" s="26">
        <v>6.7309999999999999</v>
      </c>
      <c r="W51" s="26">
        <v>4.5709999999999997</v>
      </c>
      <c r="Y51" s="26">
        <v>2.2160000000000002</v>
      </c>
      <c r="AD51" s="3">
        <f t="shared" si="6"/>
        <v>0.25681218045957638</v>
      </c>
      <c r="AE51" s="3">
        <f t="shared" si="7"/>
        <v>0.3292229980686377</v>
      </c>
      <c r="AF51" s="3"/>
      <c r="AG51" s="3"/>
      <c r="AH51" s="3"/>
      <c r="AI51" s="3">
        <f t="shared" si="8"/>
        <v>0.58603517852821407</v>
      </c>
      <c r="AL51"/>
      <c r="AM51"/>
      <c r="AN51"/>
      <c r="AO51"/>
      <c r="AP51"/>
      <c r="AQ51">
        <v>0</v>
      </c>
      <c r="AR51" t="s">
        <v>308</v>
      </c>
      <c r="AS51" t="s">
        <v>3</v>
      </c>
      <c r="AT51"/>
      <c r="AU51" t="s">
        <v>2</v>
      </c>
      <c r="AV51" t="s">
        <v>3</v>
      </c>
    </row>
    <row r="52" spans="1:50" s="26" customFormat="1" x14ac:dyDescent="0.3">
      <c r="A52" s="26" t="s">
        <v>99</v>
      </c>
      <c r="B52" s="26" t="s">
        <v>100</v>
      </c>
      <c r="C52" s="26" t="s">
        <v>101</v>
      </c>
      <c r="D52" s="26" t="s">
        <v>102</v>
      </c>
      <c r="E52" s="26">
        <v>1997</v>
      </c>
      <c r="F52" t="s">
        <v>2661</v>
      </c>
      <c r="G52" s="26" t="s">
        <v>34</v>
      </c>
      <c r="H52" s="26" t="s">
        <v>17</v>
      </c>
      <c r="I52" s="26" t="s">
        <v>106</v>
      </c>
      <c r="J52" s="26" t="s">
        <v>103</v>
      </c>
      <c r="K52" s="26">
        <v>3</v>
      </c>
      <c r="L52" s="26">
        <v>3</v>
      </c>
      <c r="M52" s="53"/>
      <c r="N52" s="26">
        <v>17.798999999999999</v>
      </c>
      <c r="P52" s="26">
        <v>6.7309999999999999</v>
      </c>
      <c r="W52" s="26">
        <v>12.728999999999999</v>
      </c>
      <c r="Y52" s="26">
        <v>5.609</v>
      </c>
      <c r="AD52" s="3">
        <f t="shared" si="6"/>
        <v>0.71515253665936285</v>
      </c>
      <c r="AE52" s="3">
        <f t="shared" si="7"/>
        <v>0.83330857227752198</v>
      </c>
      <c r="AF52" s="3"/>
      <c r="AG52" s="3"/>
      <c r="AH52" s="3"/>
      <c r="AI52" s="3">
        <f t="shared" si="8"/>
        <v>1.5484611089368849</v>
      </c>
      <c r="AL52"/>
      <c r="AM52"/>
      <c r="AN52"/>
      <c r="AO52"/>
      <c r="AP52"/>
      <c r="AQ52">
        <v>0</v>
      </c>
      <c r="AR52" t="s">
        <v>308</v>
      </c>
      <c r="AS52" t="s">
        <v>3</v>
      </c>
      <c r="AT52"/>
      <c r="AU52" t="s">
        <v>2</v>
      </c>
      <c r="AV52" t="s">
        <v>3</v>
      </c>
    </row>
    <row r="53" spans="1:50" x14ac:dyDescent="0.3">
      <c r="A53" t="s">
        <v>99</v>
      </c>
      <c r="B53" t="s">
        <v>100</v>
      </c>
      <c r="C53" t="s">
        <v>101</v>
      </c>
      <c r="D53" t="s">
        <v>102</v>
      </c>
      <c r="E53" s="10">
        <v>1998</v>
      </c>
      <c r="F53" t="s">
        <v>2661</v>
      </c>
      <c r="G53" t="s">
        <v>34</v>
      </c>
      <c r="H53" t="s">
        <v>17</v>
      </c>
      <c r="I53" t="s">
        <v>104</v>
      </c>
      <c r="J53" t="s">
        <v>103</v>
      </c>
      <c r="K53">
        <v>3</v>
      </c>
      <c r="L53">
        <v>3</v>
      </c>
      <c r="N53" s="3">
        <v>14.909000000000001</v>
      </c>
      <c r="O53" s="3"/>
      <c r="P53" s="3">
        <v>7.6</v>
      </c>
      <c r="Q53" s="3"/>
      <c r="R53" s="3"/>
      <c r="S53" s="3"/>
      <c r="T53" s="3"/>
      <c r="U53" s="3"/>
      <c r="V53" s="3"/>
      <c r="W53" s="3">
        <v>6.18</v>
      </c>
      <c r="X53" s="3"/>
      <c r="Y53" s="3">
        <v>3.734</v>
      </c>
      <c r="Z53" s="3"/>
      <c r="AA53" s="3"/>
      <c r="AB53" s="3"/>
      <c r="AC53" s="3"/>
      <c r="AD53" s="3">
        <f t="shared" si="6"/>
        <v>0.41451472265074785</v>
      </c>
      <c r="AE53" s="3">
        <f t="shared" si="7"/>
        <v>0.49131578947368421</v>
      </c>
      <c r="AF53" s="3"/>
      <c r="AG53" s="3"/>
      <c r="AH53" s="3"/>
      <c r="AI53" s="3">
        <f t="shared" si="8"/>
        <v>0.90583051212443211</v>
      </c>
      <c r="AJ53" s="3"/>
      <c r="AK53" s="3"/>
      <c r="AQ53">
        <v>0</v>
      </c>
      <c r="AR53" t="s">
        <v>308</v>
      </c>
      <c r="AS53" t="s">
        <v>3</v>
      </c>
      <c r="AU53" t="s">
        <v>2</v>
      </c>
      <c r="AV53" t="s">
        <v>3</v>
      </c>
    </row>
    <row r="54" spans="1:50" x14ac:dyDescent="0.3">
      <c r="A54" t="s">
        <v>99</v>
      </c>
      <c r="B54" t="s">
        <v>100</v>
      </c>
      <c r="C54" t="s">
        <v>101</v>
      </c>
      <c r="D54" t="s">
        <v>102</v>
      </c>
      <c r="E54" s="10">
        <v>1998</v>
      </c>
      <c r="F54" t="s">
        <v>2661</v>
      </c>
      <c r="G54" t="s">
        <v>34</v>
      </c>
      <c r="H54" t="s">
        <v>17</v>
      </c>
      <c r="I54" t="s">
        <v>105</v>
      </c>
      <c r="J54" t="s">
        <v>103</v>
      </c>
      <c r="K54">
        <v>3</v>
      </c>
      <c r="L54">
        <v>3</v>
      </c>
      <c r="N54" s="3">
        <v>14.909000000000001</v>
      </c>
      <c r="O54" s="3"/>
      <c r="P54" s="3">
        <v>7.6</v>
      </c>
      <c r="Q54" s="3"/>
      <c r="R54" s="3"/>
      <c r="S54" s="3"/>
      <c r="T54" s="3"/>
      <c r="U54" s="3"/>
      <c r="V54" s="3"/>
      <c r="W54" s="3">
        <v>3.742</v>
      </c>
      <c r="X54" s="3"/>
      <c r="Y54" s="3">
        <v>2.3969999999999998</v>
      </c>
      <c r="Z54" s="3"/>
      <c r="AA54" s="3"/>
      <c r="AB54" s="3"/>
      <c r="AC54" s="3"/>
      <c r="AD54" s="3">
        <f t="shared" si="6"/>
        <v>0.25098933530082501</v>
      </c>
      <c r="AE54" s="3">
        <f t="shared" si="7"/>
        <v>0.31539473684210523</v>
      </c>
      <c r="AF54" s="3"/>
      <c r="AG54" s="3"/>
      <c r="AH54" s="3"/>
      <c r="AI54" s="3">
        <f t="shared" si="8"/>
        <v>0.56638407214293029</v>
      </c>
      <c r="AJ54" s="3"/>
      <c r="AK54" s="3"/>
      <c r="AQ54">
        <v>0</v>
      </c>
      <c r="AR54" t="s">
        <v>308</v>
      </c>
      <c r="AS54" t="s">
        <v>3</v>
      </c>
      <c r="AU54" t="s">
        <v>2</v>
      </c>
      <c r="AV54" t="s">
        <v>3</v>
      </c>
    </row>
    <row r="55" spans="1:50" x14ac:dyDescent="0.3">
      <c r="A55" t="s">
        <v>99</v>
      </c>
      <c r="B55" t="s">
        <v>100</v>
      </c>
      <c r="C55" t="s">
        <v>101</v>
      </c>
      <c r="D55" t="s">
        <v>102</v>
      </c>
      <c r="E55" s="10">
        <v>1998</v>
      </c>
      <c r="F55" t="s">
        <v>2661</v>
      </c>
      <c r="G55" t="s">
        <v>34</v>
      </c>
      <c r="H55" t="s">
        <v>17</v>
      </c>
      <c r="I55" t="s">
        <v>106</v>
      </c>
      <c r="J55" t="s">
        <v>103</v>
      </c>
      <c r="K55">
        <v>3</v>
      </c>
      <c r="L55">
        <v>3</v>
      </c>
      <c r="N55" s="3">
        <v>14.909000000000001</v>
      </c>
      <c r="O55" s="3"/>
      <c r="P55" s="3">
        <v>7.6</v>
      </c>
      <c r="Q55" s="3"/>
      <c r="R55" s="3"/>
      <c r="S55" s="3"/>
      <c r="T55" s="3"/>
      <c r="U55" s="3"/>
      <c r="V55" s="3"/>
      <c r="W55" s="3">
        <v>10.461</v>
      </c>
      <c r="X55" s="3"/>
      <c r="Y55" s="3">
        <v>5.2949999999999999</v>
      </c>
      <c r="Z55" s="3"/>
      <c r="AA55" s="3"/>
      <c r="AB55" s="3"/>
      <c r="AC55" s="3"/>
      <c r="AD55" s="3">
        <f t="shared" si="6"/>
        <v>0.70165671741900859</v>
      </c>
      <c r="AE55" s="3">
        <f t="shared" si="7"/>
        <v>0.69671052631578945</v>
      </c>
      <c r="AF55" s="3"/>
      <c r="AG55" s="3"/>
      <c r="AH55" s="3"/>
      <c r="AI55" s="3">
        <f t="shared" si="8"/>
        <v>1.398367243734798</v>
      </c>
      <c r="AJ55" s="3"/>
      <c r="AK55" s="3"/>
      <c r="AQ55">
        <v>0</v>
      </c>
      <c r="AR55" t="s">
        <v>308</v>
      </c>
      <c r="AS55" t="s">
        <v>3</v>
      </c>
      <c r="AU55" t="s">
        <v>2</v>
      </c>
      <c r="AV55" t="s">
        <v>3</v>
      </c>
    </row>
    <row r="56" spans="1:50" s="12" customFormat="1" x14ac:dyDescent="0.3">
      <c r="A56" s="10" t="s">
        <v>115</v>
      </c>
      <c r="B56" s="10" t="s">
        <v>116</v>
      </c>
      <c r="C56" s="10" t="s">
        <v>117</v>
      </c>
      <c r="D56" s="10" t="s">
        <v>118</v>
      </c>
      <c r="E56" s="10"/>
      <c r="F56" t="s">
        <v>2661</v>
      </c>
      <c r="G56" s="10" t="s">
        <v>34</v>
      </c>
      <c r="H56" s="10" t="s">
        <v>17</v>
      </c>
      <c r="I56" s="10" t="s">
        <v>900</v>
      </c>
      <c r="J56" s="10" t="s">
        <v>119</v>
      </c>
      <c r="K56" s="10">
        <v>3</v>
      </c>
      <c r="L56" s="10">
        <v>3</v>
      </c>
      <c r="M56" s="53"/>
      <c r="N56" s="14">
        <f>(74*10000/144)/1000</f>
        <v>5.1388888888888884</v>
      </c>
      <c r="O56" s="14">
        <f>(11*10000/144)/1000</f>
        <v>0.76388888888888895</v>
      </c>
      <c r="P56" s="10"/>
      <c r="Q56" s="10"/>
      <c r="R56" s="10"/>
      <c r="S56" s="10"/>
      <c r="T56" s="10"/>
      <c r="U56" s="10"/>
      <c r="V56" s="10"/>
      <c r="W56" s="14">
        <f>(69*10000/144)/1000</f>
        <v>4.791666666666667</v>
      </c>
      <c r="X56" s="14">
        <f>(4.5*10000/144)/1000</f>
        <v>0.3125</v>
      </c>
      <c r="Y56" s="10"/>
      <c r="Z56" s="10"/>
      <c r="AA56" s="10"/>
      <c r="AB56" s="10"/>
      <c r="AC56" s="10"/>
      <c r="AD56" s="14">
        <f t="shared" ref="AD56:AD87" si="9">W56/N56</f>
        <v>0.93243243243243257</v>
      </c>
      <c r="AE56" s="10"/>
      <c r="AF56" s="10"/>
      <c r="AG56" s="10"/>
      <c r="AH56" s="10"/>
      <c r="AI56" s="14">
        <f>AD56</f>
        <v>0.93243243243243257</v>
      </c>
      <c r="AJ56" s="10"/>
      <c r="AK56" s="10"/>
      <c r="AL56" s="10">
        <f>(((X56*SQRT(L56))^2)/(N56^2))+((O56*SQRT(K56))^2)*(W56^2)/(N56^4)</f>
        <v>6.8727753378711898E-2</v>
      </c>
      <c r="AM56" s="10"/>
      <c r="AN56" s="10"/>
      <c r="AO56" s="10">
        <f t="shared" ref="AO56:AO57" si="10">AL56+AM56+AN56</f>
        <v>6.8727753378711898E-2</v>
      </c>
      <c r="AP56" s="10">
        <f>SQRT(AO56)/AI56</f>
        <v>0.28115687190755528</v>
      </c>
      <c r="AQ56" s="10"/>
      <c r="AR56" s="10"/>
      <c r="AS56" s="10"/>
      <c r="AT56" s="10"/>
      <c r="AU56" s="10" t="s">
        <v>2</v>
      </c>
      <c r="AV56" s="10" t="s">
        <v>2023</v>
      </c>
      <c r="AW56" s="10" t="s">
        <v>2397</v>
      </c>
      <c r="AX56" s="10"/>
    </row>
    <row r="57" spans="1:50" s="12" customFormat="1" x14ac:dyDescent="0.3">
      <c r="A57" s="10" t="s">
        <v>115</v>
      </c>
      <c r="B57" s="10" t="s">
        <v>116</v>
      </c>
      <c r="C57" s="10" t="s">
        <v>117</v>
      </c>
      <c r="D57" s="10" t="s">
        <v>118</v>
      </c>
      <c r="E57" s="10"/>
      <c r="F57" t="s">
        <v>2661</v>
      </c>
      <c r="G57" s="10" t="s">
        <v>34</v>
      </c>
      <c r="H57" s="10" t="s">
        <v>17</v>
      </c>
      <c r="I57" s="10" t="s">
        <v>900</v>
      </c>
      <c r="J57" s="10" t="s">
        <v>120</v>
      </c>
      <c r="K57" s="10">
        <v>3</v>
      </c>
      <c r="L57" s="10">
        <v>3</v>
      </c>
      <c r="M57" s="53"/>
      <c r="N57" s="14">
        <f>(74*10000/144)/1000</f>
        <v>5.1388888888888884</v>
      </c>
      <c r="O57" s="14">
        <f>(11*10000/144)/1000</f>
        <v>0.76388888888888895</v>
      </c>
      <c r="P57" s="10"/>
      <c r="Q57" s="10"/>
      <c r="R57" s="10"/>
      <c r="S57" s="10"/>
      <c r="T57" s="10"/>
      <c r="U57" s="10"/>
      <c r="V57" s="10"/>
      <c r="W57" s="14">
        <f>(66*10000/144)/1000</f>
        <v>4.583333333333333</v>
      </c>
      <c r="X57" s="14">
        <f>(3*10/144)</f>
        <v>0.20833333333333334</v>
      </c>
      <c r="Y57" s="10"/>
      <c r="Z57" s="10"/>
      <c r="AA57" s="10"/>
      <c r="AB57" s="10"/>
      <c r="AC57" s="10"/>
      <c r="AD57" s="14">
        <f t="shared" si="9"/>
        <v>0.89189189189189189</v>
      </c>
      <c r="AE57" s="10"/>
      <c r="AF57" s="10"/>
      <c r="AG57" s="10"/>
      <c r="AH57" s="10"/>
      <c r="AI57" s="14">
        <f>AD57</f>
        <v>0.89189189189189189</v>
      </c>
      <c r="AJ57" s="10"/>
      <c r="AK57" s="10"/>
      <c r="AL57" s="10">
        <f>(((X57*SQRT(L57))^2)/(N57^2))+((O57*SQRT(K57))^2)*(W57^2)/(N57^4)</f>
        <v>5.7661801734216027E-2</v>
      </c>
      <c r="AM57" s="10"/>
      <c r="AN57" s="10"/>
      <c r="AO57" s="10">
        <f t="shared" si="10"/>
        <v>5.7661801734216027E-2</v>
      </c>
      <c r="AP57" s="10">
        <f>SQRT(AO57)/AI57</f>
        <v>0.26923523050047932</v>
      </c>
      <c r="AQ57" s="10"/>
      <c r="AR57" s="10"/>
      <c r="AS57" s="10"/>
      <c r="AT57" s="10"/>
      <c r="AU57" s="10" t="s">
        <v>2</v>
      </c>
      <c r="AV57" s="10" t="s">
        <v>2023</v>
      </c>
      <c r="AW57" s="10" t="s">
        <v>2397</v>
      </c>
      <c r="AX57" s="10"/>
    </row>
    <row r="58" spans="1:50" x14ac:dyDescent="0.3">
      <c r="A58" t="s">
        <v>122</v>
      </c>
      <c r="B58" t="s">
        <v>123</v>
      </c>
      <c r="C58" t="s">
        <v>124</v>
      </c>
      <c r="D58" s="4" t="s">
        <v>125</v>
      </c>
      <c r="E58">
        <v>2000</v>
      </c>
      <c r="F58" t="s">
        <v>2661</v>
      </c>
      <c r="G58" t="s">
        <v>34</v>
      </c>
      <c r="H58" t="s">
        <v>17</v>
      </c>
      <c r="J58" t="s">
        <v>126</v>
      </c>
      <c r="K58">
        <v>3</v>
      </c>
      <c r="L58">
        <v>3</v>
      </c>
      <c r="N58" s="3">
        <v>12.5</v>
      </c>
      <c r="O58" s="3"/>
      <c r="P58" s="3">
        <v>7.14</v>
      </c>
      <c r="Q58" s="3"/>
      <c r="R58" s="3"/>
      <c r="S58" s="3"/>
      <c r="T58" s="3"/>
      <c r="U58" s="3"/>
      <c r="W58" s="3">
        <v>12.1</v>
      </c>
      <c r="X58" s="3"/>
      <c r="Y58" s="3">
        <v>1.82</v>
      </c>
      <c r="Z58" s="3"/>
      <c r="AA58" s="3"/>
      <c r="AB58" s="3"/>
      <c r="AC58" s="3"/>
      <c r="AD58" s="3">
        <f t="shared" si="9"/>
        <v>0.96799999999999997</v>
      </c>
      <c r="AE58" s="3">
        <f t="shared" ref="AE58:AE72" si="11">Y58/P58</f>
        <v>0.25490196078431376</v>
      </c>
      <c r="AF58" s="3"/>
      <c r="AG58" s="3"/>
      <c r="AH58" s="3"/>
      <c r="AI58" s="3">
        <f t="shared" ref="AI58:AI113" si="12">AD58+AE58</f>
        <v>1.2229019607843137</v>
      </c>
      <c r="AJ58" s="3"/>
      <c r="AK58" s="3"/>
      <c r="AQ58" t="s">
        <v>121</v>
      </c>
      <c r="AR58" t="s">
        <v>2037</v>
      </c>
      <c r="AS58" t="s">
        <v>3</v>
      </c>
      <c r="AT58" t="s">
        <v>3</v>
      </c>
      <c r="AU58" t="s">
        <v>2</v>
      </c>
      <c r="AV58" t="s">
        <v>3</v>
      </c>
    </row>
    <row r="59" spans="1:50" x14ac:dyDescent="0.3">
      <c r="A59" t="s">
        <v>122</v>
      </c>
      <c r="B59" t="s">
        <v>123</v>
      </c>
      <c r="C59" t="s">
        <v>124</v>
      </c>
      <c r="D59" s="4" t="s">
        <v>125</v>
      </c>
      <c r="E59">
        <v>2000</v>
      </c>
      <c r="F59" t="s">
        <v>2661</v>
      </c>
      <c r="G59" t="s">
        <v>34</v>
      </c>
      <c r="H59" t="s">
        <v>17</v>
      </c>
      <c r="J59" t="s">
        <v>127</v>
      </c>
      <c r="K59">
        <v>3</v>
      </c>
      <c r="L59">
        <v>3</v>
      </c>
      <c r="N59" s="3">
        <v>12.5</v>
      </c>
      <c r="O59" s="3"/>
      <c r="P59" s="3">
        <v>1.2</v>
      </c>
      <c r="Q59" s="3"/>
      <c r="R59" s="3"/>
      <c r="S59" s="3"/>
      <c r="T59" s="3"/>
      <c r="U59" s="3"/>
      <c r="W59" s="3">
        <v>12.6</v>
      </c>
      <c r="X59" s="3"/>
      <c r="Y59" s="3">
        <v>0.4</v>
      </c>
      <c r="Z59" s="3"/>
      <c r="AA59" s="3"/>
      <c r="AB59" s="3"/>
      <c r="AC59" s="3"/>
      <c r="AD59" s="3">
        <f t="shared" si="9"/>
        <v>1.008</v>
      </c>
      <c r="AE59" s="3">
        <f t="shared" si="11"/>
        <v>0.33333333333333337</v>
      </c>
      <c r="AF59" s="3"/>
      <c r="AG59" s="3"/>
      <c r="AH59" s="3"/>
      <c r="AI59" s="3">
        <f t="shared" si="12"/>
        <v>1.3413333333333335</v>
      </c>
      <c r="AJ59" s="3"/>
      <c r="AK59" s="3"/>
      <c r="AQ59" t="s">
        <v>121</v>
      </c>
      <c r="AR59" t="s">
        <v>2037</v>
      </c>
      <c r="AS59" t="s">
        <v>3</v>
      </c>
      <c r="AT59" t="s">
        <v>3</v>
      </c>
      <c r="AU59" t="s">
        <v>2</v>
      </c>
      <c r="AV59" t="s">
        <v>3</v>
      </c>
    </row>
    <row r="60" spans="1:50" x14ac:dyDescent="0.3">
      <c r="A60" t="s">
        <v>122</v>
      </c>
      <c r="B60" t="s">
        <v>123</v>
      </c>
      <c r="C60" t="s">
        <v>124</v>
      </c>
      <c r="D60" s="4" t="s">
        <v>125</v>
      </c>
      <c r="E60">
        <v>2000</v>
      </c>
      <c r="F60" t="s">
        <v>2661</v>
      </c>
      <c r="G60" t="s">
        <v>34</v>
      </c>
      <c r="H60" t="s">
        <v>17</v>
      </c>
      <c r="J60" t="s">
        <v>128</v>
      </c>
      <c r="K60">
        <v>3</v>
      </c>
      <c r="L60">
        <v>3</v>
      </c>
      <c r="N60" s="3">
        <v>12.5</v>
      </c>
      <c r="O60" s="3"/>
      <c r="P60" s="3">
        <v>3.62</v>
      </c>
      <c r="Q60" s="3"/>
      <c r="R60" s="3"/>
      <c r="S60" s="3"/>
      <c r="T60" s="3"/>
      <c r="U60" s="3"/>
      <c r="W60" s="3">
        <v>12.3</v>
      </c>
      <c r="X60" s="3"/>
      <c r="Y60" s="3">
        <v>0.63</v>
      </c>
      <c r="Z60" s="3"/>
      <c r="AA60" s="3"/>
      <c r="AB60" s="3"/>
      <c r="AC60" s="3"/>
      <c r="AD60" s="3">
        <f t="shared" si="9"/>
        <v>0.9840000000000001</v>
      </c>
      <c r="AE60" s="3">
        <f t="shared" si="11"/>
        <v>0.17403314917127072</v>
      </c>
      <c r="AF60" s="3"/>
      <c r="AG60" s="3"/>
      <c r="AH60" s="3"/>
      <c r="AI60" s="3">
        <f t="shared" si="12"/>
        <v>1.1580331491712708</v>
      </c>
      <c r="AJ60" s="3"/>
      <c r="AK60" s="3"/>
      <c r="AQ60" t="s">
        <v>121</v>
      </c>
      <c r="AR60" t="s">
        <v>2037</v>
      </c>
      <c r="AS60" t="s">
        <v>3</v>
      </c>
      <c r="AT60" t="s">
        <v>3</v>
      </c>
      <c r="AU60" t="s">
        <v>2</v>
      </c>
      <c r="AV60" t="s">
        <v>3</v>
      </c>
    </row>
    <row r="61" spans="1:50" x14ac:dyDescent="0.3">
      <c r="A61" t="s">
        <v>122</v>
      </c>
      <c r="B61" t="s">
        <v>123</v>
      </c>
      <c r="C61" t="s">
        <v>124</v>
      </c>
      <c r="D61" s="4" t="s">
        <v>125</v>
      </c>
      <c r="E61">
        <v>2000</v>
      </c>
      <c r="F61" t="s">
        <v>2661</v>
      </c>
      <c r="G61" t="s">
        <v>34</v>
      </c>
      <c r="H61" t="s">
        <v>17</v>
      </c>
      <c r="J61" t="s">
        <v>129</v>
      </c>
      <c r="K61">
        <v>3</v>
      </c>
      <c r="L61">
        <v>3</v>
      </c>
      <c r="N61" s="3">
        <v>12.5</v>
      </c>
      <c r="O61" s="3"/>
      <c r="P61" s="3">
        <v>2.77</v>
      </c>
      <c r="Q61" s="3"/>
      <c r="R61" s="3"/>
      <c r="S61" s="3"/>
      <c r="T61" s="3"/>
      <c r="U61" s="3"/>
      <c r="W61" s="3">
        <v>11.4</v>
      </c>
      <c r="X61" s="3"/>
      <c r="Y61" s="3">
        <v>0.43</v>
      </c>
      <c r="Z61" s="3"/>
      <c r="AA61" s="3"/>
      <c r="AB61" s="3"/>
      <c r="AC61" s="3"/>
      <c r="AD61" s="3">
        <f t="shared" si="9"/>
        <v>0.91200000000000003</v>
      </c>
      <c r="AE61" s="3">
        <f t="shared" si="11"/>
        <v>0.15523465703971118</v>
      </c>
      <c r="AF61" s="3"/>
      <c r="AG61" s="3"/>
      <c r="AH61" s="3"/>
      <c r="AI61" s="3">
        <f t="shared" si="12"/>
        <v>1.0672346570397111</v>
      </c>
      <c r="AJ61" s="3"/>
      <c r="AK61" s="3"/>
      <c r="AQ61" t="s">
        <v>121</v>
      </c>
      <c r="AR61" t="s">
        <v>2037</v>
      </c>
      <c r="AS61" t="s">
        <v>3</v>
      </c>
      <c r="AT61" t="s">
        <v>3</v>
      </c>
      <c r="AU61" t="s">
        <v>2</v>
      </c>
      <c r="AV61" t="s">
        <v>3</v>
      </c>
    </row>
    <row r="62" spans="1:50" x14ac:dyDescent="0.3">
      <c r="A62" t="s">
        <v>122</v>
      </c>
      <c r="B62" t="s">
        <v>123</v>
      </c>
      <c r="C62" t="s">
        <v>124</v>
      </c>
      <c r="D62" s="4" t="s">
        <v>125</v>
      </c>
      <c r="E62">
        <v>2000</v>
      </c>
      <c r="F62" t="s">
        <v>2661</v>
      </c>
      <c r="G62" t="s">
        <v>34</v>
      </c>
      <c r="H62" t="s">
        <v>17</v>
      </c>
      <c r="J62" t="s">
        <v>130</v>
      </c>
      <c r="K62">
        <v>3</v>
      </c>
      <c r="L62">
        <v>3</v>
      </c>
      <c r="N62" s="3">
        <v>12.5</v>
      </c>
      <c r="O62" s="3"/>
      <c r="P62" s="3">
        <v>2.48</v>
      </c>
      <c r="Q62" s="3"/>
      <c r="R62" s="3"/>
      <c r="S62" s="3"/>
      <c r="T62" s="3"/>
      <c r="U62" s="3"/>
      <c r="W62" s="3">
        <v>12.5</v>
      </c>
      <c r="X62" s="3"/>
      <c r="Y62" s="3">
        <v>0.69</v>
      </c>
      <c r="Z62" s="3"/>
      <c r="AA62" s="3"/>
      <c r="AB62" s="3"/>
      <c r="AC62" s="3"/>
      <c r="AD62" s="3">
        <f t="shared" si="9"/>
        <v>1</v>
      </c>
      <c r="AE62" s="3">
        <f t="shared" si="11"/>
        <v>0.27822580645161288</v>
      </c>
      <c r="AF62" s="3"/>
      <c r="AG62" s="3"/>
      <c r="AH62" s="3"/>
      <c r="AI62" s="3">
        <f t="shared" si="12"/>
        <v>1.278225806451613</v>
      </c>
      <c r="AJ62" s="3"/>
      <c r="AK62" s="3"/>
      <c r="AQ62" t="s">
        <v>121</v>
      </c>
      <c r="AR62" t="s">
        <v>2037</v>
      </c>
      <c r="AS62" t="s">
        <v>3</v>
      </c>
      <c r="AT62" t="s">
        <v>3</v>
      </c>
      <c r="AU62" t="s">
        <v>2</v>
      </c>
      <c r="AV62" t="s">
        <v>3</v>
      </c>
    </row>
    <row r="63" spans="1:50" x14ac:dyDescent="0.3">
      <c r="A63" t="s">
        <v>122</v>
      </c>
      <c r="B63" t="s">
        <v>123</v>
      </c>
      <c r="C63" t="s">
        <v>124</v>
      </c>
      <c r="D63" s="4" t="s">
        <v>125</v>
      </c>
      <c r="E63">
        <v>2001</v>
      </c>
      <c r="F63" t="s">
        <v>2661</v>
      </c>
      <c r="G63" t="s">
        <v>34</v>
      </c>
      <c r="H63" t="s">
        <v>17</v>
      </c>
      <c r="J63" t="s">
        <v>126</v>
      </c>
      <c r="K63">
        <v>3</v>
      </c>
      <c r="L63">
        <v>3</v>
      </c>
      <c r="N63" s="3">
        <v>12.6</v>
      </c>
      <c r="O63" s="3"/>
      <c r="P63" s="3">
        <v>7.27</v>
      </c>
      <c r="Q63" s="3"/>
      <c r="R63" s="3"/>
      <c r="S63" s="3"/>
      <c r="T63" s="3"/>
      <c r="U63" s="3"/>
      <c r="W63" s="3">
        <v>12.5</v>
      </c>
      <c r="X63" s="3"/>
      <c r="Y63" s="3">
        <v>2.0299999999999998</v>
      </c>
      <c r="Z63" s="3"/>
      <c r="AA63" s="3"/>
      <c r="AB63" s="3"/>
      <c r="AC63" s="3"/>
      <c r="AD63" s="3">
        <f t="shared" si="9"/>
        <v>0.99206349206349209</v>
      </c>
      <c r="AE63" s="3">
        <f t="shared" si="11"/>
        <v>0.27922971114167811</v>
      </c>
      <c r="AF63" s="3"/>
      <c r="AG63" s="3"/>
      <c r="AH63" s="3"/>
      <c r="AI63" s="3">
        <f t="shared" si="12"/>
        <v>1.2712932032051703</v>
      </c>
      <c r="AJ63" s="3"/>
      <c r="AK63" s="3"/>
      <c r="AQ63" t="s">
        <v>121</v>
      </c>
      <c r="AR63" t="s">
        <v>2037</v>
      </c>
      <c r="AS63" t="s">
        <v>3</v>
      </c>
      <c r="AT63" t="s">
        <v>3</v>
      </c>
      <c r="AU63" t="s">
        <v>2</v>
      </c>
      <c r="AV63" t="s">
        <v>3</v>
      </c>
    </row>
    <row r="64" spans="1:50" x14ac:dyDescent="0.3">
      <c r="A64" t="s">
        <v>122</v>
      </c>
      <c r="B64" t="s">
        <v>123</v>
      </c>
      <c r="C64" t="s">
        <v>124</v>
      </c>
      <c r="D64" s="4" t="s">
        <v>125</v>
      </c>
      <c r="E64">
        <v>2001</v>
      </c>
      <c r="F64" t="s">
        <v>2661</v>
      </c>
      <c r="G64" t="s">
        <v>34</v>
      </c>
      <c r="H64" t="s">
        <v>17</v>
      </c>
      <c r="J64" t="s">
        <v>127</v>
      </c>
      <c r="K64">
        <v>3</v>
      </c>
      <c r="L64">
        <v>3</v>
      </c>
      <c r="N64" s="3">
        <v>12.6</v>
      </c>
      <c r="O64" s="3"/>
      <c r="P64" s="3">
        <v>1.25</v>
      </c>
      <c r="Q64" s="3"/>
      <c r="R64" s="3"/>
      <c r="S64" s="3"/>
      <c r="T64" s="3"/>
      <c r="U64" s="3"/>
      <c r="W64" s="3">
        <v>12.6</v>
      </c>
      <c r="X64" s="3"/>
      <c r="Y64" s="3">
        <v>0.43</v>
      </c>
      <c r="Z64" s="3"/>
      <c r="AA64" s="3"/>
      <c r="AB64" s="3"/>
      <c r="AC64" s="3"/>
      <c r="AD64" s="3">
        <f t="shared" si="9"/>
        <v>1</v>
      </c>
      <c r="AE64" s="3">
        <f t="shared" si="11"/>
        <v>0.34399999999999997</v>
      </c>
      <c r="AF64" s="3"/>
      <c r="AG64" s="3"/>
      <c r="AH64" s="3"/>
      <c r="AI64" s="3">
        <f t="shared" si="12"/>
        <v>1.3439999999999999</v>
      </c>
      <c r="AJ64" s="3"/>
      <c r="AK64" s="3"/>
      <c r="AQ64" t="s">
        <v>121</v>
      </c>
      <c r="AR64" t="s">
        <v>2037</v>
      </c>
      <c r="AS64" t="s">
        <v>3</v>
      </c>
      <c r="AT64" t="s">
        <v>3</v>
      </c>
      <c r="AU64" t="s">
        <v>2</v>
      </c>
      <c r="AV64" t="s">
        <v>3</v>
      </c>
    </row>
    <row r="65" spans="1:49" x14ac:dyDescent="0.3">
      <c r="A65" t="s">
        <v>122</v>
      </c>
      <c r="B65" t="s">
        <v>123</v>
      </c>
      <c r="C65" t="s">
        <v>124</v>
      </c>
      <c r="D65" s="4" t="s">
        <v>125</v>
      </c>
      <c r="E65">
        <v>2001</v>
      </c>
      <c r="F65" t="s">
        <v>2661</v>
      </c>
      <c r="G65" t="s">
        <v>34</v>
      </c>
      <c r="H65" t="s">
        <v>17</v>
      </c>
      <c r="J65" t="s">
        <v>128</v>
      </c>
      <c r="K65">
        <v>3</v>
      </c>
      <c r="L65">
        <v>3</v>
      </c>
      <c r="N65" s="3">
        <v>12.6</v>
      </c>
      <c r="O65" s="3"/>
      <c r="P65" s="3">
        <v>3.94</v>
      </c>
      <c r="Q65" s="3"/>
      <c r="R65" s="3"/>
      <c r="S65" s="3"/>
      <c r="T65" s="3"/>
      <c r="U65" s="3"/>
      <c r="W65" s="3">
        <v>12.6</v>
      </c>
      <c r="X65" s="3"/>
      <c r="Y65" s="3">
        <v>0.78</v>
      </c>
      <c r="Z65" s="3"/>
      <c r="AA65" s="3"/>
      <c r="AB65" s="3"/>
      <c r="AC65" s="3"/>
      <c r="AD65" s="3">
        <f t="shared" si="9"/>
        <v>1</v>
      </c>
      <c r="AE65" s="3">
        <f t="shared" si="11"/>
        <v>0.19796954314720813</v>
      </c>
      <c r="AF65" s="3"/>
      <c r="AG65" s="3"/>
      <c r="AH65" s="3"/>
      <c r="AI65" s="3">
        <f t="shared" si="12"/>
        <v>1.1979695431472082</v>
      </c>
      <c r="AJ65" s="3"/>
      <c r="AK65" s="3"/>
      <c r="AQ65" t="s">
        <v>121</v>
      </c>
      <c r="AR65" t="s">
        <v>2037</v>
      </c>
      <c r="AS65" t="s">
        <v>3</v>
      </c>
      <c r="AT65" t="s">
        <v>3</v>
      </c>
      <c r="AU65" t="s">
        <v>2</v>
      </c>
      <c r="AV65" t="s">
        <v>3</v>
      </c>
    </row>
    <row r="66" spans="1:49" x14ac:dyDescent="0.3">
      <c r="A66" t="s">
        <v>122</v>
      </c>
      <c r="B66" t="s">
        <v>123</v>
      </c>
      <c r="C66" t="s">
        <v>124</v>
      </c>
      <c r="D66" s="4" t="s">
        <v>125</v>
      </c>
      <c r="E66">
        <v>2001</v>
      </c>
      <c r="F66" t="s">
        <v>2661</v>
      </c>
      <c r="G66" t="s">
        <v>34</v>
      </c>
      <c r="H66" t="s">
        <v>17</v>
      </c>
      <c r="J66" t="s">
        <v>129</v>
      </c>
      <c r="K66">
        <v>3</v>
      </c>
      <c r="L66">
        <v>3</v>
      </c>
      <c r="N66" s="3">
        <v>12.6</v>
      </c>
      <c r="O66" s="3"/>
      <c r="P66" s="3">
        <v>3.11</v>
      </c>
      <c r="Q66" s="3"/>
      <c r="R66" s="3"/>
      <c r="S66" s="3"/>
      <c r="T66" s="3"/>
      <c r="U66" s="3"/>
      <c r="W66" s="3">
        <v>12.1</v>
      </c>
      <c r="X66" s="3"/>
      <c r="Y66" s="3">
        <v>0.5</v>
      </c>
      <c r="Z66" s="3"/>
      <c r="AA66" s="3"/>
      <c r="AB66" s="3"/>
      <c r="AC66" s="3"/>
      <c r="AD66" s="3">
        <f t="shared" si="9"/>
        <v>0.96031746031746035</v>
      </c>
      <c r="AE66" s="3">
        <f t="shared" si="11"/>
        <v>0.16077170418006431</v>
      </c>
      <c r="AF66" s="3"/>
      <c r="AG66" s="3"/>
      <c r="AH66" s="3"/>
      <c r="AI66" s="3">
        <f t="shared" si="12"/>
        <v>1.1210891644975247</v>
      </c>
      <c r="AJ66" s="3"/>
      <c r="AK66" s="3"/>
      <c r="AQ66" t="s">
        <v>121</v>
      </c>
      <c r="AR66" t="s">
        <v>2037</v>
      </c>
      <c r="AS66" t="s">
        <v>3</v>
      </c>
      <c r="AT66" t="s">
        <v>3</v>
      </c>
      <c r="AU66" t="s">
        <v>2</v>
      </c>
      <c r="AV66" t="s">
        <v>3</v>
      </c>
    </row>
    <row r="67" spans="1:49" x14ac:dyDescent="0.3">
      <c r="A67" t="s">
        <v>122</v>
      </c>
      <c r="B67" t="s">
        <v>123</v>
      </c>
      <c r="C67" t="s">
        <v>124</v>
      </c>
      <c r="D67" s="4" t="s">
        <v>125</v>
      </c>
      <c r="E67">
        <v>2001</v>
      </c>
      <c r="F67" t="s">
        <v>2661</v>
      </c>
      <c r="G67" t="s">
        <v>34</v>
      </c>
      <c r="H67" t="s">
        <v>17</v>
      </c>
      <c r="J67" t="s">
        <v>130</v>
      </c>
      <c r="K67">
        <v>3</v>
      </c>
      <c r="L67">
        <v>3</v>
      </c>
      <c r="N67" s="3">
        <v>12.6</v>
      </c>
      <c r="O67" s="3"/>
      <c r="P67" s="3">
        <v>2.74</v>
      </c>
      <c r="Q67" s="3"/>
      <c r="R67" s="3"/>
      <c r="S67" s="3"/>
      <c r="T67" s="3"/>
      <c r="U67" s="3"/>
      <c r="W67" s="3">
        <v>12.6</v>
      </c>
      <c r="X67" s="3"/>
      <c r="Y67" s="3">
        <v>0.77</v>
      </c>
      <c r="Z67" s="3"/>
      <c r="AA67" s="3"/>
      <c r="AB67" s="3"/>
      <c r="AC67" s="3"/>
      <c r="AD67" s="3">
        <f t="shared" si="9"/>
        <v>1</v>
      </c>
      <c r="AE67" s="3">
        <f t="shared" si="11"/>
        <v>0.28102189781021897</v>
      </c>
      <c r="AF67" s="3"/>
      <c r="AG67" s="3"/>
      <c r="AH67" s="3"/>
      <c r="AI67" s="3">
        <f t="shared" si="12"/>
        <v>1.281021897810219</v>
      </c>
      <c r="AJ67" s="3"/>
      <c r="AK67" s="3"/>
      <c r="AQ67" t="s">
        <v>121</v>
      </c>
      <c r="AR67" t="s">
        <v>2037</v>
      </c>
      <c r="AS67" t="s">
        <v>3</v>
      </c>
      <c r="AT67" t="s">
        <v>3</v>
      </c>
      <c r="AU67" t="s">
        <v>2</v>
      </c>
      <c r="AV67" t="s">
        <v>3</v>
      </c>
    </row>
    <row r="68" spans="1:49" x14ac:dyDescent="0.3">
      <c r="A68" t="s">
        <v>122</v>
      </c>
      <c r="B68" t="s">
        <v>123</v>
      </c>
      <c r="C68" t="s">
        <v>124</v>
      </c>
      <c r="D68" s="4" t="s">
        <v>125</v>
      </c>
      <c r="E68">
        <v>2002</v>
      </c>
      <c r="F68" t="s">
        <v>2661</v>
      </c>
      <c r="G68" t="s">
        <v>34</v>
      </c>
      <c r="H68" t="s">
        <v>17</v>
      </c>
      <c r="J68" t="s">
        <v>126</v>
      </c>
      <c r="K68">
        <v>3</v>
      </c>
      <c r="L68">
        <v>3</v>
      </c>
      <c r="N68" s="3">
        <v>12.8</v>
      </c>
      <c r="O68" s="3"/>
      <c r="P68" s="3">
        <v>7.41</v>
      </c>
      <c r="Q68" s="3"/>
      <c r="R68" s="3"/>
      <c r="S68" s="3"/>
      <c r="T68" s="3"/>
      <c r="U68" s="3"/>
      <c r="W68" s="3">
        <v>12.2</v>
      </c>
      <c r="X68" s="3"/>
      <c r="Y68" s="3">
        <v>2.0699999999999998</v>
      </c>
      <c r="Z68" s="3"/>
      <c r="AA68" s="3"/>
      <c r="AB68" s="3"/>
      <c r="AC68" s="3"/>
      <c r="AD68" s="3">
        <f t="shared" si="9"/>
        <v>0.95312499999999989</v>
      </c>
      <c r="AE68" s="3">
        <f t="shared" si="11"/>
        <v>0.27935222672064774</v>
      </c>
      <c r="AF68" s="3"/>
      <c r="AG68" s="3"/>
      <c r="AH68" s="3"/>
      <c r="AI68" s="3">
        <f t="shared" si="12"/>
        <v>1.2324772267206476</v>
      </c>
      <c r="AJ68" s="3"/>
      <c r="AK68" s="3"/>
      <c r="AQ68" t="s">
        <v>121</v>
      </c>
      <c r="AR68" t="s">
        <v>2037</v>
      </c>
      <c r="AS68" t="s">
        <v>3</v>
      </c>
      <c r="AT68" t="s">
        <v>3</v>
      </c>
      <c r="AU68" t="s">
        <v>2</v>
      </c>
      <c r="AV68" t="s">
        <v>3</v>
      </c>
    </row>
    <row r="69" spans="1:49" x14ac:dyDescent="0.3">
      <c r="A69" t="s">
        <v>122</v>
      </c>
      <c r="B69" t="s">
        <v>123</v>
      </c>
      <c r="C69" t="s">
        <v>124</v>
      </c>
      <c r="D69" s="4" t="s">
        <v>125</v>
      </c>
      <c r="E69">
        <v>2002</v>
      </c>
      <c r="F69" t="s">
        <v>2661</v>
      </c>
      <c r="G69" t="s">
        <v>34</v>
      </c>
      <c r="H69" t="s">
        <v>17</v>
      </c>
      <c r="J69" t="s">
        <v>127</v>
      </c>
      <c r="K69">
        <v>3</v>
      </c>
      <c r="L69">
        <v>3</v>
      </c>
      <c r="N69" s="3">
        <v>12.8</v>
      </c>
      <c r="O69" s="3"/>
      <c r="P69" s="3">
        <v>1.22</v>
      </c>
      <c r="Q69" s="3"/>
      <c r="R69" s="3"/>
      <c r="S69" s="3"/>
      <c r="T69" s="3"/>
      <c r="U69" s="3"/>
      <c r="W69" s="3">
        <v>12.8</v>
      </c>
      <c r="X69" s="3"/>
      <c r="Y69" s="3">
        <v>0.41</v>
      </c>
      <c r="Z69" s="3"/>
      <c r="AA69" s="3"/>
      <c r="AB69" s="3"/>
      <c r="AC69" s="3"/>
      <c r="AD69" s="3">
        <f t="shared" si="9"/>
        <v>1</v>
      </c>
      <c r="AE69" s="3">
        <f t="shared" si="11"/>
        <v>0.33606557377049179</v>
      </c>
      <c r="AF69" s="3"/>
      <c r="AG69" s="3"/>
      <c r="AH69" s="3"/>
      <c r="AI69" s="3">
        <f t="shared" si="12"/>
        <v>1.3360655737704918</v>
      </c>
      <c r="AJ69" s="3"/>
      <c r="AK69" s="3"/>
      <c r="AQ69" t="s">
        <v>121</v>
      </c>
      <c r="AR69" t="s">
        <v>2037</v>
      </c>
      <c r="AS69" t="s">
        <v>3</v>
      </c>
      <c r="AT69" t="s">
        <v>3</v>
      </c>
      <c r="AU69" t="s">
        <v>2</v>
      </c>
      <c r="AV69" t="s">
        <v>3</v>
      </c>
    </row>
    <row r="70" spans="1:49" x14ac:dyDescent="0.3">
      <c r="A70" t="s">
        <v>122</v>
      </c>
      <c r="B70" t="s">
        <v>123</v>
      </c>
      <c r="C70" t="s">
        <v>124</v>
      </c>
      <c r="D70" s="4" t="s">
        <v>125</v>
      </c>
      <c r="E70">
        <v>2002</v>
      </c>
      <c r="F70" t="s">
        <v>2661</v>
      </c>
      <c r="G70" t="s">
        <v>34</v>
      </c>
      <c r="H70" t="s">
        <v>17</v>
      </c>
      <c r="J70" t="s">
        <v>128</v>
      </c>
      <c r="K70">
        <v>3</v>
      </c>
      <c r="L70">
        <v>3</v>
      </c>
      <c r="N70" s="3">
        <v>12.8</v>
      </c>
      <c r="O70" s="3"/>
      <c r="P70" s="3">
        <v>3.75</v>
      </c>
      <c r="Q70" s="3"/>
      <c r="R70" s="3"/>
      <c r="S70" s="3"/>
      <c r="T70" s="3"/>
      <c r="U70" s="3"/>
      <c r="W70" s="3">
        <v>12.6</v>
      </c>
      <c r="X70" s="3"/>
      <c r="Y70" s="3">
        <v>0.71</v>
      </c>
      <c r="Z70" s="3"/>
      <c r="AA70" s="3"/>
      <c r="AB70" s="3"/>
      <c r="AC70" s="3"/>
      <c r="AD70" s="3">
        <f t="shared" si="9"/>
        <v>0.98437499999999989</v>
      </c>
      <c r="AE70" s="3">
        <f t="shared" si="11"/>
        <v>0.18933333333333333</v>
      </c>
      <c r="AF70" s="3"/>
      <c r="AG70" s="3"/>
      <c r="AH70" s="3"/>
      <c r="AI70" s="3">
        <f t="shared" si="12"/>
        <v>1.1737083333333331</v>
      </c>
      <c r="AJ70" s="3"/>
      <c r="AK70" s="3"/>
      <c r="AQ70" t="s">
        <v>121</v>
      </c>
      <c r="AR70" t="s">
        <v>2037</v>
      </c>
      <c r="AS70" t="s">
        <v>3</v>
      </c>
      <c r="AT70" t="s">
        <v>3</v>
      </c>
      <c r="AU70" t="s">
        <v>2</v>
      </c>
      <c r="AV70" t="s">
        <v>3</v>
      </c>
    </row>
    <row r="71" spans="1:49" x14ac:dyDescent="0.3">
      <c r="A71" t="s">
        <v>122</v>
      </c>
      <c r="B71" t="s">
        <v>123</v>
      </c>
      <c r="C71" t="s">
        <v>124</v>
      </c>
      <c r="D71" s="4" t="s">
        <v>125</v>
      </c>
      <c r="E71">
        <v>2002</v>
      </c>
      <c r="F71" t="s">
        <v>2661</v>
      </c>
      <c r="G71" t="s">
        <v>34</v>
      </c>
      <c r="H71" t="s">
        <v>17</v>
      </c>
      <c r="J71" t="s">
        <v>129</v>
      </c>
      <c r="K71">
        <v>3</v>
      </c>
      <c r="L71">
        <v>3</v>
      </c>
      <c r="N71" s="3">
        <v>12.8</v>
      </c>
      <c r="O71" s="3"/>
      <c r="P71" s="3">
        <v>3.14</v>
      </c>
      <c r="Q71" s="3"/>
      <c r="R71" s="3"/>
      <c r="S71" s="3"/>
      <c r="T71" s="3"/>
      <c r="U71" s="3"/>
      <c r="W71" s="3">
        <v>11.2</v>
      </c>
      <c r="X71" s="3"/>
      <c r="Y71" s="3">
        <v>0.56000000000000005</v>
      </c>
      <c r="Z71" s="3"/>
      <c r="AA71" s="3"/>
      <c r="AB71" s="3"/>
      <c r="AC71" s="3"/>
      <c r="AD71" s="3">
        <f t="shared" si="9"/>
        <v>0.87499999999999989</v>
      </c>
      <c r="AE71" s="3">
        <f t="shared" si="11"/>
        <v>0.178343949044586</v>
      </c>
      <c r="AF71" s="3"/>
      <c r="AG71" s="3"/>
      <c r="AH71" s="3"/>
      <c r="AI71" s="3">
        <f t="shared" si="12"/>
        <v>1.0533439490445859</v>
      </c>
      <c r="AJ71" s="3"/>
      <c r="AK71" s="3"/>
      <c r="AQ71" t="s">
        <v>121</v>
      </c>
      <c r="AR71" t="s">
        <v>2037</v>
      </c>
      <c r="AS71" t="s">
        <v>3</v>
      </c>
      <c r="AT71" t="s">
        <v>3</v>
      </c>
      <c r="AU71" t="s">
        <v>2</v>
      </c>
      <c r="AV71" t="s">
        <v>3</v>
      </c>
    </row>
    <row r="72" spans="1:49" x14ac:dyDescent="0.3">
      <c r="A72" t="s">
        <v>122</v>
      </c>
      <c r="B72" t="s">
        <v>123</v>
      </c>
      <c r="C72" t="s">
        <v>124</v>
      </c>
      <c r="D72" s="4" t="s">
        <v>125</v>
      </c>
      <c r="E72">
        <v>2002</v>
      </c>
      <c r="F72" t="s">
        <v>2661</v>
      </c>
      <c r="G72" t="s">
        <v>34</v>
      </c>
      <c r="H72" t="s">
        <v>17</v>
      </c>
      <c r="J72" t="s">
        <v>130</v>
      </c>
      <c r="K72">
        <v>3</v>
      </c>
      <c r="L72">
        <v>3</v>
      </c>
      <c r="N72" s="3">
        <v>12.8</v>
      </c>
      <c r="O72" s="3"/>
      <c r="P72" s="3">
        <v>2.65</v>
      </c>
      <c r="Q72" s="3"/>
      <c r="R72" s="3"/>
      <c r="S72" s="3"/>
      <c r="T72" s="3"/>
      <c r="U72" s="3"/>
      <c r="W72" s="3">
        <v>12.4</v>
      </c>
      <c r="X72" s="3"/>
      <c r="Y72" s="3">
        <v>0.77</v>
      </c>
      <c r="Z72" s="3"/>
      <c r="AA72" s="3"/>
      <c r="AB72" s="3"/>
      <c r="AC72" s="3"/>
      <c r="AD72" s="3">
        <f t="shared" si="9"/>
        <v>0.96875</v>
      </c>
      <c r="AE72" s="3">
        <f t="shared" si="11"/>
        <v>0.29056603773584905</v>
      </c>
      <c r="AF72" s="3"/>
      <c r="AG72" s="3"/>
      <c r="AH72" s="3"/>
      <c r="AI72" s="3">
        <f t="shared" si="12"/>
        <v>1.259316037735849</v>
      </c>
      <c r="AJ72" s="3"/>
      <c r="AK72" s="3"/>
      <c r="AQ72" t="s">
        <v>121</v>
      </c>
      <c r="AR72" t="s">
        <v>2037</v>
      </c>
      <c r="AS72" t="s">
        <v>3</v>
      </c>
      <c r="AT72" t="s">
        <v>3</v>
      </c>
      <c r="AU72" t="s">
        <v>2</v>
      </c>
      <c r="AV72" t="s">
        <v>3</v>
      </c>
    </row>
    <row r="73" spans="1:49" s="12" customFormat="1" x14ac:dyDescent="0.3">
      <c r="A73" s="10" t="s">
        <v>135</v>
      </c>
      <c r="B73" s="10" t="s">
        <v>131</v>
      </c>
      <c r="C73" s="10" t="s">
        <v>133</v>
      </c>
      <c r="D73" s="16" t="s">
        <v>132</v>
      </c>
      <c r="E73" s="10">
        <v>2001</v>
      </c>
      <c r="F73" t="s">
        <v>2661</v>
      </c>
      <c r="G73" s="10" t="s">
        <v>34</v>
      </c>
      <c r="H73" s="10" t="s">
        <v>17</v>
      </c>
      <c r="I73" s="10" t="s">
        <v>896</v>
      </c>
      <c r="J73" s="10" t="s">
        <v>63</v>
      </c>
      <c r="K73" s="10">
        <v>6</v>
      </c>
      <c r="L73" s="10">
        <v>6</v>
      </c>
      <c r="M73" s="53"/>
      <c r="N73" s="14">
        <v>0.7</v>
      </c>
      <c r="O73" s="14">
        <v>0.2</v>
      </c>
      <c r="P73" s="10"/>
      <c r="Q73" s="10"/>
      <c r="R73" s="10"/>
      <c r="S73" s="10"/>
      <c r="T73" s="10"/>
      <c r="U73" s="10"/>
      <c r="V73" s="10"/>
      <c r="W73" s="14">
        <v>5.3</v>
      </c>
      <c r="X73" s="14">
        <v>0.2</v>
      </c>
      <c r="Y73" s="10"/>
      <c r="Z73" s="10"/>
      <c r="AA73" s="10"/>
      <c r="AB73" s="10"/>
      <c r="AC73" s="10"/>
      <c r="AD73" s="14">
        <f t="shared" si="9"/>
        <v>7.5714285714285721</v>
      </c>
      <c r="AE73" s="10"/>
      <c r="AF73" s="10"/>
      <c r="AG73" s="10"/>
      <c r="AH73" s="10"/>
      <c r="AI73" s="14">
        <f t="shared" si="12"/>
        <v>7.5714285714285721</v>
      </c>
      <c r="AJ73" s="14"/>
      <c r="AK73" s="14"/>
      <c r="AL73" s="10">
        <f t="shared" ref="AL73:AL104" si="13">(((X73*SQRT(L73))^2)/(N73^2))+((O73*SQRT(K73))^2)*(W73^2)/(N73^4)</f>
        <v>28.568096626405673</v>
      </c>
      <c r="AM73" s="10"/>
      <c r="AN73" s="10"/>
      <c r="AO73" s="10">
        <f t="shared" ref="AO73:AO130" si="14">AL73+AM73+AN73</f>
        <v>28.568096626405673</v>
      </c>
      <c r="AP73" s="10">
        <f t="shared" ref="AP73:AP104" si="15">SQRT(AO73)/AI73</f>
        <v>0.70593192603216615</v>
      </c>
      <c r="AQ73" s="10">
        <v>40</v>
      </c>
      <c r="AR73" s="10" t="s">
        <v>14</v>
      </c>
      <c r="AS73" s="10" t="s">
        <v>2</v>
      </c>
      <c r="AT73" s="10" t="s">
        <v>2</v>
      </c>
      <c r="AU73" s="10" t="s">
        <v>2</v>
      </c>
      <c r="AV73" s="10" t="s">
        <v>2023</v>
      </c>
      <c r="AW73" s="10" t="s">
        <v>895</v>
      </c>
    </row>
    <row r="74" spans="1:49" s="12" customFormat="1" x14ac:dyDescent="0.3">
      <c r="A74" s="10" t="s">
        <v>135</v>
      </c>
      <c r="B74" s="10" t="s">
        <v>131</v>
      </c>
      <c r="C74" s="10" t="s">
        <v>133</v>
      </c>
      <c r="D74" s="16" t="s">
        <v>132</v>
      </c>
      <c r="E74" s="10">
        <v>2001</v>
      </c>
      <c r="F74" t="s">
        <v>2661</v>
      </c>
      <c r="G74" s="10" t="s">
        <v>34</v>
      </c>
      <c r="H74" s="10" t="s">
        <v>17</v>
      </c>
      <c r="I74" s="10" t="s">
        <v>897</v>
      </c>
      <c r="J74" s="10" t="s">
        <v>63</v>
      </c>
      <c r="K74" s="10">
        <v>6</v>
      </c>
      <c r="L74" s="10">
        <v>6</v>
      </c>
      <c r="M74" s="53"/>
      <c r="N74" s="14">
        <v>0.7</v>
      </c>
      <c r="O74" s="14">
        <v>0.2</v>
      </c>
      <c r="P74" s="10"/>
      <c r="Q74" s="10"/>
      <c r="R74" s="10"/>
      <c r="S74" s="10"/>
      <c r="T74" s="10"/>
      <c r="U74" s="10"/>
      <c r="V74" s="10"/>
      <c r="W74" s="14">
        <v>5</v>
      </c>
      <c r="X74" s="14">
        <v>0.1</v>
      </c>
      <c r="Y74" s="10"/>
      <c r="Z74" s="10"/>
      <c r="AA74" s="10"/>
      <c r="AB74" s="10"/>
      <c r="AC74" s="10"/>
      <c r="AD74" s="14">
        <f t="shared" si="9"/>
        <v>7.1428571428571432</v>
      </c>
      <c r="AE74" s="10"/>
      <c r="AF74" s="10"/>
      <c r="AG74" s="10"/>
      <c r="AH74" s="10"/>
      <c r="AI74" s="14">
        <f t="shared" si="12"/>
        <v>7.1428571428571432</v>
      </c>
      <c r="AJ74" s="14"/>
      <c r="AK74" s="14"/>
      <c r="AL74" s="10">
        <f t="shared" si="13"/>
        <v>25.112036651395261</v>
      </c>
      <c r="AM74" s="10"/>
      <c r="AN74" s="10"/>
      <c r="AO74" s="10">
        <f t="shared" si="14"/>
        <v>25.112036651395261</v>
      </c>
      <c r="AP74" s="10">
        <f t="shared" si="15"/>
        <v>0.70156675973662475</v>
      </c>
      <c r="AQ74" s="10">
        <v>40</v>
      </c>
      <c r="AR74" s="10" t="s">
        <v>14</v>
      </c>
      <c r="AS74" s="10" t="s">
        <v>2</v>
      </c>
      <c r="AT74" s="10" t="s">
        <v>2</v>
      </c>
      <c r="AU74" s="10" t="s">
        <v>2</v>
      </c>
      <c r="AV74" s="10" t="s">
        <v>2023</v>
      </c>
      <c r="AW74" s="10" t="s">
        <v>895</v>
      </c>
    </row>
    <row r="75" spans="1:49" s="12" customFormat="1" x14ac:dyDescent="0.3">
      <c r="A75" s="10" t="s">
        <v>135</v>
      </c>
      <c r="B75" s="10" t="s">
        <v>131</v>
      </c>
      <c r="C75" s="10" t="s">
        <v>133</v>
      </c>
      <c r="D75" s="16" t="s">
        <v>132</v>
      </c>
      <c r="E75" s="10">
        <v>2001</v>
      </c>
      <c r="F75" t="s">
        <v>2661</v>
      </c>
      <c r="G75" s="10" t="s">
        <v>34</v>
      </c>
      <c r="H75" s="10" t="s">
        <v>17</v>
      </c>
      <c r="I75" s="10" t="s">
        <v>898</v>
      </c>
      <c r="J75" s="10" t="s">
        <v>63</v>
      </c>
      <c r="K75" s="10">
        <v>6</v>
      </c>
      <c r="L75" s="10">
        <v>6</v>
      </c>
      <c r="M75" s="53"/>
      <c r="N75" s="14">
        <v>0.7</v>
      </c>
      <c r="O75" s="14">
        <v>0.2</v>
      </c>
      <c r="P75" s="10"/>
      <c r="Q75" s="10"/>
      <c r="R75" s="10"/>
      <c r="S75" s="10"/>
      <c r="T75" s="10"/>
      <c r="U75" s="10"/>
      <c r="V75" s="10"/>
      <c r="W75" s="14">
        <v>4.5</v>
      </c>
      <c r="X75" s="14">
        <v>0.2</v>
      </c>
      <c r="Y75" s="10"/>
      <c r="Z75" s="10"/>
      <c r="AA75" s="10"/>
      <c r="AB75" s="10"/>
      <c r="AC75" s="10"/>
      <c r="AD75" s="14">
        <f t="shared" si="9"/>
        <v>6.4285714285714288</v>
      </c>
      <c r="AE75" s="10"/>
      <c r="AF75" s="10"/>
      <c r="AG75" s="10"/>
      <c r="AH75" s="10"/>
      <c r="AI75" s="14">
        <f t="shared" si="12"/>
        <v>6.4285714285714288</v>
      </c>
      <c r="AJ75" s="14"/>
      <c r="AK75" s="14"/>
      <c r="AL75" s="10">
        <f t="shared" si="13"/>
        <v>20.731361932528117</v>
      </c>
      <c r="AM75" s="10"/>
      <c r="AN75" s="10"/>
      <c r="AO75" s="10">
        <f t="shared" si="14"/>
        <v>20.731361932528117</v>
      </c>
      <c r="AP75" s="10">
        <f t="shared" si="15"/>
        <v>0.70827097231158553</v>
      </c>
      <c r="AQ75" s="10">
        <v>40</v>
      </c>
      <c r="AR75" s="10" t="s">
        <v>14</v>
      </c>
      <c r="AS75" s="10" t="s">
        <v>2</v>
      </c>
      <c r="AT75" s="10" t="s">
        <v>2</v>
      </c>
      <c r="AU75" s="10" t="s">
        <v>2</v>
      </c>
      <c r="AV75" s="10" t="s">
        <v>2023</v>
      </c>
      <c r="AW75" s="10" t="s">
        <v>895</v>
      </c>
    </row>
    <row r="76" spans="1:49" s="12" customFormat="1" x14ac:dyDescent="0.3">
      <c r="A76" s="10" t="s">
        <v>135</v>
      </c>
      <c r="B76" s="10" t="s">
        <v>131</v>
      </c>
      <c r="C76" s="10" t="s">
        <v>133</v>
      </c>
      <c r="D76" s="16" t="s">
        <v>132</v>
      </c>
      <c r="E76" s="10">
        <v>2001</v>
      </c>
      <c r="F76" t="s">
        <v>2661</v>
      </c>
      <c r="G76" s="10" t="s">
        <v>34</v>
      </c>
      <c r="H76" s="10" t="s">
        <v>17</v>
      </c>
      <c r="I76" s="10" t="s">
        <v>899</v>
      </c>
      <c r="J76" s="10" t="s">
        <v>63</v>
      </c>
      <c r="K76" s="10">
        <v>6</v>
      </c>
      <c r="L76" s="10">
        <v>6</v>
      </c>
      <c r="M76" s="53"/>
      <c r="N76" s="14">
        <v>0.7</v>
      </c>
      <c r="O76" s="14">
        <v>0.2</v>
      </c>
      <c r="P76" s="10"/>
      <c r="Q76" s="10"/>
      <c r="R76" s="10"/>
      <c r="S76" s="10"/>
      <c r="T76" s="10"/>
      <c r="U76" s="10"/>
      <c r="V76" s="10"/>
      <c r="W76" s="14">
        <v>4.5</v>
      </c>
      <c r="X76" s="14">
        <v>0.2</v>
      </c>
      <c r="Y76" s="10"/>
      <c r="Z76" s="10"/>
      <c r="AA76" s="10"/>
      <c r="AB76" s="10"/>
      <c r="AC76" s="10"/>
      <c r="AD76" s="14">
        <f t="shared" si="9"/>
        <v>6.4285714285714288</v>
      </c>
      <c r="AE76" s="10"/>
      <c r="AF76" s="10"/>
      <c r="AG76" s="10"/>
      <c r="AH76" s="10"/>
      <c r="AI76" s="14">
        <f t="shared" si="12"/>
        <v>6.4285714285714288</v>
      </c>
      <c r="AJ76" s="14"/>
      <c r="AK76" s="14"/>
      <c r="AL76" s="10">
        <f t="shared" si="13"/>
        <v>20.731361932528117</v>
      </c>
      <c r="AM76" s="10"/>
      <c r="AN76" s="10"/>
      <c r="AO76" s="10">
        <f t="shared" si="14"/>
        <v>20.731361932528117</v>
      </c>
      <c r="AP76" s="10">
        <f t="shared" si="15"/>
        <v>0.70827097231158553</v>
      </c>
      <c r="AQ76" s="10">
        <v>40</v>
      </c>
      <c r="AR76" s="10" t="s">
        <v>14</v>
      </c>
      <c r="AS76" s="10" t="s">
        <v>2</v>
      </c>
      <c r="AT76" s="10" t="s">
        <v>2</v>
      </c>
      <c r="AU76" s="10" t="s">
        <v>2</v>
      </c>
      <c r="AV76" s="10" t="s">
        <v>2023</v>
      </c>
      <c r="AW76" s="10" t="s">
        <v>895</v>
      </c>
    </row>
    <row r="77" spans="1:49" s="12" customFormat="1" x14ac:dyDescent="0.3">
      <c r="A77" s="10" t="s">
        <v>135</v>
      </c>
      <c r="B77" s="10" t="s">
        <v>131</v>
      </c>
      <c r="C77" s="10" t="s">
        <v>133</v>
      </c>
      <c r="D77" s="16" t="s">
        <v>132</v>
      </c>
      <c r="E77" s="10">
        <v>2001</v>
      </c>
      <c r="F77" t="s">
        <v>2661</v>
      </c>
      <c r="G77" s="10" t="s">
        <v>34</v>
      </c>
      <c r="H77" s="10" t="s">
        <v>17</v>
      </c>
      <c r="I77" s="10" t="s">
        <v>173</v>
      </c>
      <c r="J77" s="10" t="s">
        <v>63</v>
      </c>
      <c r="K77" s="10">
        <v>6</v>
      </c>
      <c r="L77" s="10">
        <v>6</v>
      </c>
      <c r="M77" s="53"/>
      <c r="N77" s="14">
        <v>0.7</v>
      </c>
      <c r="O77" s="14">
        <v>0.2</v>
      </c>
      <c r="P77" s="10"/>
      <c r="Q77" s="10"/>
      <c r="R77" s="10"/>
      <c r="S77" s="10"/>
      <c r="T77" s="10"/>
      <c r="U77" s="10"/>
      <c r="V77" s="10"/>
      <c r="W77" s="14">
        <v>1.5</v>
      </c>
      <c r="X77" s="14">
        <v>0.4</v>
      </c>
      <c r="Y77" s="10"/>
      <c r="Z77" s="10"/>
      <c r="AA77" s="10"/>
      <c r="AB77" s="10"/>
      <c r="AC77" s="10"/>
      <c r="AD77" s="14">
        <f t="shared" si="9"/>
        <v>2.1428571428571428</v>
      </c>
      <c r="AE77" s="10"/>
      <c r="AF77" s="10"/>
      <c r="AG77" s="10"/>
      <c r="AH77" s="10"/>
      <c r="AI77" s="14">
        <f t="shared" si="12"/>
        <v>2.1428571428571428</v>
      </c>
      <c r="AJ77" s="14"/>
      <c r="AK77" s="14"/>
      <c r="AL77" s="10">
        <f t="shared" si="13"/>
        <v>4.2082465639316959</v>
      </c>
      <c r="AM77" s="10"/>
      <c r="AN77" s="10"/>
      <c r="AO77" s="10">
        <f t="shared" si="14"/>
        <v>4.2082465639316959</v>
      </c>
      <c r="AP77" s="10">
        <f t="shared" si="15"/>
        <v>0.9573205236669764</v>
      </c>
      <c r="AQ77" s="10">
        <v>40</v>
      </c>
      <c r="AR77" s="10" t="s">
        <v>14</v>
      </c>
      <c r="AS77" s="10" t="s">
        <v>2</v>
      </c>
      <c r="AT77" s="10" t="s">
        <v>2</v>
      </c>
      <c r="AU77" s="10" t="s">
        <v>2</v>
      </c>
      <c r="AV77" s="10" t="s">
        <v>2023</v>
      </c>
      <c r="AW77" s="10" t="s">
        <v>895</v>
      </c>
    </row>
    <row r="78" spans="1:49" s="12" customFormat="1" x14ac:dyDescent="0.3">
      <c r="A78" s="10" t="s">
        <v>135</v>
      </c>
      <c r="B78" s="10" t="s">
        <v>131</v>
      </c>
      <c r="C78" s="10" t="s">
        <v>133</v>
      </c>
      <c r="D78" s="16" t="s">
        <v>132</v>
      </c>
      <c r="E78" s="10">
        <v>2002</v>
      </c>
      <c r="F78" t="s">
        <v>2661</v>
      </c>
      <c r="G78" s="10" t="s">
        <v>34</v>
      </c>
      <c r="H78" s="10" t="s">
        <v>17</v>
      </c>
      <c r="I78" s="10" t="s">
        <v>896</v>
      </c>
      <c r="J78" s="10" t="s">
        <v>63</v>
      </c>
      <c r="K78" s="10">
        <v>6</v>
      </c>
      <c r="L78" s="10">
        <v>6</v>
      </c>
      <c r="M78" s="53"/>
      <c r="N78" s="14">
        <v>1.7</v>
      </c>
      <c r="O78" s="14">
        <v>0.2</v>
      </c>
      <c r="P78" s="10"/>
      <c r="Q78" s="10"/>
      <c r="R78" s="10"/>
      <c r="S78" s="10"/>
      <c r="T78" s="10"/>
      <c r="U78" s="10"/>
      <c r="V78" s="10"/>
      <c r="W78" s="10">
        <v>5.3</v>
      </c>
      <c r="X78" s="10">
        <v>0.1</v>
      </c>
      <c r="Y78" s="10"/>
      <c r="Z78" s="10"/>
      <c r="AA78" s="10"/>
      <c r="AB78" s="10"/>
      <c r="AC78" s="10"/>
      <c r="AD78" s="14">
        <f t="shared" si="9"/>
        <v>3.1176470588235294</v>
      </c>
      <c r="AE78" s="10"/>
      <c r="AF78" s="10"/>
      <c r="AG78" s="10"/>
      <c r="AH78" s="10"/>
      <c r="AI78" s="14">
        <f t="shared" si="12"/>
        <v>3.1176470588235294</v>
      </c>
      <c r="AJ78" s="14"/>
      <c r="AK78" s="14"/>
      <c r="AL78" s="10">
        <f t="shared" si="13"/>
        <v>0.82793548927814575</v>
      </c>
      <c r="AM78" s="10"/>
      <c r="AN78" s="10"/>
      <c r="AO78" s="10">
        <f t="shared" si="14"/>
        <v>0.82793548927814575</v>
      </c>
      <c r="AP78" s="10">
        <f t="shared" si="15"/>
        <v>0.29185779783140303</v>
      </c>
      <c r="AQ78" s="10">
        <v>40</v>
      </c>
      <c r="AR78" s="10" t="s">
        <v>14</v>
      </c>
      <c r="AS78" s="10" t="s">
        <v>2</v>
      </c>
      <c r="AT78" s="10" t="s">
        <v>2</v>
      </c>
      <c r="AU78" s="10" t="s">
        <v>2</v>
      </c>
      <c r="AV78" s="10" t="s">
        <v>2023</v>
      </c>
      <c r="AW78" s="10" t="s">
        <v>895</v>
      </c>
    </row>
    <row r="79" spans="1:49" s="12" customFormat="1" x14ac:dyDescent="0.3">
      <c r="A79" s="10" t="s">
        <v>135</v>
      </c>
      <c r="B79" s="10" t="s">
        <v>131</v>
      </c>
      <c r="C79" s="10" t="s">
        <v>133</v>
      </c>
      <c r="D79" s="16" t="s">
        <v>132</v>
      </c>
      <c r="E79" s="10">
        <v>2002</v>
      </c>
      <c r="F79" t="s">
        <v>2661</v>
      </c>
      <c r="G79" s="10" t="s">
        <v>34</v>
      </c>
      <c r="H79" s="10" t="s">
        <v>17</v>
      </c>
      <c r="I79" s="10" t="s">
        <v>897</v>
      </c>
      <c r="J79" s="10" t="s">
        <v>63</v>
      </c>
      <c r="K79" s="10">
        <v>6</v>
      </c>
      <c r="L79" s="10">
        <v>6</v>
      </c>
      <c r="M79" s="53"/>
      <c r="N79" s="14">
        <v>1.7</v>
      </c>
      <c r="O79" s="14">
        <v>0.2</v>
      </c>
      <c r="P79" s="10"/>
      <c r="Q79" s="10"/>
      <c r="R79" s="10"/>
      <c r="S79" s="10"/>
      <c r="T79" s="10"/>
      <c r="U79" s="10"/>
      <c r="V79" s="10"/>
      <c r="W79" s="10">
        <v>5.7</v>
      </c>
      <c r="X79" s="10">
        <v>0.1</v>
      </c>
      <c r="Y79" s="10"/>
      <c r="Z79" s="10"/>
      <c r="AA79" s="10"/>
      <c r="AB79" s="10"/>
      <c r="AC79" s="10"/>
      <c r="AD79" s="14">
        <f t="shared" si="9"/>
        <v>3.3529411764705883</v>
      </c>
      <c r="AE79" s="10"/>
      <c r="AF79" s="10"/>
      <c r="AG79" s="10"/>
      <c r="AH79" s="10"/>
      <c r="AI79" s="14">
        <f t="shared" si="12"/>
        <v>3.3529411764705883</v>
      </c>
      <c r="AJ79" s="14"/>
      <c r="AK79" s="14"/>
      <c r="AL79" s="10">
        <f t="shared" si="13"/>
        <v>0.9543707570551121</v>
      </c>
      <c r="AM79" s="10"/>
      <c r="AN79" s="10"/>
      <c r="AO79" s="10">
        <f t="shared" si="14"/>
        <v>0.9543707570551121</v>
      </c>
      <c r="AP79" s="10">
        <f t="shared" si="15"/>
        <v>0.29136181075647277</v>
      </c>
      <c r="AQ79" s="10">
        <v>40</v>
      </c>
      <c r="AR79" s="10" t="s">
        <v>14</v>
      </c>
      <c r="AS79" s="10" t="s">
        <v>2</v>
      </c>
      <c r="AT79" s="10" t="s">
        <v>2</v>
      </c>
      <c r="AU79" s="10" t="s">
        <v>2</v>
      </c>
      <c r="AV79" s="10" t="s">
        <v>2023</v>
      </c>
      <c r="AW79" s="10" t="s">
        <v>895</v>
      </c>
    </row>
    <row r="80" spans="1:49" s="12" customFormat="1" x14ac:dyDescent="0.3">
      <c r="A80" s="10" t="s">
        <v>135</v>
      </c>
      <c r="B80" s="10" t="s">
        <v>131</v>
      </c>
      <c r="C80" s="10" t="s">
        <v>133</v>
      </c>
      <c r="D80" s="16" t="s">
        <v>132</v>
      </c>
      <c r="E80" s="10">
        <v>2002</v>
      </c>
      <c r="F80" t="s">
        <v>2661</v>
      </c>
      <c r="G80" s="10" t="s">
        <v>34</v>
      </c>
      <c r="H80" s="10" t="s">
        <v>17</v>
      </c>
      <c r="I80" s="10" t="s">
        <v>898</v>
      </c>
      <c r="J80" s="10" t="s">
        <v>63</v>
      </c>
      <c r="K80" s="10">
        <v>6</v>
      </c>
      <c r="L80" s="10">
        <v>6</v>
      </c>
      <c r="M80" s="53"/>
      <c r="N80" s="14">
        <v>1.7</v>
      </c>
      <c r="O80" s="14">
        <v>0.2</v>
      </c>
      <c r="P80" s="10"/>
      <c r="Q80" s="10"/>
      <c r="R80" s="10"/>
      <c r="S80" s="10"/>
      <c r="T80" s="10"/>
      <c r="U80" s="10"/>
      <c r="V80" s="10"/>
      <c r="W80" s="10">
        <v>5.2</v>
      </c>
      <c r="X80" s="10">
        <v>0.3</v>
      </c>
      <c r="Y80" s="10"/>
      <c r="Z80" s="10"/>
      <c r="AA80" s="10"/>
      <c r="AB80" s="10"/>
      <c r="AC80" s="10"/>
      <c r="AD80" s="14">
        <f t="shared" si="9"/>
        <v>3.0588235294117649</v>
      </c>
      <c r="AE80" s="10"/>
      <c r="AF80" s="10"/>
      <c r="AG80" s="10"/>
      <c r="AH80" s="10"/>
      <c r="AI80" s="14">
        <f t="shared" si="12"/>
        <v>3.0588235294117649</v>
      </c>
      <c r="AJ80" s="14"/>
      <c r="AK80" s="14"/>
      <c r="AL80" s="10">
        <f t="shared" si="13"/>
        <v>0.96385340213838455</v>
      </c>
      <c r="AM80" s="10"/>
      <c r="AN80" s="10"/>
      <c r="AO80" s="10">
        <f t="shared" si="14"/>
        <v>0.96385340213838455</v>
      </c>
      <c r="AP80" s="10">
        <f t="shared" si="15"/>
        <v>0.32096011730454205</v>
      </c>
      <c r="AQ80" s="10">
        <v>40</v>
      </c>
      <c r="AR80" s="10" t="s">
        <v>14</v>
      </c>
      <c r="AS80" s="10" t="s">
        <v>2</v>
      </c>
      <c r="AT80" s="10" t="s">
        <v>2</v>
      </c>
      <c r="AU80" s="10" t="s">
        <v>2</v>
      </c>
      <c r="AV80" s="10" t="s">
        <v>2023</v>
      </c>
      <c r="AW80" s="10" t="s">
        <v>895</v>
      </c>
    </row>
    <row r="81" spans="1:49" s="12" customFormat="1" x14ac:dyDescent="0.3">
      <c r="A81" s="10" t="s">
        <v>135</v>
      </c>
      <c r="B81" s="10" t="s">
        <v>131</v>
      </c>
      <c r="C81" s="10" t="s">
        <v>133</v>
      </c>
      <c r="D81" s="16" t="s">
        <v>132</v>
      </c>
      <c r="E81" s="10">
        <v>2002</v>
      </c>
      <c r="F81" t="s">
        <v>2661</v>
      </c>
      <c r="G81" s="10" t="s">
        <v>34</v>
      </c>
      <c r="H81" s="10" t="s">
        <v>17</v>
      </c>
      <c r="I81" s="10" t="s">
        <v>899</v>
      </c>
      <c r="J81" s="10" t="s">
        <v>63</v>
      </c>
      <c r="K81" s="10">
        <v>6</v>
      </c>
      <c r="L81" s="10">
        <v>6</v>
      </c>
      <c r="M81" s="53"/>
      <c r="N81" s="14">
        <v>1.7</v>
      </c>
      <c r="O81" s="14">
        <v>0.2</v>
      </c>
      <c r="P81" s="10"/>
      <c r="Q81" s="10"/>
      <c r="R81" s="10"/>
      <c r="S81" s="10"/>
      <c r="T81" s="10"/>
      <c r="U81" s="10"/>
      <c r="V81" s="10"/>
      <c r="W81" s="10">
        <v>5.5</v>
      </c>
      <c r="X81" s="10">
        <v>0.2</v>
      </c>
      <c r="Y81" s="10"/>
      <c r="Z81" s="10"/>
      <c r="AA81" s="10"/>
      <c r="AB81" s="10"/>
      <c r="AC81" s="10"/>
      <c r="AD81" s="14">
        <f t="shared" si="9"/>
        <v>3.2352941176470589</v>
      </c>
      <c r="AE81" s="10"/>
      <c r="AF81" s="10"/>
      <c r="AG81" s="10"/>
      <c r="AH81" s="10"/>
      <c r="AI81" s="14">
        <f t="shared" si="12"/>
        <v>3.2352941176470589</v>
      </c>
      <c r="AJ81" s="14"/>
      <c r="AK81" s="14"/>
      <c r="AL81" s="10">
        <f t="shared" si="13"/>
        <v>0.95228744866560522</v>
      </c>
      <c r="AM81" s="10"/>
      <c r="AN81" s="10"/>
      <c r="AO81" s="10">
        <f t="shared" si="14"/>
        <v>0.95228744866560522</v>
      </c>
      <c r="AP81" s="10">
        <f t="shared" si="15"/>
        <v>0.3016270329338579</v>
      </c>
      <c r="AQ81" s="10">
        <v>40</v>
      </c>
      <c r="AR81" s="10" t="s">
        <v>14</v>
      </c>
      <c r="AS81" s="10" t="s">
        <v>2</v>
      </c>
      <c r="AT81" s="10" t="s">
        <v>2</v>
      </c>
      <c r="AU81" s="10" t="s">
        <v>2</v>
      </c>
      <c r="AV81" s="10" t="s">
        <v>2023</v>
      </c>
      <c r="AW81" s="10" t="s">
        <v>895</v>
      </c>
    </row>
    <row r="82" spans="1:49" s="12" customFormat="1" x14ac:dyDescent="0.3">
      <c r="A82" s="10" t="s">
        <v>135</v>
      </c>
      <c r="B82" s="10" t="s">
        <v>131</v>
      </c>
      <c r="C82" s="10" t="s">
        <v>133</v>
      </c>
      <c r="D82" s="16" t="s">
        <v>132</v>
      </c>
      <c r="E82" s="10">
        <v>2002</v>
      </c>
      <c r="F82" t="s">
        <v>2661</v>
      </c>
      <c r="G82" s="10" t="s">
        <v>34</v>
      </c>
      <c r="H82" s="10" t="s">
        <v>17</v>
      </c>
      <c r="I82" s="10" t="s">
        <v>173</v>
      </c>
      <c r="J82" s="10" t="s">
        <v>63</v>
      </c>
      <c r="K82" s="10">
        <v>6</v>
      </c>
      <c r="L82" s="10">
        <v>6</v>
      </c>
      <c r="M82" s="53"/>
      <c r="N82" s="14">
        <v>1.7</v>
      </c>
      <c r="O82" s="14">
        <v>0.2</v>
      </c>
      <c r="P82" s="10"/>
      <c r="Q82" s="10"/>
      <c r="R82" s="10"/>
      <c r="S82" s="10"/>
      <c r="T82" s="10"/>
      <c r="U82" s="10"/>
      <c r="V82" s="10"/>
      <c r="W82" s="10">
        <v>3.2</v>
      </c>
      <c r="X82" s="10">
        <v>0.4</v>
      </c>
      <c r="Y82" s="10"/>
      <c r="Z82" s="10"/>
      <c r="AA82" s="10"/>
      <c r="AB82" s="10"/>
      <c r="AC82" s="10"/>
      <c r="AD82" s="14">
        <f t="shared" si="9"/>
        <v>1.8823529411764708</v>
      </c>
      <c r="AE82" s="10"/>
      <c r="AF82" s="10"/>
      <c r="AG82" s="10"/>
      <c r="AH82" s="10"/>
      <c r="AI82" s="14">
        <f t="shared" si="12"/>
        <v>1.8823529411764708</v>
      </c>
      <c r="AJ82" s="14"/>
      <c r="AK82" s="14"/>
      <c r="AL82" s="10">
        <f t="shared" si="13"/>
        <v>0.62642928125860575</v>
      </c>
      <c r="AM82" s="10"/>
      <c r="AN82" s="10"/>
      <c r="AO82" s="10">
        <f t="shared" si="14"/>
        <v>0.62642928125860575</v>
      </c>
      <c r="AP82" s="10">
        <f t="shared" si="15"/>
        <v>0.4204699545734058</v>
      </c>
      <c r="AQ82" s="10">
        <v>40</v>
      </c>
      <c r="AR82" s="10" t="s">
        <v>14</v>
      </c>
      <c r="AS82" s="10" t="s">
        <v>2</v>
      </c>
      <c r="AT82" s="10" t="s">
        <v>2</v>
      </c>
      <c r="AU82" s="10" t="s">
        <v>2</v>
      </c>
      <c r="AV82" s="10" t="s">
        <v>2023</v>
      </c>
      <c r="AW82" s="10" t="s">
        <v>895</v>
      </c>
    </row>
    <row r="83" spans="1:49" s="12" customFormat="1" x14ac:dyDescent="0.3">
      <c r="A83" s="10" t="s">
        <v>135</v>
      </c>
      <c r="B83" s="10" t="s">
        <v>131</v>
      </c>
      <c r="C83" s="10" t="s">
        <v>133</v>
      </c>
      <c r="D83" s="16" t="s">
        <v>132</v>
      </c>
      <c r="E83" s="10">
        <v>2003</v>
      </c>
      <c r="F83" t="s">
        <v>2661</v>
      </c>
      <c r="G83" s="10" t="s">
        <v>34</v>
      </c>
      <c r="H83" s="10" t="s">
        <v>17</v>
      </c>
      <c r="I83" s="10" t="s">
        <v>896</v>
      </c>
      <c r="J83" s="10" t="s">
        <v>63</v>
      </c>
      <c r="K83" s="10">
        <v>6</v>
      </c>
      <c r="L83" s="10">
        <v>6</v>
      </c>
      <c r="M83" s="53"/>
      <c r="N83" s="14">
        <v>2.5</v>
      </c>
      <c r="O83" s="14">
        <v>0.2</v>
      </c>
      <c r="P83" s="10"/>
      <c r="Q83" s="10"/>
      <c r="R83" s="10"/>
      <c r="S83" s="10"/>
      <c r="T83" s="10"/>
      <c r="U83" s="10"/>
      <c r="V83" s="10"/>
      <c r="W83" s="10">
        <v>6.4</v>
      </c>
      <c r="X83" s="10">
        <v>0.6</v>
      </c>
      <c r="Y83" s="10"/>
      <c r="Z83" s="10"/>
      <c r="AA83" s="10"/>
      <c r="AB83" s="10"/>
      <c r="AC83" s="10"/>
      <c r="AD83" s="14">
        <f t="shared" si="9"/>
        <v>2.56</v>
      </c>
      <c r="AE83" s="10"/>
      <c r="AF83" s="10"/>
      <c r="AG83" s="10"/>
      <c r="AH83" s="10"/>
      <c r="AI83" s="14">
        <f t="shared" si="12"/>
        <v>2.56</v>
      </c>
      <c r="AJ83" s="14"/>
      <c r="AK83" s="14"/>
      <c r="AL83" s="10">
        <f t="shared" si="13"/>
        <v>0.59725823999999994</v>
      </c>
      <c r="AM83" s="10"/>
      <c r="AN83" s="10"/>
      <c r="AO83" s="10">
        <f t="shared" si="14"/>
        <v>0.59725823999999994</v>
      </c>
      <c r="AP83" s="10">
        <f t="shared" si="15"/>
        <v>0.30188470481294671</v>
      </c>
      <c r="AQ83" s="10">
        <v>40</v>
      </c>
      <c r="AR83" s="10" t="s">
        <v>14</v>
      </c>
      <c r="AS83" s="10" t="s">
        <v>2</v>
      </c>
      <c r="AT83" s="10" t="s">
        <v>2</v>
      </c>
      <c r="AU83" s="10" t="s">
        <v>2</v>
      </c>
      <c r="AV83" s="10" t="s">
        <v>2023</v>
      </c>
      <c r="AW83" s="10" t="s">
        <v>895</v>
      </c>
    </row>
    <row r="84" spans="1:49" s="12" customFormat="1" x14ac:dyDescent="0.3">
      <c r="A84" s="10" t="s">
        <v>135</v>
      </c>
      <c r="B84" s="10" t="s">
        <v>131</v>
      </c>
      <c r="C84" s="10" t="s">
        <v>133</v>
      </c>
      <c r="D84" s="16" t="s">
        <v>132</v>
      </c>
      <c r="E84" s="10">
        <v>2003</v>
      </c>
      <c r="F84" t="s">
        <v>2661</v>
      </c>
      <c r="G84" s="10" t="s">
        <v>34</v>
      </c>
      <c r="H84" s="10" t="s">
        <v>17</v>
      </c>
      <c r="I84" s="10" t="s">
        <v>897</v>
      </c>
      <c r="J84" s="10" t="s">
        <v>63</v>
      </c>
      <c r="K84" s="10">
        <v>6</v>
      </c>
      <c r="L84" s="10">
        <v>6</v>
      </c>
      <c r="M84" s="53"/>
      <c r="N84" s="14">
        <v>2.5</v>
      </c>
      <c r="O84" s="14">
        <v>0.2</v>
      </c>
      <c r="P84" s="10"/>
      <c r="Q84" s="10"/>
      <c r="R84" s="10"/>
      <c r="S84" s="10"/>
      <c r="T84" s="10"/>
      <c r="U84" s="10"/>
      <c r="V84" s="10"/>
      <c r="W84" s="10">
        <v>6.2</v>
      </c>
      <c r="X84" s="10">
        <v>0.7</v>
      </c>
      <c r="Y84" s="10"/>
      <c r="Z84" s="10"/>
      <c r="AA84" s="10"/>
      <c r="AB84" s="10"/>
      <c r="AC84" s="10"/>
      <c r="AD84" s="14">
        <f t="shared" si="9"/>
        <v>2.48</v>
      </c>
      <c r="AE84" s="10"/>
      <c r="AF84" s="10"/>
      <c r="AG84" s="10"/>
      <c r="AH84" s="10"/>
      <c r="AI84" s="14">
        <f t="shared" si="12"/>
        <v>2.48</v>
      </c>
      <c r="AJ84" s="14"/>
      <c r="AK84" s="14"/>
      <c r="AL84" s="10">
        <f t="shared" si="13"/>
        <v>0.70657535999999987</v>
      </c>
      <c r="AM84" s="10"/>
      <c r="AN84" s="10"/>
      <c r="AO84" s="10">
        <f t="shared" si="14"/>
        <v>0.70657535999999987</v>
      </c>
      <c r="AP84" s="10">
        <f t="shared" si="15"/>
        <v>0.33894369795736812</v>
      </c>
      <c r="AQ84" s="10">
        <v>40</v>
      </c>
      <c r="AR84" s="10" t="s">
        <v>14</v>
      </c>
      <c r="AS84" s="10" t="s">
        <v>2</v>
      </c>
      <c r="AT84" s="10" t="s">
        <v>2</v>
      </c>
      <c r="AU84" s="10" t="s">
        <v>2</v>
      </c>
      <c r="AV84" s="10" t="s">
        <v>2023</v>
      </c>
      <c r="AW84" s="10" t="s">
        <v>895</v>
      </c>
    </row>
    <row r="85" spans="1:49" s="12" customFormat="1" x14ac:dyDescent="0.3">
      <c r="A85" s="10" t="s">
        <v>135</v>
      </c>
      <c r="B85" s="10" t="s">
        <v>131</v>
      </c>
      <c r="C85" s="10" t="s">
        <v>133</v>
      </c>
      <c r="D85" s="16" t="s">
        <v>132</v>
      </c>
      <c r="E85" s="10">
        <v>2003</v>
      </c>
      <c r="F85" t="s">
        <v>2661</v>
      </c>
      <c r="G85" s="10" t="s">
        <v>34</v>
      </c>
      <c r="H85" s="10" t="s">
        <v>17</v>
      </c>
      <c r="I85" s="10" t="s">
        <v>898</v>
      </c>
      <c r="J85" s="10" t="s">
        <v>63</v>
      </c>
      <c r="K85" s="10">
        <v>6</v>
      </c>
      <c r="L85" s="10">
        <v>6</v>
      </c>
      <c r="M85" s="53"/>
      <c r="N85" s="14">
        <v>2.5</v>
      </c>
      <c r="O85" s="14">
        <v>0.2</v>
      </c>
      <c r="P85" s="10"/>
      <c r="Q85" s="10"/>
      <c r="R85" s="10"/>
      <c r="S85" s="10"/>
      <c r="T85" s="10"/>
      <c r="U85" s="10"/>
      <c r="V85" s="10"/>
      <c r="W85" s="10">
        <v>5.7</v>
      </c>
      <c r="X85" s="10">
        <v>0.5</v>
      </c>
      <c r="Y85" s="10"/>
      <c r="Z85" s="10"/>
      <c r="AA85" s="10"/>
      <c r="AB85" s="10"/>
      <c r="AC85" s="10"/>
      <c r="AD85" s="14">
        <f t="shared" si="9"/>
        <v>2.2800000000000002</v>
      </c>
      <c r="AE85" s="10"/>
      <c r="AF85" s="10"/>
      <c r="AG85" s="10"/>
      <c r="AH85" s="10"/>
      <c r="AI85" s="14">
        <f t="shared" si="12"/>
        <v>2.2800000000000002</v>
      </c>
      <c r="AJ85" s="14"/>
      <c r="AK85" s="14"/>
      <c r="AL85" s="10">
        <f t="shared" si="13"/>
        <v>0.43961855999999999</v>
      </c>
      <c r="AM85" s="10"/>
      <c r="AN85" s="10"/>
      <c r="AO85" s="10">
        <f t="shared" si="14"/>
        <v>0.43961855999999999</v>
      </c>
      <c r="AP85" s="10">
        <f t="shared" si="15"/>
        <v>0.2908058660141124</v>
      </c>
      <c r="AQ85" s="10">
        <v>40</v>
      </c>
      <c r="AR85" s="10" t="s">
        <v>14</v>
      </c>
      <c r="AS85" s="10" t="s">
        <v>2</v>
      </c>
      <c r="AT85" s="10" t="s">
        <v>2</v>
      </c>
      <c r="AU85" s="10" t="s">
        <v>2</v>
      </c>
      <c r="AV85" s="10" t="s">
        <v>2023</v>
      </c>
      <c r="AW85" s="10" t="s">
        <v>895</v>
      </c>
    </row>
    <row r="86" spans="1:49" s="12" customFormat="1" x14ac:dyDescent="0.3">
      <c r="A86" s="10" t="s">
        <v>135</v>
      </c>
      <c r="B86" s="10" t="s">
        <v>131</v>
      </c>
      <c r="C86" s="10" t="s">
        <v>133</v>
      </c>
      <c r="D86" s="16" t="s">
        <v>132</v>
      </c>
      <c r="E86" s="10">
        <v>2003</v>
      </c>
      <c r="F86" t="s">
        <v>2661</v>
      </c>
      <c r="G86" s="10" t="s">
        <v>34</v>
      </c>
      <c r="H86" s="10" t="s">
        <v>17</v>
      </c>
      <c r="I86" s="10" t="s">
        <v>899</v>
      </c>
      <c r="J86" s="10" t="s">
        <v>63</v>
      </c>
      <c r="K86" s="10">
        <v>6</v>
      </c>
      <c r="L86" s="10">
        <v>6</v>
      </c>
      <c r="M86" s="53"/>
      <c r="N86" s="14">
        <v>2.5</v>
      </c>
      <c r="O86" s="14">
        <v>0.2</v>
      </c>
      <c r="P86" s="10"/>
      <c r="Q86" s="10"/>
      <c r="R86" s="10"/>
      <c r="S86" s="10"/>
      <c r="T86" s="10"/>
      <c r="U86" s="10"/>
      <c r="V86" s="10"/>
      <c r="W86" s="10">
        <v>6.2</v>
      </c>
      <c r="X86" s="10">
        <v>0.7</v>
      </c>
      <c r="Y86" s="10"/>
      <c r="Z86" s="10"/>
      <c r="AA86" s="10"/>
      <c r="AB86" s="10"/>
      <c r="AC86" s="10"/>
      <c r="AD86" s="14">
        <f t="shared" si="9"/>
        <v>2.48</v>
      </c>
      <c r="AE86" s="10"/>
      <c r="AF86" s="10"/>
      <c r="AG86" s="10"/>
      <c r="AH86" s="10"/>
      <c r="AI86" s="14">
        <f t="shared" si="12"/>
        <v>2.48</v>
      </c>
      <c r="AJ86" s="14"/>
      <c r="AK86" s="14"/>
      <c r="AL86" s="10">
        <f t="shared" si="13"/>
        <v>0.70657535999999987</v>
      </c>
      <c r="AM86" s="10"/>
      <c r="AN86" s="10"/>
      <c r="AO86" s="10">
        <f t="shared" si="14"/>
        <v>0.70657535999999987</v>
      </c>
      <c r="AP86" s="10">
        <f t="shared" si="15"/>
        <v>0.33894369795736812</v>
      </c>
      <c r="AQ86" s="10">
        <v>40</v>
      </c>
      <c r="AR86" s="10" t="s">
        <v>14</v>
      </c>
      <c r="AS86" s="10" t="s">
        <v>2</v>
      </c>
      <c r="AT86" s="10" t="s">
        <v>2</v>
      </c>
      <c r="AU86" s="10" t="s">
        <v>2</v>
      </c>
      <c r="AV86" s="10" t="s">
        <v>2023</v>
      </c>
      <c r="AW86" s="10" t="s">
        <v>895</v>
      </c>
    </row>
    <row r="87" spans="1:49" s="12" customFormat="1" x14ac:dyDescent="0.3">
      <c r="A87" s="10" t="s">
        <v>135</v>
      </c>
      <c r="B87" s="10" t="s">
        <v>131</v>
      </c>
      <c r="C87" s="10" t="s">
        <v>133</v>
      </c>
      <c r="D87" s="16" t="s">
        <v>132</v>
      </c>
      <c r="E87" s="10">
        <v>2003</v>
      </c>
      <c r="F87" t="s">
        <v>2661</v>
      </c>
      <c r="G87" s="10" t="s">
        <v>34</v>
      </c>
      <c r="H87" s="10" t="s">
        <v>17</v>
      </c>
      <c r="I87" s="10" t="s">
        <v>173</v>
      </c>
      <c r="J87" s="10" t="s">
        <v>63</v>
      </c>
      <c r="K87" s="10">
        <v>6</v>
      </c>
      <c r="L87" s="10">
        <v>6</v>
      </c>
      <c r="M87" s="53"/>
      <c r="N87" s="14">
        <v>2.5</v>
      </c>
      <c r="O87" s="14">
        <v>0.2</v>
      </c>
      <c r="P87" s="10"/>
      <c r="Q87" s="10"/>
      <c r="R87" s="10"/>
      <c r="S87" s="10"/>
      <c r="T87" s="10"/>
      <c r="U87" s="10"/>
      <c r="V87" s="10"/>
      <c r="W87" s="10">
        <v>3</v>
      </c>
      <c r="X87" s="10">
        <v>0.4</v>
      </c>
      <c r="Y87" s="10"/>
      <c r="Z87" s="10"/>
      <c r="AA87" s="10"/>
      <c r="AB87" s="10"/>
      <c r="AC87" s="10"/>
      <c r="AD87" s="14">
        <f t="shared" si="9"/>
        <v>1.2</v>
      </c>
      <c r="AE87" s="10"/>
      <c r="AF87" s="10"/>
      <c r="AG87" s="10"/>
      <c r="AH87" s="10"/>
      <c r="AI87" s="14">
        <f t="shared" si="12"/>
        <v>1.2</v>
      </c>
      <c r="AJ87" s="14"/>
      <c r="AK87" s="14"/>
      <c r="AL87" s="10">
        <f t="shared" si="13"/>
        <v>0.208896</v>
      </c>
      <c r="AM87" s="10"/>
      <c r="AN87" s="10"/>
      <c r="AO87" s="10">
        <f t="shared" si="14"/>
        <v>0.208896</v>
      </c>
      <c r="AP87" s="10">
        <f t="shared" si="15"/>
        <v>0.38087618285561864</v>
      </c>
      <c r="AQ87" s="10">
        <v>40</v>
      </c>
      <c r="AR87" s="10" t="s">
        <v>14</v>
      </c>
      <c r="AS87" s="10" t="s">
        <v>2</v>
      </c>
      <c r="AT87" s="10" t="s">
        <v>2</v>
      </c>
      <c r="AU87" s="10" t="s">
        <v>2</v>
      </c>
      <c r="AV87" s="10" t="s">
        <v>2023</v>
      </c>
      <c r="AW87" s="10" t="s">
        <v>895</v>
      </c>
    </row>
    <row r="88" spans="1:49" s="12" customFormat="1" x14ac:dyDescent="0.3">
      <c r="A88" s="10" t="s">
        <v>135</v>
      </c>
      <c r="B88" s="10" t="s">
        <v>131</v>
      </c>
      <c r="C88" s="10" t="s">
        <v>133</v>
      </c>
      <c r="D88" s="16" t="s">
        <v>132</v>
      </c>
      <c r="E88" s="10">
        <v>2004</v>
      </c>
      <c r="F88" t="s">
        <v>2661</v>
      </c>
      <c r="G88" s="10" t="s">
        <v>34</v>
      </c>
      <c r="H88" s="10" t="s">
        <v>17</v>
      </c>
      <c r="I88" s="10" t="s">
        <v>896</v>
      </c>
      <c r="J88" s="10" t="s">
        <v>63</v>
      </c>
      <c r="K88" s="10">
        <v>6</v>
      </c>
      <c r="L88" s="10">
        <v>6</v>
      </c>
      <c r="M88" s="53"/>
      <c r="N88" s="14">
        <v>3.2</v>
      </c>
      <c r="O88" s="14">
        <v>0.2</v>
      </c>
      <c r="P88" s="10"/>
      <c r="Q88" s="10"/>
      <c r="R88" s="10"/>
      <c r="S88" s="10"/>
      <c r="T88" s="10"/>
      <c r="U88" s="10"/>
      <c r="V88" s="10"/>
      <c r="W88" s="10">
        <v>6.1</v>
      </c>
      <c r="X88" s="10">
        <v>0.4</v>
      </c>
      <c r="Y88" s="10"/>
      <c r="Z88" s="10"/>
      <c r="AA88" s="10"/>
      <c r="AB88" s="10"/>
      <c r="AC88" s="10"/>
      <c r="AD88" s="14">
        <f t="shared" ref="AD88:AD119" si="16">W88/N88</f>
        <v>1.9062499999999998</v>
      </c>
      <c r="AE88" s="10"/>
      <c r="AF88" s="10"/>
      <c r="AG88" s="10"/>
      <c r="AH88" s="10"/>
      <c r="AI88" s="14">
        <f t="shared" si="12"/>
        <v>1.9062499999999998</v>
      </c>
      <c r="AJ88" s="14"/>
      <c r="AK88" s="14"/>
      <c r="AL88" s="10">
        <f t="shared" si="13"/>
        <v>0.17891693115234367</v>
      </c>
      <c r="AM88" s="10"/>
      <c r="AN88" s="10"/>
      <c r="AO88" s="10">
        <f t="shared" si="14"/>
        <v>0.17891693115234367</v>
      </c>
      <c r="AP88" s="10">
        <f t="shared" si="15"/>
        <v>0.22189415553157352</v>
      </c>
      <c r="AQ88" s="10">
        <v>40</v>
      </c>
      <c r="AR88" s="10" t="s">
        <v>14</v>
      </c>
      <c r="AS88" s="10" t="s">
        <v>2</v>
      </c>
      <c r="AT88" s="10" t="s">
        <v>2</v>
      </c>
      <c r="AU88" s="10" t="s">
        <v>2</v>
      </c>
      <c r="AV88" s="10" t="s">
        <v>2023</v>
      </c>
      <c r="AW88" s="10" t="s">
        <v>895</v>
      </c>
    </row>
    <row r="89" spans="1:49" s="12" customFormat="1" x14ac:dyDescent="0.3">
      <c r="A89" s="10" t="s">
        <v>135</v>
      </c>
      <c r="B89" s="10" t="s">
        <v>131</v>
      </c>
      <c r="C89" s="10" t="s">
        <v>133</v>
      </c>
      <c r="D89" s="16" t="s">
        <v>132</v>
      </c>
      <c r="E89" s="10">
        <v>2004</v>
      </c>
      <c r="F89" t="s">
        <v>2661</v>
      </c>
      <c r="G89" s="10" t="s">
        <v>34</v>
      </c>
      <c r="H89" s="10" t="s">
        <v>17</v>
      </c>
      <c r="I89" s="10" t="s">
        <v>897</v>
      </c>
      <c r="J89" s="10" t="s">
        <v>63</v>
      </c>
      <c r="K89" s="10">
        <v>6</v>
      </c>
      <c r="L89" s="10">
        <v>6</v>
      </c>
      <c r="M89" s="53"/>
      <c r="N89" s="14">
        <v>3.2</v>
      </c>
      <c r="O89" s="14">
        <v>0.2</v>
      </c>
      <c r="P89" s="10"/>
      <c r="Q89" s="10"/>
      <c r="R89" s="10"/>
      <c r="S89" s="10"/>
      <c r="T89" s="10"/>
      <c r="U89" s="10"/>
      <c r="V89" s="10"/>
      <c r="W89" s="10">
        <v>5.9</v>
      </c>
      <c r="X89" s="10">
        <v>0.5</v>
      </c>
      <c r="Y89" s="10"/>
      <c r="Z89" s="10"/>
      <c r="AA89" s="10"/>
      <c r="AB89" s="10"/>
      <c r="AC89" s="10"/>
      <c r="AD89" s="14">
        <f t="shared" si="16"/>
        <v>1.84375</v>
      </c>
      <c r="AE89" s="10"/>
      <c r="AF89" s="10"/>
      <c r="AG89" s="10"/>
      <c r="AH89" s="10"/>
      <c r="AI89" s="14">
        <f t="shared" si="12"/>
        <v>1.84375</v>
      </c>
      <c r="AJ89" s="14"/>
      <c r="AK89" s="14"/>
      <c r="AL89" s="10">
        <f t="shared" si="13"/>
        <v>0.22615814208984364</v>
      </c>
      <c r="AM89" s="10"/>
      <c r="AN89" s="10"/>
      <c r="AO89" s="10">
        <f t="shared" si="14"/>
        <v>0.22615814208984364</v>
      </c>
      <c r="AP89" s="10">
        <f t="shared" si="15"/>
        <v>0.25793131990065443</v>
      </c>
      <c r="AQ89" s="10">
        <v>40</v>
      </c>
      <c r="AR89" s="10" t="s">
        <v>14</v>
      </c>
      <c r="AS89" s="10" t="s">
        <v>2</v>
      </c>
      <c r="AT89" s="10" t="s">
        <v>2</v>
      </c>
      <c r="AU89" s="10" t="s">
        <v>2</v>
      </c>
      <c r="AV89" s="10" t="s">
        <v>2023</v>
      </c>
      <c r="AW89" s="10" t="s">
        <v>895</v>
      </c>
    </row>
    <row r="90" spans="1:49" s="12" customFormat="1" x14ac:dyDescent="0.3">
      <c r="A90" s="10" t="s">
        <v>135</v>
      </c>
      <c r="B90" s="10" t="s">
        <v>131</v>
      </c>
      <c r="C90" s="10" t="s">
        <v>133</v>
      </c>
      <c r="D90" s="16" t="s">
        <v>132</v>
      </c>
      <c r="E90" s="10">
        <v>2004</v>
      </c>
      <c r="F90" t="s">
        <v>2661</v>
      </c>
      <c r="G90" s="10" t="s">
        <v>34</v>
      </c>
      <c r="H90" s="10" t="s">
        <v>17</v>
      </c>
      <c r="I90" s="10" t="s">
        <v>898</v>
      </c>
      <c r="J90" s="10" t="s">
        <v>63</v>
      </c>
      <c r="K90" s="10">
        <v>6</v>
      </c>
      <c r="L90" s="10">
        <v>6</v>
      </c>
      <c r="M90" s="53"/>
      <c r="N90" s="14">
        <v>3.2</v>
      </c>
      <c r="O90" s="14">
        <v>0.2</v>
      </c>
      <c r="P90" s="10"/>
      <c r="Q90" s="10"/>
      <c r="R90" s="10"/>
      <c r="S90" s="10"/>
      <c r="T90" s="10"/>
      <c r="U90" s="10"/>
      <c r="V90" s="10"/>
      <c r="W90" s="10">
        <v>5.7</v>
      </c>
      <c r="X90" s="10">
        <v>0.1</v>
      </c>
      <c r="Y90" s="10"/>
      <c r="Z90" s="10"/>
      <c r="AA90" s="10"/>
      <c r="AB90" s="10"/>
      <c r="AC90" s="10"/>
      <c r="AD90" s="14">
        <f t="shared" si="16"/>
        <v>1.78125</v>
      </c>
      <c r="AE90" s="10"/>
      <c r="AF90" s="10"/>
      <c r="AG90" s="10"/>
      <c r="AH90" s="10"/>
      <c r="AI90" s="14">
        <f t="shared" si="12"/>
        <v>1.78125</v>
      </c>
      <c r="AJ90" s="14"/>
      <c r="AK90" s="14"/>
      <c r="AL90" s="10">
        <f t="shared" si="13"/>
        <v>8.0223083496093722E-2</v>
      </c>
      <c r="AM90" s="10"/>
      <c r="AN90" s="10"/>
      <c r="AO90" s="10">
        <f t="shared" si="14"/>
        <v>8.0223083496093722E-2</v>
      </c>
      <c r="AP90" s="10">
        <f t="shared" si="15"/>
        <v>0.15901013196752184</v>
      </c>
      <c r="AQ90" s="10">
        <v>40</v>
      </c>
      <c r="AR90" s="10" t="s">
        <v>14</v>
      </c>
      <c r="AS90" s="10" t="s">
        <v>2</v>
      </c>
      <c r="AT90" s="10" t="s">
        <v>2</v>
      </c>
      <c r="AU90" s="10" t="s">
        <v>2</v>
      </c>
      <c r="AV90" s="10" t="s">
        <v>2023</v>
      </c>
      <c r="AW90" s="10" t="s">
        <v>895</v>
      </c>
    </row>
    <row r="91" spans="1:49" s="12" customFormat="1" x14ac:dyDescent="0.3">
      <c r="A91" s="10" t="s">
        <v>135</v>
      </c>
      <c r="B91" s="10" t="s">
        <v>131</v>
      </c>
      <c r="C91" s="10" t="s">
        <v>133</v>
      </c>
      <c r="D91" s="16" t="s">
        <v>132</v>
      </c>
      <c r="E91" s="10">
        <v>2004</v>
      </c>
      <c r="F91" t="s">
        <v>2661</v>
      </c>
      <c r="G91" s="10" t="s">
        <v>34</v>
      </c>
      <c r="H91" s="10" t="s">
        <v>17</v>
      </c>
      <c r="I91" s="10" t="s">
        <v>899</v>
      </c>
      <c r="J91" s="10" t="s">
        <v>63</v>
      </c>
      <c r="K91" s="10">
        <v>6</v>
      </c>
      <c r="L91" s="10">
        <v>6</v>
      </c>
      <c r="M91" s="53"/>
      <c r="N91" s="14">
        <v>3.2</v>
      </c>
      <c r="O91" s="14">
        <v>0.2</v>
      </c>
      <c r="P91" s="10"/>
      <c r="Q91" s="10"/>
      <c r="R91" s="10"/>
      <c r="S91" s="10"/>
      <c r="T91" s="10"/>
      <c r="U91" s="10"/>
      <c r="V91" s="10"/>
      <c r="W91" s="10">
        <v>5.2</v>
      </c>
      <c r="X91" s="10">
        <v>0.2</v>
      </c>
      <c r="Y91" s="10"/>
      <c r="Z91" s="10"/>
      <c r="AA91" s="10"/>
      <c r="AB91" s="10"/>
      <c r="AC91" s="10"/>
      <c r="AD91" s="14">
        <f t="shared" si="16"/>
        <v>1.625</v>
      </c>
      <c r="AE91" s="10"/>
      <c r="AF91" s="10"/>
      <c r="AG91" s="10"/>
      <c r="AH91" s="10"/>
      <c r="AI91" s="14">
        <f t="shared" si="12"/>
        <v>1.625</v>
      </c>
      <c r="AJ91" s="14"/>
      <c r="AK91" s="14"/>
      <c r="AL91" s="10">
        <f t="shared" si="13"/>
        <v>8.5327148437499972E-2</v>
      </c>
      <c r="AM91" s="10"/>
      <c r="AN91" s="10"/>
      <c r="AO91" s="10">
        <f t="shared" si="14"/>
        <v>8.5327148437499972E-2</v>
      </c>
      <c r="AP91" s="10">
        <f t="shared" si="15"/>
        <v>0.17975883745999918</v>
      </c>
      <c r="AQ91" s="10">
        <v>40</v>
      </c>
      <c r="AR91" s="10" t="s">
        <v>14</v>
      </c>
      <c r="AS91" s="10" t="s">
        <v>2</v>
      </c>
      <c r="AT91" s="10" t="s">
        <v>2</v>
      </c>
      <c r="AU91" s="10" t="s">
        <v>2</v>
      </c>
      <c r="AV91" s="10" t="s">
        <v>2023</v>
      </c>
      <c r="AW91" s="10" t="s">
        <v>895</v>
      </c>
    </row>
    <row r="92" spans="1:49" s="12" customFormat="1" ht="13.5" customHeight="1" x14ac:dyDescent="0.3">
      <c r="A92" s="10" t="s">
        <v>135</v>
      </c>
      <c r="B92" s="10" t="s">
        <v>131</v>
      </c>
      <c r="C92" s="10" t="s">
        <v>133</v>
      </c>
      <c r="D92" s="16" t="s">
        <v>132</v>
      </c>
      <c r="E92" s="10">
        <v>2004</v>
      </c>
      <c r="F92" t="s">
        <v>2661</v>
      </c>
      <c r="G92" s="10" t="s">
        <v>34</v>
      </c>
      <c r="H92" s="10" t="s">
        <v>17</v>
      </c>
      <c r="I92" s="10" t="s">
        <v>173</v>
      </c>
      <c r="J92" s="10" t="s">
        <v>63</v>
      </c>
      <c r="K92" s="10">
        <v>6</v>
      </c>
      <c r="L92" s="10">
        <v>6</v>
      </c>
      <c r="M92" s="53"/>
      <c r="N92" s="14">
        <v>3.2</v>
      </c>
      <c r="O92" s="14">
        <v>0.2</v>
      </c>
      <c r="P92" s="10"/>
      <c r="Q92" s="10"/>
      <c r="R92" s="10"/>
      <c r="S92" s="10"/>
      <c r="T92" s="10"/>
      <c r="U92" s="10"/>
      <c r="V92" s="10"/>
      <c r="W92" s="10">
        <v>3.5</v>
      </c>
      <c r="X92" s="10">
        <v>0.3</v>
      </c>
      <c r="Y92" s="10"/>
      <c r="Z92" s="10"/>
      <c r="AA92" s="10"/>
      <c r="AB92" s="10"/>
      <c r="AC92" s="10"/>
      <c r="AD92" s="14">
        <f t="shared" si="16"/>
        <v>1.09375</v>
      </c>
      <c r="AE92" s="10"/>
      <c r="AF92" s="10"/>
      <c r="AG92" s="10"/>
      <c r="AH92" s="10"/>
      <c r="AI92" s="14">
        <f t="shared" si="12"/>
        <v>1.09375</v>
      </c>
      <c r="AJ92" s="14"/>
      <c r="AK92" s="14"/>
      <c r="AL92" s="10">
        <f t="shared" si="13"/>
        <v>8.0772399902343722E-2</v>
      </c>
      <c r="AM92" s="10"/>
      <c r="AN92" s="10"/>
      <c r="AO92" s="10">
        <f t="shared" si="14"/>
        <v>8.0772399902343722E-2</v>
      </c>
      <c r="AP92" s="10">
        <f t="shared" si="15"/>
        <v>0.25984443933450108</v>
      </c>
      <c r="AQ92" s="10">
        <v>40</v>
      </c>
      <c r="AR92" s="10" t="s">
        <v>14</v>
      </c>
      <c r="AS92" s="10" t="s">
        <v>2</v>
      </c>
      <c r="AT92" s="10" t="s">
        <v>2</v>
      </c>
      <c r="AU92" s="10" t="s">
        <v>2</v>
      </c>
      <c r="AV92" s="10" t="s">
        <v>2023</v>
      </c>
      <c r="AW92" s="10" t="s">
        <v>895</v>
      </c>
    </row>
    <row r="93" spans="1:49" x14ac:dyDescent="0.3">
      <c r="A93" s="10" t="s">
        <v>136</v>
      </c>
      <c r="B93" s="10" t="s">
        <v>131</v>
      </c>
      <c r="C93" s="10" t="s">
        <v>137</v>
      </c>
      <c r="D93" s="16" t="s">
        <v>138</v>
      </c>
      <c r="E93" s="10">
        <v>2003</v>
      </c>
      <c r="F93" t="s">
        <v>2661</v>
      </c>
      <c r="G93" s="10" t="s">
        <v>34</v>
      </c>
      <c r="H93" s="10" t="s">
        <v>17</v>
      </c>
      <c r="I93" s="10" t="s">
        <v>897</v>
      </c>
      <c r="J93" s="10" t="s">
        <v>53</v>
      </c>
      <c r="K93" s="10">
        <v>12</v>
      </c>
      <c r="L93" s="10">
        <v>12</v>
      </c>
      <c r="N93" s="14">
        <v>0.9</v>
      </c>
      <c r="O93" s="14">
        <v>0.2</v>
      </c>
      <c r="P93" s="10"/>
      <c r="Q93" s="10"/>
      <c r="R93" s="10"/>
      <c r="S93" s="10"/>
      <c r="T93" s="10"/>
      <c r="U93" s="10"/>
      <c r="V93" s="10"/>
      <c r="W93" s="10">
        <v>1.7</v>
      </c>
      <c r="X93" s="10">
        <v>0.1</v>
      </c>
      <c r="Y93" s="10"/>
      <c r="Z93" s="10"/>
      <c r="AA93" s="10"/>
      <c r="AB93" s="10"/>
      <c r="AC93" s="10"/>
      <c r="AD93" s="14">
        <f t="shared" si="16"/>
        <v>1.8888888888888888</v>
      </c>
      <c r="AE93" s="10"/>
      <c r="AF93" s="10"/>
      <c r="AG93" s="10"/>
      <c r="AH93" s="10"/>
      <c r="AI93" s="14">
        <f t="shared" si="12"/>
        <v>1.8888888888888888</v>
      </c>
      <c r="AJ93" s="14"/>
      <c r="AK93" s="14"/>
      <c r="AL93" s="10">
        <f t="shared" si="13"/>
        <v>2.262459990855052</v>
      </c>
      <c r="AM93" s="10"/>
      <c r="AN93" s="10"/>
      <c r="AO93" s="10">
        <f t="shared" si="14"/>
        <v>2.262459990855052</v>
      </c>
      <c r="AP93" s="10">
        <f t="shared" si="15"/>
        <v>0.79631343322970094</v>
      </c>
      <c r="AQ93" s="10"/>
      <c r="AR93" s="10"/>
      <c r="AS93" s="10"/>
      <c r="AT93" s="10" t="s">
        <v>2</v>
      </c>
      <c r="AU93" s="10" t="s">
        <v>2</v>
      </c>
      <c r="AV93" s="10" t="s">
        <v>2023</v>
      </c>
      <c r="AW93" s="10" t="s">
        <v>895</v>
      </c>
    </row>
    <row r="94" spans="1:49" x14ac:dyDescent="0.3">
      <c r="A94" s="10" t="s">
        <v>136</v>
      </c>
      <c r="B94" s="10" t="s">
        <v>131</v>
      </c>
      <c r="C94" s="10" t="s">
        <v>137</v>
      </c>
      <c r="D94" s="16" t="s">
        <v>138</v>
      </c>
      <c r="E94" s="10">
        <v>2004</v>
      </c>
      <c r="F94" t="s">
        <v>2661</v>
      </c>
      <c r="G94" s="10" t="s">
        <v>34</v>
      </c>
      <c r="H94" s="10" t="s">
        <v>17</v>
      </c>
      <c r="I94" s="10" t="s">
        <v>897</v>
      </c>
      <c r="J94" s="10" t="s">
        <v>53</v>
      </c>
      <c r="K94" s="10">
        <v>12</v>
      </c>
      <c r="L94" s="10">
        <v>12</v>
      </c>
      <c r="N94" s="14">
        <v>0.8</v>
      </c>
      <c r="O94" s="14">
        <v>0.2</v>
      </c>
      <c r="P94" s="10"/>
      <c r="Q94" s="10"/>
      <c r="R94" s="10"/>
      <c r="S94" s="10"/>
      <c r="T94" s="10"/>
      <c r="U94" s="10"/>
      <c r="V94" s="10"/>
      <c r="W94" s="10">
        <v>1.6</v>
      </c>
      <c r="X94" s="10">
        <v>0</v>
      </c>
      <c r="Y94" s="10"/>
      <c r="Z94" s="10"/>
      <c r="AA94" s="10"/>
      <c r="AB94" s="10"/>
      <c r="AC94" s="10"/>
      <c r="AD94" s="14">
        <f t="shared" si="16"/>
        <v>2</v>
      </c>
      <c r="AE94" s="10"/>
      <c r="AF94" s="10"/>
      <c r="AG94" s="10"/>
      <c r="AH94" s="10"/>
      <c r="AI94" s="14">
        <f t="shared" si="12"/>
        <v>2</v>
      </c>
      <c r="AJ94" s="14"/>
      <c r="AK94" s="14"/>
      <c r="AL94" s="10">
        <f t="shared" si="13"/>
        <v>2.9999999999999991</v>
      </c>
      <c r="AM94" s="10"/>
      <c r="AN94" s="10"/>
      <c r="AO94" s="10">
        <f t="shared" si="14"/>
        <v>2.9999999999999991</v>
      </c>
      <c r="AP94" s="10">
        <f t="shared" si="15"/>
        <v>0.86602540378443849</v>
      </c>
      <c r="AQ94" s="10"/>
      <c r="AR94" s="10"/>
      <c r="AS94" s="10"/>
      <c r="AT94" s="10" t="s">
        <v>2</v>
      </c>
      <c r="AU94" s="10" t="s">
        <v>2</v>
      </c>
      <c r="AV94" s="10" t="s">
        <v>2023</v>
      </c>
      <c r="AW94" s="10" t="s">
        <v>895</v>
      </c>
    </row>
    <row r="95" spans="1:49" x14ac:dyDescent="0.3">
      <c r="A95" s="10" t="s">
        <v>136</v>
      </c>
      <c r="B95" s="10" t="s">
        <v>131</v>
      </c>
      <c r="C95" s="10" t="s">
        <v>133</v>
      </c>
      <c r="D95" s="16" t="s">
        <v>132</v>
      </c>
      <c r="E95" s="10">
        <v>2002</v>
      </c>
      <c r="F95" t="s">
        <v>2661</v>
      </c>
      <c r="G95" s="10" t="s">
        <v>34</v>
      </c>
      <c r="H95" s="10" t="s">
        <v>17</v>
      </c>
      <c r="I95" s="10" t="s">
        <v>897</v>
      </c>
      <c r="J95" s="10" t="s">
        <v>53</v>
      </c>
      <c r="K95" s="10">
        <v>12</v>
      </c>
      <c r="L95" s="10">
        <v>12</v>
      </c>
      <c r="N95" s="14">
        <v>1.3</v>
      </c>
      <c r="O95" s="14">
        <v>0.17</v>
      </c>
      <c r="P95" s="10"/>
      <c r="Q95" s="10"/>
      <c r="R95" s="10"/>
      <c r="S95" s="10"/>
      <c r="T95" s="10"/>
      <c r="U95" s="10"/>
      <c r="V95" s="10"/>
      <c r="W95" s="10">
        <v>3.11</v>
      </c>
      <c r="X95" s="10">
        <v>0.18</v>
      </c>
      <c r="Y95" s="10"/>
      <c r="Z95" s="10"/>
      <c r="AA95" s="10"/>
      <c r="AB95" s="10"/>
      <c r="AC95" s="10"/>
      <c r="AD95" s="14">
        <f t="shared" si="16"/>
        <v>2.3923076923076922</v>
      </c>
      <c r="AE95" s="10"/>
      <c r="AF95" s="10"/>
      <c r="AG95" s="10"/>
      <c r="AH95" s="10"/>
      <c r="AI95" s="14">
        <f t="shared" si="12"/>
        <v>2.3923076923076922</v>
      </c>
      <c r="AJ95" s="14"/>
      <c r="AK95" s="14"/>
      <c r="AL95" s="10">
        <f t="shared" si="13"/>
        <v>1.4044873358775949</v>
      </c>
      <c r="AM95" s="10"/>
      <c r="AN95" s="10"/>
      <c r="AO95" s="10">
        <f t="shared" si="14"/>
        <v>1.4044873358775949</v>
      </c>
      <c r="AP95" s="10">
        <f t="shared" si="15"/>
        <v>0.49538388765169278</v>
      </c>
      <c r="AQ95" s="10"/>
      <c r="AR95" s="10"/>
      <c r="AS95" s="10"/>
      <c r="AT95" s="10" t="s">
        <v>3</v>
      </c>
      <c r="AU95" s="10" t="s">
        <v>2</v>
      </c>
      <c r="AV95" s="10" t="s">
        <v>2023</v>
      </c>
      <c r="AW95" s="10" t="s">
        <v>895</v>
      </c>
    </row>
    <row r="96" spans="1:49" x14ac:dyDescent="0.3">
      <c r="A96" s="10" t="s">
        <v>136</v>
      </c>
      <c r="B96" s="10" t="s">
        <v>131</v>
      </c>
      <c r="C96" s="10" t="s">
        <v>133</v>
      </c>
      <c r="D96" s="16" t="s">
        <v>132</v>
      </c>
      <c r="E96" s="10" t="s">
        <v>1312</v>
      </c>
      <c r="F96" t="s">
        <v>2661</v>
      </c>
      <c r="G96" s="10" t="s">
        <v>34</v>
      </c>
      <c r="H96" s="10" t="s">
        <v>17</v>
      </c>
      <c r="I96" s="10" t="s">
        <v>897</v>
      </c>
      <c r="J96" s="10" t="s">
        <v>53</v>
      </c>
      <c r="K96" s="10">
        <v>12</v>
      </c>
      <c r="L96" s="10">
        <v>12</v>
      </c>
      <c r="N96" s="14">
        <v>1.32</v>
      </c>
      <c r="O96" s="14">
        <v>7.0000000000000007E-2</v>
      </c>
      <c r="P96" s="10"/>
      <c r="Q96" s="10"/>
      <c r="R96" s="10"/>
      <c r="S96" s="10"/>
      <c r="T96" s="10"/>
      <c r="U96" s="10"/>
      <c r="V96" s="10"/>
      <c r="W96" s="10">
        <v>2.3199999999999998</v>
      </c>
      <c r="X96" s="10">
        <v>0.15</v>
      </c>
      <c r="Y96" s="10"/>
      <c r="Z96" s="10"/>
      <c r="AA96" s="10"/>
      <c r="AB96" s="10"/>
      <c r="AC96" s="10"/>
      <c r="AD96" s="14">
        <f t="shared" si="16"/>
        <v>1.7575757575757573</v>
      </c>
      <c r="AE96" s="10"/>
      <c r="AF96" s="10"/>
      <c r="AG96" s="10"/>
      <c r="AH96" s="10"/>
      <c r="AI96" s="14">
        <f t="shared" si="12"/>
        <v>1.7575757575757573</v>
      </c>
      <c r="AJ96" s="14"/>
      <c r="AK96" s="14"/>
      <c r="AL96" s="10">
        <f t="shared" si="13"/>
        <v>0.25920423873091036</v>
      </c>
      <c r="AM96" s="10"/>
      <c r="AN96" s="10"/>
      <c r="AO96" s="10">
        <f t="shared" si="14"/>
        <v>0.25920423873091036</v>
      </c>
      <c r="AP96" s="10">
        <f t="shared" si="15"/>
        <v>0.28967231885721656</v>
      </c>
      <c r="AQ96" s="10"/>
      <c r="AR96" s="10"/>
      <c r="AS96" s="10"/>
      <c r="AT96" s="10" t="s">
        <v>3</v>
      </c>
      <c r="AU96" s="10" t="s">
        <v>2</v>
      </c>
      <c r="AV96" s="10" t="s">
        <v>2023</v>
      </c>
      <c r="AW96" s="10" t="s">
        <v>895</v>
      </c>
    </row>
    <row r="97" spans="1:49" x14ac:dyDescent="0.3">
      <c r="A97" s="10" t="s">
        <v>136</v>
      </c>
      <c r="B97" s="10" t="s">
        <v>131</v>
      </c>
      <c r="C97" s="10" t="s">
        <v>133</v>
      </c>
      <c r="D97" s="16" t="s">
        <v>132</v>
      </c>
      <c r="E97" s="10" t="s">
        <v>1313</v>
      </c>
      <c r="F97" t="s">
        <v>2661</v>
      </c>
      <c r="G97" s="10" t="s">
        <v>34</v>
      </c>
      <c r="H97" s="10" t="s">
        <v>17</v>
      </c>
      <c r="I97" s="10" t="s">
        <v>897</v>
      </c>
      <c r="J97" s="10" t="s">
        <v>53</v>
      </c>
      <c r="K97" s="10">
        <v>12</v>
      </c>
      <c r="L97" s="10">
        <v>12</v>
      </c>
      <c r="N97" s="14">
        <v>1.25</v>
      </c>
      <c r="O97" s="14">
        <v>0.16</v>
      </c>
      <c r="P97" s="10"/>
      <c r="Q97" s="10"/>
      <c r="R97" s="10"/>
      <c r="S97" s="10"/>
      <c r="T97" s="10"/>
      <c r="U97" s="10"/>
      <c r="V97" s="10"/>
      <c r="W97" s="10">
        <v>2.27</v>
      </c>
      <c r="X97" s="10">
        <v>0.24</v>
      </c>
      <c r="Y97" s="10"/>
      <c r="Z97" s="10"/>
      <c r="AA97" s="10"/>
      <c r="AB97" s="10"/>
      <c r="AC97" s="10"/>
      <c r="AD97" s="14">
        <f t="shared" si="16"/>
        <v>1.8160000000000001</v>
      </c>
      <c r="AE97" s="10"/>
      <c r="AF97" s="10"/>
      <c r="AG97" s="10"/>
      <c r="AH97" s="10"/>
      <c r="AI97" s="14">
        <f t="shared" si="12"/>
        <v>1.8160000000000001</v>
      </c>
      <c r="AJ97" s="14"/>
      <c r="AK97" s="14"/>
      <c r="AL97" s="10">
        <f t="shared" si="13"/>
        <v>1.0907528724479998</v>
      </c>
      <c r="AM97" s="10"/>
      <c r="AN97" s="10"/>
      <c r="AO97" s="10">
        <f t="shared" si="14"/>
        <v>1.0907528724479998</v>
      </c>
      <c r="AP97" s="10">
        <f t="shared" si="15"/>
        <v>0.57510525834913917</v>
      </c>
      <c r="AQ97" s="10"/>
      <c r="AR97" s="10"/>
      <c r="AS97" s="10"/>
      <c r="AT97" s="10" t="s">
        <v>3</v>
      </c>
      <c r="AU97" s="10" t="s">
        <v>2</v>
      </c>
      <c r="AV97" s="10" t="s">
        <v>2023</v>
      </c>
      <c r="AW97" s="10" t="s">
        <v>895</v>
      </c>
    </row>
    <row r="98" spans="1:49" x14ac:dyDescent="0.3">
      <c r="A98" s="10" t="s">
        <v>136</v>
      </c>
      <c r="B98" s="10" t="s">
        <v>131</v>
      </c>
      <c r="C98" s="10" t="s">
        <v>133</v>
      </c>
      <c r="D98" s="16" t="s">
        <v>132</v>
      </c>
      <c r="E98" s="10">
        <v>2004</v>
      </c>
      <c r="F98" t="s">
        <v>2661</v>
      </c>
      <c r="G98" s="10" t="s">
        <v>34</v>
      </c>
      <c r="H98" s="10" t="s">
        <v>17</v>
      </c>
      <c r="I98" s="10" t="s">
        <v>897</v>
      </c>
      <c r="J98" s="10" t="s">
        <v>53</v>
      </c>
      <c r="K98" s="10">
        <v>12</v>
      </c>
      <c r="L98" s="10">
        <v>12</v>
      </c>
      <c r="N98" s="14">
        <v>1.9</v>
      </c>
      <c r="O98" s="14">
        <v>0.12</v>
      </c>
      <c r="P98" s="10"/>
      <c r="Q98" s="10"/>
      <c r="R98" s="10"/>
      <c r="S98" s="10"/>
      <c r="T98" s="10"/>
      <c r="U98" s="10"/>
      <c r="V98" s="10"/>
      <c r="W98" s="10">
        <v>2.7</v>
      </c>
      <c r="X98" s="10">
        <v>0.15</v>
      </c>
      <c r="Y98" s="10"/>
      <c r="Z98" s="10"/>
      <c r="AA98" s="10"/>
      <c r="AB98" s="10"/>
      <c r="AC98" s="10"/>
      <c r="AD98" s="14">
        <f t="shared" si="16"/>
        <v>1.4210526315789476</v>
      </c>
      <c r="AE98" s="10"/>
      <c r="AF98" s="10"/>
      <c r="AG98" s="10"/>
      <c r="AH98" s="10"/>
      <c r="AI98" s="14">
        <f t="shared" si="12"/>
        <v>1.4210526315789476</v>
      </c>
      <c r="AJ98" s="14"/>
      <c r="AK98" s="14"/>
      <c r="AL98" s="10">
        <f t="shared" si="13"/>
        <v>0.17145448546281872</v>
      </c>
      <c r="AM98" s="10"/>
      <c r="AN98" s="10"/>
      <c r="AO98" s="10">
        <f t="shared" si="14"/>
        <v>0.17145448546281872</v>
      </c>
      <c r="AP98" s="10">
        <f t="shared" si="15"/>
        <v>0.29138303493531903</v>
      </c>
      <c r="AQ98" s="10"/>
      <c r="AR98" s="10"/>
      <c r="AS98" s="10"/>
      <c r="AT98" s="10" t="s">
        <v>3</v>
      </c>
      <c r="AU98" s="10" t="s">
        <v>2</v>
      </c>
      <c r="AV98" s="10" t="s">
        <v>2023</v>
      </c>
      <c r="AW98" s="10" t="s">
        <v>895</v>
      </c>
    </row>
    <row r="99" spans="1:49" s="10" customFormat="1" x14ac:dyDescent="0.3">
      <c r="A99" s="10" t="s">
        <v>139</v>
      </c>
      <c r="B99" s="10" t="s">
        <v>131</v>
      </c>
      <c r="C99" s="10" t="s">
        <v>902</v>
      </c>
      <c r="E99" s="10">
        <v>2003</v>
      </c>
      <c r="F99" t="s">
        <v>2661</v>
      </c>
      <c r="G99" s="10" t="s">
        <v>34</v>
      </c>
      <c r="H99" s="10" t="s">
        <v>17</v>
      </c>
      <c r="I99" s="10" t="s">
        <v>834</v>
      </c>
      <c r="J99" s="10" t="s">
        <v>140</v>
      </c>
      <c r="K99" s="10">
        <v>20</v>
      </c>
      <c r="L99" s="10">
        <v>20</v>
      </c>
      <c r="M99" s="53"/>
      <c r="N99" s="14">
        <v>1.7</v>
      </c>
      <c r="O99" s="14">
        <v>0.2</v>
      </c>
      <c r="W99" s="10">
        <v>4.5999999999999996</v>
      </c>
      <c r="X99" s="10">
        <v>0.2</v>
      </c>
      <c r="AD99" s="14">
        <f t="shared" si="16"/>
        <v>2.7058823529411762</v>
      </c>
      <c r="AI99" s="14">
        <f t="shared" si="12"/>
        <v>2.7058823529411762</v>
      </c>
      <c r="AJ99" s="14"/>
      <c r="AK99" s="14"/>
      <c r="AL99" s="10">
        <f t="shared" si="13"/>
        <v>2.3036122651788182</v>
      </c>
      <c r="AO99" s="10">
        <f t="shared" si="14"/>
        <v>2.3036122651788182</v>
      </c>
      <c r="AP99" s="10">
        <f t="shared" si="15"/>
        <v>0.56091335548494414</v>
      </c>
      <c r="AQ99" s="10">
        <v>60</v>
      </c>
      <c r="AR99" s="10" t="s">
        <v>14</v>
      </c>
      <c r="AS99" s="10" t="s">
        <v>2</v>
      </c>
      <c r="AT99" s="10" t="s">
        <v>2</v>
      </c>
      <c r="AU99" s="10" t="s">
        <v>2</v>
      </c>
      <c r="AV99" s="10" t="s">
        <v>3</v>
      </c>
      <c r="AW99" s="10" t="s">
        <v>141</v>
      </c>
    </row>
    <row r="100" spans="1:49" s="10" customFormat="1" x14ac:dyDescent="0.3">
      <c r="A100" s="10" t="s">
        <v>139</v>
      </c>
      <c r="B100" s="10" t="s">
        <v>131</v>
      </c>
      <c r="C100" s="10" t="s">
        <v>902</v>
      </c>
      <c r="E100" s="10">
        <v>2003</v>
      </c>
      <c r="F100" t="s">
        <v>2661</v>
      </c>
      <c r="G100" s="10" t="s">
        <v>34</v>
      </c>
      <c r="H100" s="10" t="s">
        <v>17</v>
      </c>
      <c r="I100" s="10" t="s">
        <v>833</v>
      </c>
      <c r="J100" s="10" t="s">
        <v>140</v>
      </c>
      <c r="K100" s="10">
        <v>20</v>
      </c>
      <c r="L100" s="10">
        <v>20</v>
      </c>
      <c r="M100" s="53"/>
      <c r="N100" s="14">
        <v>0.8</v>
      </c>
      <c r="O100" s="14">
        <v>0.2</v>
      </c>
      <c r="W100" s="10">
        <v>2.7</v>
      </c>
      <c r="X100" s="10">
        <v>0.3</v>
      </c>
      <c r="AD100" s="14">
        <f t="shared" si="16"/>
        <v>3.375</v>
      </c>
      <c r="AI100" s="14">
        <f t="shared" si="12"/>
        <v>3.375</v>
      </c>
      <c r="AJ100" s="14"/>
      <c r="AK100" s="14"/>
      <c r="AL100" s="10">
        <f t="shared" si="13"/>
        <v>17.050781249999996</v>
      </c>
      <c r="AO100" s="10">
        <f t="shared" si="14"/>
        <v>17.050781249999996</v>
      </c>
      <c r="AP100" s="10">
        <f t="shared" si="15"/>
        <v>1.2234841969747354</v>
      </c>
      <c r="AQ100" s="10">
        <v>60</v>
      </c>
      <c r="AR100" s="10" t="s">
        <v>14</v>
      </c>
      <c r="AS100" s="10" t="s">
        <v>2</v>
      </c>
      <c r="AT100" s="10" t="s">
        <v>2</v>
      </c>
      <c r="AU100" s="10" t="s">
        <v>2</v>
      </c>
      <c r="AV100" s="10" t="s">
        <v>3</v>
      </c>
      <c r="AW100" s="10" t="s">
        <v>141</v>
      </c>
    </row>
    <row r="101" spans="1:49" s="10" customFormat="1" x14ac:dyDescent="0.3">
      <c r="A101" s="10" t="s">
        <v>139</v>
      </c>
      <c r="B101" s="10" t="s">
        <v>131</v>
      </c>
      <c r="C101" s="10" t="s">
        <v>902</v>
      </c>
      <c r="E101" s="10">
        <v>2004</v>
      </c>
      <c r="F101" t="s">
        <v>2661</v>
      </c>
      <c r="G101" s="10" t="s">
        <v>34</v>
      </c>
      <c r="H101" s="10" t="s">
        <v>17</v>
      </c>
      <c r="I101" s="10" t="s">
        <v>834</v>
      </c>
      <c r="J101" s="10" t="s">
        <v>140</v>
      </c>
      <c r="K101" s="10">
        <v>20</v>
      </c>
      <c r="L101" s="10">
        <v>20</v>
      </c>
      <c r="M101" s="53"/>
      <c r="N101" s="14">
        <v>1.6</v>
      </c>
      <c r="O101" s="14">
        <v>0.1</v>
      </c>
      <c r="W101" s="10">
        <v>2.9</v>
      </c>
      <c r="X101" s="10">
        <v>0.2</v>
      </c>
      <c r="AD101" s="14">
        <f t="shared" si="16"/>
        <v>1.8124999999999998</v>
      </c>
      <c r="AI101" s="14">
        <f t="shared" si="12"/>
        <v>1.8124999999999998</v>
      </c>
      <c r="AJ101" s="14"/>
      <c r="AK101" s="14"/>
      <c r="AL101">
        <f t="shared" si="13"/>
        <v>0.56915283203125</v>
      </c>
      <c r="AM101"/>
      <c r="AN101"/>
      <c r="AO101">
        <f t="shared" si="14"/>
        <v>0.56915283203125</v>
      </c>
      <c r="AP101">
        <f t="shared" si="15"/>
        <v>0.41623292922043031</v>
      </c>
      <c r="AQ101" s="10">
        <v>60</v>
      </c>
      <c r="AR101" s="10" t="s">
        <v>14</v>
      </c>
      <c r="AS101" s="10" t="s">
        <v>2</v>
      </c>
      <c r="AT101" s="10" t="s">
        <v>2</v>
      </c>
      <c r="AU101" s="10" t="s">
        <v>2</v>
      </c>
      <c r="AV101" s="10" t="s">
        <v>3</v>
      </c>
      <c r="AW101" s="10" t="s">
        <v>141</v>
      </c>
    </row>
    <row r="102" spans="1:49" s="10" customFormat="1" x14ac:dyDescent="0.3">
      <c r="A102" s="10" t="s">
        <v>139</v>
      </c>
      <c r="B102" s="10" t="s">
        <v>131</v>
      </c>
      <c r="C102" s="10" t="s">
        <v>902</v>
      </c>
      <c r="E102" s="10">
        <v>2004</v>
      </c>
      <c r="F102" t="s">
        <v>2661</v>
      </c>
      <c r="G102" s="10" t="s">
        <v>34</v>
      </c>
      <c r="H102" s="10" t="s">
        <v>17</v>
      </c>
      <c r="I102" s="10" t="s">
        <v>833</v>
      </c>
      <c r="J102" s="10" t="s">
        <v>140</v>
      </c>
      <c r="K102" s="10">
        <v>20</v>
      </c>
      <c r="L102" s="10">
        <v>20</v>
      </c>
      <c r="M102" s="53"/>
      <c r="N102" s="14">
        <v>1.8</v>
      </c>
      <c r="O102" s="14">
        <v>0.1</v>
      </c>
      <c r="W102" s="10">
        <v>4.2</v>
      </c>
      <c r="X102" s="10">
        <v>0.1</v>
      </c>
      <c r="AD102" s="14">
        <f t="shared" si="16"/>
        <v>2.3333333333333335</v>
      </c>
      <c r="AI102" s="14">
        <f t="shared" si="12"/>
        <v>2.3333333333333335</v>
      </c>
      <c r="AJ102" s="14"/>
      <c r="AK102" s="14"/>
      <c r="AL102">
        <f t="shared" si="13"/>
        <v>0.39780521262002744</v>
      </c>
      <c r="AM102"/>
      <c r="AN102"/>
      <c r="AO102">
        <f t="shared" si="14"/>
        <v>0.39780521262002744</v>
      </c>
      <c r="AP102">
        <f t="shared" si="15"/>
        <v>0.27030772009406984</v>
      </c>
      <c r="AQ102" s="10">
        <v>60</v>
      </c>
      <c r="AR102" s="10" t="s">
        <v>14</v>
      </c>
      <c r="AS102" s="10" t="s">
        <v>2</v>
      </c>
      <c r="AT102" s="10" t="s">
        <v>2</v>
      </c>
      <c r="AU102" s="10" t="s">
        <v>2</v>
      </c>
      <c r="AV102" s="10" t="s">
        <v>3</v>
      </c>
      <c r="AW102" s="10" t="s">
        <v>141</v>
      </c>
    </row>
    <row r="103" spans="1:49" s="10" customFormat="1" x14ac:dyDescent="0.3">
      <c r="A103" s="10" t="s">
        <v>139</v>
      </c>
      <c r="B103" s="10" t="s">
        <v>131</v>
      </c>
      <c r="C103" s="10" t="s">
        <v>902</v>
      </c>
      <c r="E103" s="10">
        <v>2005</v>
      </c>
      <c r="F103" t="s">
        <v>2661</v>
      </c>
      <c r="G103" s="10" t="s">
        <v>34</v>
      </c>
      <c r="H103" s="10" t="s">
        <v>17</v>
      </c>
      <c r="I103" s="10" t="s">
        <v>834</v>
      </c>
      <c r="J103" s="10" t="s">
        <v>140</v>
      </c>
      <c r="K103" s="10">
        <v>20</v>
      </c>
      <c r="L103" s="10">
        <v>20</v>
      </c>
      <c r="M103" s="53"/>
      <c r="N103" s="14">
        <v>1.5</v>
      </c>
      <c r="O103" s="14">
        <v>0.1</v>
      </c>
      <c r="W103" s="10">
        <v>3.8</v>
      </c>
      <c r="X103" s="10">
        <v>0.1</v>
      </c>
      <c r="AD103" s="14">
        <f t="shared" si="16"/>
        <v>2.5333333333333332</v>
      </c>
      <c r="AI103" s="14">
        <f t="shared" si="12"/>
        <v>2.5333333333333332</v>
      </c>
      <c r="AJ103" s="14"/>
      <c r="AK103" s="14"/>
      <c r="AL103">
        <f t="shared" si="13"/>
        <v>0.65935802469135807</v>
      </c>
      <c r="AM103"/>
      <c r="AN103"/>
      <c r="AO103">
        <f t="shared" si="14"/>
        <v>0.65935802469135807</v>
      </c>
      <c r="AP103">
        <f t="shared" si="15"/>
        <v>0.32052972467675173</v>
      </c>
      <c r="AQ103" s="10">
        <v>60</v>
      </c>
      <c r="AR103" s="10" t="s">
        <v>14</v>
      </c>
      <c r="AS103" s="10" t="s">
        <v>2</v>
      </c>
      <c r="AT103" s="10" t="s">
        <v>2</v>
      </c>
      <c r="AU103" s="10" t="s">
        <v>2</v>
      </c>
      <c r="AV103" s="10" t="s">
        <v>3</v>
      </c>
      <c r="AW103" s="10" t="s">
        <v>141</v>
      </c>
    </row>
    <row r="104" spans="1:49" s="10" customFormat="1" x14ac:dyDescent="0.3">
      <c r="A104" s="10" t="s">
        <v>139</v>
      </c>
      <c r="B104" s="10" t="s">
        <v>131</v>
      </c>
      <c r="C104" s="10" t="s">
        <v>902</v>
      </c>
      <c r="E104" s="10">
        <v>2005</v>
      </c>
      <c r="F104" t="s">
        <v>2661</v>
      </c>
      <c r="G104" s="10" t="s">
        <v>34</v>
      </c>
      <c r="H104" s="10" t="s">
        <v>17</v>
      </c>
      <c r="I104" s="10" t="s">
        <v>833</v>
      </c>
      <c r="J104" s="10" t="s">
        <v>140</v>
      </c>
      <c r="K104" s="10">
        <v>20</v>
      </c>
      <c r="L104" s="10">
        <v>20</v>
      </c>
      <c r="M104" s="53"/>
      <c r="N104" s="14">
        <v>1.1000000000000001</v>
      </c>
      <c r="O104" s="14">
        <v>0.1</v>
      </c>
      <c r="W104" s="10">
        <v>2.5</v>
      </c>
      <c r="X104" s="10">
        <v>0.1</v>
      </c>
      <c r="AD104" s="14">
        <f t="shared" si="16"/>
        <v>2.2727272727272725</v>
      </c>
      <c r="AI104" s="14">
        <f t="shared" si="12"/>
        <v>2.2727272727272725</v>
      </c>
      <c r="AJ104" s="14"/>
      <c r="AK104" s="14"/>
      <c r="AL104">
        <f t="shared" si="13"/>
        <v>1.0190560754046853</v>
      </c>
      <c r="AM104"/>
      <c r="AN104"/>
      <c r="AO104">
        <f t="shared" si="14"/>
        <v>1.0190560754046853</v>
      </c>
      <c r="AP104">
        <f t="shared" si="15"/>
        <v>0.4441725522793446</v>
      </c>
      <c r="AQ104" s="10">
        <v>60</v>
      </c>
      <c r="AR104" s="10" t="s">
        <v>14</v>
      </c>
      <c r="AS104" s="10" t="s">
        <v>2</v>
      </c>
      <c r="AT104" s="10" t="s">
        <v>2</v>
      </c>
      <c r="AU104" s="10" t="s">
        <v>2</v>
      </c>
      <c r="AV104" s="10" t="s">
        <v>3</v>
      </c>
      <c r="AW104" s="10" t="s">
        <v>141</v>
      </c>
    </row>
    <row r="105" spans="1:49" s="10" customFormat="1" x14ac:dyDescent="0.3">
      <c r="A105" s="10" t="s">
        <v>139</v>
      </c>
      <c r="B105" s="10" t="s">
        <v>131</v>
      </c>
      <c r="C105" s="10" t="s">
        <v>902</v>
      </c>
      <c r="E105" s="10">
        <v>2006</v>
      </c>
      <c r="F105" t="s">
        <v>2661</v>
      </c>
      <c r="G105" s="10" t="s">
        <v>34</v>
      </c>
      <c r="H105" s="10" t="s">
        <v>17</v>
      </c>
      <c r="I105" s="10" t="s">
        <v>834</v>
      </c>
      <c r="J105" s="10" t="s">
        <v>140</v>
      </c>
      <c r="K105" s="10">
        <v>20</v>
      </c>
      <c r="L105" s="10">
        <v>20</v>
      </c>
      <c r="M105" s="53"/>
      <c r="N105" s="14">
        <v>1.9</v>
      </c>
      <c r="O105" s="14">
        <v>0.1</v>
      </c>
      <c r="W105" s="10">
        <v>4.3</v>
      </c>
      <c r="X105" s="10">
        <v>0.1</v>
      </c>
      <c r="AD105" s="14">
        <f t="shared" si="16"/>
        <v>2.263157894736842</v>
      </c>
      <c r="AI105" s="14">
        <f t="shared" si="12"/>
        <v>2.263157894736842</v>
      </c>
      <c r="AJ105" s="14"/>
      <c r="AK105" s="14"/>
      <c r="AL105">
        <f t="shared" ref="AL105:AL136" si="17">(((X105*SQRT(L105))^2)/(N105^2))+((O105*SQRT(K105))^2)*(W105^2)/(N105^4)</f>
        <v>0.33916252944652059</v>
      </c>
      <c r="AM105"/>
      <c r="AN105"/>
      <c r="AO105">
        <f t="shared" si="14"/>
        <v>0.33916252944652059</v>
      </c>
      <c r="AP105">
        <f t="shared" ref="AP105:AP136" si="18">SQRT(AO105)/AI105</f>
        <v>0.25732920491589523</v>
      </c>
      <c r="AQ105" s="10">
        <v>60</v>
      </c>
      <c r="AR105" s="10" t="s">
        <v>14</v>
      </c>
      <c r="AS105" s="10" t="s">
        <v>2</v>
      </c>
      <c r="AT105" s="10" t="s">
        <v>2</v>
      </c>
      <c r="AU105" s="10" t="s">
        <v>2</v>
      </c>
      <c r="AV105" s="10" t="s">
        <v>3</v>
      </c>
      <c r="AW105" s="10" t="s">
        <v>141</v>
      </c>
    </row>
    <row r="106" spans="1:49" s="10" customFormat="1" x14ac:dyDescent="0.3">
      <c r="A106" s="10" t="s">
        <v>139</v>
      </c>
      <c r="B106" s="10" t="s">
        <v>131</v>
      </c>
      <c r="C106" s="10" t="s">
        <v>903</v>
      </c>
      <c r="E106" s="10">
        <v>2003</v>
      </c>
      <c r="F106" t="s">
        <v>2661</v>
      </c>
      <c r="G106" s="10" t="s">
        <v>34</v>
      </c>
      <c r="H106" s="10" t="s">
        <v>17</v>
      </c>
      <c r="I106" s="10" t="s">
        <v>834</v>
      </c>
      <c r="J106" s="10" t="s">
        <v>140</v>
      </c>
      <c r="K106" s="10">
        <v>20</v>
      </c>
      <c r="L106" s="10">
        <v>20</v>
      </c>
      <c r="M106" s="53"/>
      <c r="N106" s="14">
        <v>2.6</v>
      </c>
      <c r="O106" s="14">
        <v>0.2</v>
      </c>
      <c r="W106" s="10">
        <v>5.4</v>
      </c>
      <c r="X106" s="10">
        <v>0.4</v>
      </c>
      <c r="AD106" s="14">
        <f t="shared" si="16"/>
        <v>2.0769230769230771</v>
      </c>
      <c r="AI106" s="14">
        <f t="shared" si="12"/>
        <v>2.0769230769230771</v>
      </c>
      <c r="AJ106" s="14"/>
      <c r="AK106" s="14"/>
      <c r="AL106">
        <f t="shared" si="17"/>
        <v>0.98385910857462977</v>
      </c>
      <c r="AM106"/>
      <c r="AN106"/>
      <c r="AO106">
        <f t="shared" si="14"/>
        <v>0.98385910857462977</v>
      </c>
      <c r="AP106">
        <f t="shared" si="18"/>
        <v>0.47757990353960705</v>
      </c>
      <c r="AQ106" s="10">
        <v>60</v>
      </c>
      <c r="AR106" s="10" t="s">
        <v>14</v>
      </c>
      <c r="AS106" s="10" t="s">
        <v>2</v>
      </c>
      <c r="AT106" s="10" t="s">
        <v>2</v>
      </c>
      <c r="AU106" s="10" t="s">
        <v>2</v>
      </c>
      <c r="AV106" s="10" t="s">
        <v>3</v>
      </c>
      <c r="AW106" s="10" t="s">
        <v>141</v>
      </c>
    </row>
    <row r="107" spans="1:49" s="10" customFormat="1" x14ac:dyDescent="0.3">
      <c r="A107" s="10" t="s">
        <v>139</v>
      </c>
      <c r="B107" s="10" t="s">
        <v>131</v>
      </c>
      <c r="C107" s="10" t="s">
        <v>903</v>
      </c>
      <c r="E107" s="10">
        <v>2003</v>
      </c>
      <c r="F107" t="s">
        <v>2661</v>
      </c>
      <c r="G107" s="10" t="s">
        <v>34</v>
      </c>
      <c r="H107" s="10" t="s">
        <v>17</v>
      </c>
      <c r="I107" s="10" t="s">
        <v>833</v>
      </c>
      <c r="J107" s="10" t="s">
        <v>140</v>
      </c>
      <c r="K107" s="10">
        <v>20</v>
      </c>
      <c r="L107" s="10">
        <v>20</v>
      </c>
      <c r="M107" s="53"/>
      <c r="N107" s="14">
        <v>2.4</v>
      </c>
      <c r="O107" s="14">
        <v>0.3</v>
      </c>
      <c r="W107" s="10">
        <v>5</v>
      </c>
      <c r="X107" s="10">
        <v>0.4</v>
      </c>
      <c r="AD107" s="14">
        <f t="shared" si="16"/>
        <v>2.0833333333333335</v>
      </c>
      <c r="AI107" s="14">
        <f t="shared" si="12"/>
        <v>2.0833333333333335</v>
      </c>
      <c r="AJ107" s="14"/>
      <c r="AK107" s="14"/>
      <c r="AL107">
        <f t="shared" si="17"/>
        <v>1.9118923611111112</v>
      </c>
      <c r="AM107"/>
      <c r="AN107"/>
      <c r="AO107">
        <f t="shared" si="14"/>
        <v>1.9118923611111112</v>
      </c>
      <c r="AP107">
        <f t="shared" si="18"/>
        <v>0.66370174024180462</v>
      </c>
      <c r="AQ107" s="10">
        <v>60</v>
      </c>
      <c r="AR107" s="10" t="s">
        <v>14</v>
      </c>
      <c r="AS107" s="10" t="s">
        <v>2</v>
      </c>
      <c r="AT107" s="10" t="s">
        <v>2</v>
      </c>
      <c r="AU107" s="10" t="s">
        <v>2</v>
      </c>
      <c r="AV107" s="10" t="s">
        <v>3</v>
      </c>
      <c r="AW107" s="10" t="s">
        <v>141</v>
      </c>
    </row>
    <row r="108" spans="1:49" s="10" customFormat="1" x14ac:dyDescent="0.3">
      <c r="A108" s="10" t="s">
        <v>139</v>
      </c>
      <c r="B108" s="10" t="s">
        <v>131</v>
      </c>
      <c r="C108" s="10" t="s">
        <v>903</v>
      </c>
      <c r="E108" s="10">
        <v>2004</v>
      </c>
      <c r="F108" t="s">
        <v>2661</v>
      </c>
      <c r="G108" s="10" t="s">
        <v>34</v>
      </c>
      <c r="H108" s="10" t="s">
        <v>17</v>
      </c>
      <c r="I108" s="10" t="s">
        <v>834</v>
      </c>
      <c r="J108" s="10" t="s">
        <v>140</v>
      </c>
      <c r="K108" s="10">
        <v>20</v>
      </c>
      <c r="L108" s="10">
        <v>20</v>
      </c>
      <c r="M108" s="53"/>
      <c r="N108" s="14">
        <v>2.1</v>
      </c>
      <c r="O108" s="14">
        <v>0.1</v>
      </c>
      <c r="W108" s="10">
        <v>4.8</v>
      </c>
      <c r="X108" s="10">
        <v>0.3</v>
      </c>
      <c r="AD108" s="14">
        <f t="shared" si="16"/>
        <v>2.2857142857142856</v>
      </c>
      <c r="AI108" s="14">
        <f t="shared" si="12"/>
        <v>2.2857142857142856</v>
      </c>
      <c r="AJ108" s="14"/>
      <c r="AK108" s="14"/>
      <c r="AL108">
        <f t="shared" si="17"/>
        <v>0.64510157804618451</v>
      </c>
      <c r="AM108"/>
      <c r="AN108"/>
      <c r="AO108">
        <f t="shared" si="14"/>
        <v>0.64510157804618451</v>
      </c>
      <c r="AP108">
        <f t="shared" si="18"/>
        <v>0.35139219388441534</v>
      </c>
      <c r="AQ108" s="10">
        <v>60</v>
      </c>
      <c r="AR108" s="10" t="s">
        <v>14</v>
      </c>
      <c r="AS108" s="10" t="s">
        <v>2</v>
      </c>
      <c r="AT108" s="10" t="s">
        <v>2</v>
      </c>
      <c r="AU108" s="10" t="s">
        <v>2</v>
      </c>
      <c r="AV108" s="10" t="s">
        <v>3</v>
      </c>
      <c r="AW108" s="10" t="s">
        <v>141</v>
      </c>
    </row>
    <row r="109" spans="1:49" s="10" customFormat="1" x14ac:dyDescent="0.3">
      <c r="A109" s="10" t="s">
        <v>139</v>
      </c>
      <c r="B109" s="10" t="s">
        <v>131</v>
      </c>
      <c r="C109" s="10" t="s">
        <v>903</v>
      </c>
      <c r="E109" s="10">
        <v>2004</v>
      </c>
      <c r="F109" t="s">
        <v>2661</v>
      </c>
      <c r="G109" s="10" t="s">
        <v>34</v>
      </c>
      <c r="H109" s="10" t="s">
        <v>17</v>
      </c>
      <c r="I109" s="10" t="s">
        <v>833</v>
      </c>
      <c r="J109" s="10" t="s">
        <v>140</v>
      </c>
      <c r="K109" s="10">
        <v>20</v>
      </c>
      <c r="L109" s="10">
        <v>20</v>
      </c>
      <c r="M109" s="53"/>
      <c r="N109" s="14">
        <v>1.7</v>
      </c>
      <c r="O109" s="14">
        <v>0</v>
      </c>
      <c r="W109" s="10">
        <v>3.2</v>
      </c>
      <c r="X109" s="10">
        <v>0.1</v>
      </c>
      <c r="AD109" s="14">
        <f t="shared" si="16"/>
        <v>1.8823529411764708</v>
      </c>
      <c r="AI109" s="14">
        <f t="shared" si="12"/>
        <v>1.8823529411764708</v>
      </c>
      <c r="AJ109" s="14"/>
      <c r="AK109" s="14"/>
      <c r="AL109">
        <f t="shared" si="17"/>
        <v>6.9204152249134968E-2</v>
      </c>
      <c r="AM109"/>
      <c r="AN109"/>
      <c r="AO109">
        <f t="shared" si="14"/>
        <v>6.9204152249134968E-2</v>
      </c>
      <c r="AP109">
        <f t="shared" si="18"/>
        <v>0.13975424859373686</v>
      </c>
      <c r="AQ109" s="10">
        <v>60</v>
      </c>
      <c r="AR109" s="10" t="s">
        <v>14</v>
      </c>
      <c r="AS109" s="10" t="s">
        <v>2</v>
      </c>
      <c r="AT109" s="10" t="s">
        <v>2</v>
      </c>
      <c r="AU109" s="10" t="s">
        <v>2</v>
      </c>
      <c r="AV109" s="10" t="s">
        <v>3</v>
      </c>
      <c r="AW109" s="10" t="s">
        <v>141</v>
      </c>
    </row>
    <row r="110" spans="1:49" s="10" customFormat="1" x14ac:dyDescent="0.3">
      <c r="A110" s="10" t="s">
        <v>139</v>
      </c>
      <c r="B110" s="10" t="s">
        <v>131</v>
      </c>
      <c r="C110" s="10" t="s">
        <v>903</v>
      </c>
      <c r="E110" s="10">
        <v>2005</v>
      </c>
      <c r="F110" t="s">
        <v>2661</v>
      </c>
      <c r="G110" s="10" t="s">
        <v>34</v>
      </c>
      <c r="H110" s="10" t="s">
        <v>17</v>
      </c>
      <c r="I110" s="10" t="s">
        <v>834</v>
      </c>
      <c r="J110" s="10" t="s">
        <v>140</v>
      </c>
      <c r="K110" s="10">
        <v>20</v>
      </c>
      <c r="L110" s="10">
        <v>20</v>
      </c>
      <c r="M110" s="53"/>
      <c r="N110" s="14">
        <v>2.8</v>
      </c>
      <c r="O110" s="14">
        <v>0.1</v>
      </c>
      <c r="W110" s="10">
        <v>4.5</v>
      </c>
      <c r="X110" s="10">
        <v>0.1</v>
      </c>
      <c r="AD110" s="14">
        <f t="shared" si="16"/>
        <v>1.6071428571428572</v>
      </c>
      <c r="AI110" s="14">
        <f t="shared" si="12"/>
        <v>1.6071428571428572</v>
      </c>
      <c r="AJ110" s="14"/>
      <c r="AK110" s="14"/>
      <c r="AL110">
        <f t="shared" si="17"/>
        <v>9.1400718450645596E-2</v>
      </c>
      <c r="AM110"/>
      <c r="AN110"/>
      <c r="AO110">
        <f t="shared" si="14"/>
        <v>9.1400718450645596E-2</v>
      </c>
      <c r="AP110">
        <f t="shared" si="18"/>
        <v>0.18811365524998236</v>
      </c>
      <c r="AQ110" s="10">
        <v>60</v>
      </c>
      <c r="AR110" s="10" t="s">
        <v>14</v>
      </c>
      <c r="AS110" s="10" t="s">
        <v>2</v>
      </c>
      <c r="AT110" s="10" t="s">
        <v>2</v>
      </c>
      <c r="AU110" s="10" t="s">
        <v>2</v>
      </c>
      <c r="AV110" s="10" t="s">
        <v>3</v>
      </c>
      <c r="AW110" s="10" t="s">
        <v>141</v>
      </c>
    </row>
    <row r="111" spans="1:49" s="10" customFormat="1" x14ac:dyDescent="0.3">
      <c r="A111" s="10" t="s">
        <v>139</v>
      </c>
      <c r="B111" s="10" t="s">
        <v>131</v>
      </c>
      <c r="C111" s="10" t="s">
        <v>903</v>
      </c>
      <c r="E111" s="10">
        <v>2005</v>
      </c>
      <c r="F111" t="s">
        <v>2661</v>
      </c>
      <c r="G111" s="10" t="s">
        <v>34</v>
      </c>
      <c r="H111" s="10" t="s">
        <v>17</v>
      </c>
      <c r="I111" s="10" t="s">
        <v>833</v>
      </c>
      <c r="J111" s="10" t="s">
        <v>140</v>
      </c>
      <c r="K111" s="10">
        <v>20</v>
      </c>
      <c r="L111" s="10">
        <v>20</v>
      </c>
      <c r="M111" s="53"/>
      <c r="N111" s="14">
        <v>1.2</v>
      </c>
      <c r="O111" s="14">
        <v>0.1</v>
      </c>
      <c r="W111" s="10">
        <v>2.1</v>
      </c>
      <c r="X111" s="10">
        <v>0.2</v>
      </c>
      <c r="AD111" s="14">
        <f t="shared" si="16"/>
        <v>1.7500000000000002</v>
      </c>
      <c r="AI111" s="14">
        <f t="shared" si="12"/>
        <v>1.7500000000000002</v>
      </c>
      <c r="AJ111" s="14"/>
      <c r="AK111" s="14"/>
      <c r="AL111">
        <f t="shared" si="17"/>
        <v>0.98090277777777812</v>
      </c>
      <c r="AM111"/>
      <c r="AN111"/>
      <c r="AO111">
        <f t="shared" si="14"/>
        <v>0.98090277777777812</v>
      </c>
      <c r="AP111">
        <f t="shared" si="18"/>
        <v>0.56594592019070067</v>
      </c>
      <c r="AQ111" s="10">
        <v>60</v>
      </c>
      <c r="AR111" s="10" t="s">
        <v>14</v>
      </c>
      <c r="AS111" s="10" t="s">
        <v>2</v>
      </c>
      <c r="AT111" s="10" t="s">
        <v>2</v>
      </c>
      <c r="AU111" s="10" t="s">
        <v>2</v>
      </c>
      <c r="AV111" s="10" t="s">
        <v>3</v>
      </c>
      <c r="AW111" s="10" t="s">
        <v>141</v>
      </c>
    </row>
    <row r="112" spans="1:49" s="10" customFormat="1" x14ac:dyDescent="0.3">
      <c r="A112" s="10" t="s">
        <v>139</v>
      </c>
      <c r="B112" s="10" t="s">
        <v>131</v>
      </c>
      <c r="C112" s="10" t="s">
        <v>903</v>
      </c>
      <c r="E112" s="10">
        <v>2006</v>
      </c>
      <c r="F112" t="s">
        <v>2661</v>
      </c>
      <c r="G112" s="10" t="s">
        <v>34</v>
      </c>
      <c r="H112" s="10" t="s">
        <v>17</v>
      </c>
      <c r="I112" s="10" t="s">
        <v>834</v>
      </c>
      <c r="J112" s="10" t="s">
        <v>140</v>
      </c>
      <c r="K112" s="10">
        <v>20</v>
      </c>
      <c r="L112" s="10">
        <v>20</v>
      </c>
      <c r="M112" s="53"/>
      <c r="N112" s="14">
        <v>2.7</v>
      </c>
      <c r="O112" s="14">
        <v>0.1</v>
      </c>
      <c r="W112" s="10">
        <v>3.8</v>
      </c>
      <c r="X112" s="10">
        <v>0.1</v>
      </c>
      <c r="AD112" s="14">
        <f t="shared" si="16"/>
        <v>1.4074074074074072</v>
      </c>
      <c r="AI112" s="14">
        <f t="shared" si="12"/>
        <v>1.4074074074074072</v>
      </c>
      <c r="AJ112" s="14"/>
      <c r="AK112" s="14"/>
      <c r="AL112">
        <f t="shared" si="17"/>
        <v>8.1777657350486685E-2</v>
      </c>
      <c r="AM112"/>
      <c r="AN112"/>
      <c r="AO112">
        <f t="shared" si="14"/>
        <v>8.1777657350486685E-2</v>
      </c>
      <c r="AP112">
        <f t="shared" si="18"/>
        <v>0.20318774018656355</v>
      </c>
      <c r="AQ112" s="10">
        <v>60</v>
      </c>
      <c r="AR112" s="10" t="s">
        <v>14</v>
      </c>
      <c r="AS112" s="10" t="s">
        <v>2</v>
      </c>
      <c r="AT112" s="10" t="s">
        <v>2</v>
      </c>
      <c r="AU112" s="10" t="s">
        <v>2</v>
      </c>
      <c r="AV112" s="10" t="s">
        <v>3</v>
      </c>
      <c r="AW112" s="10" t="s">
        <v>141</v>
      </c>
    </row>
    <row r="113" spans="1:49" s="10" customFormat="1" x14ac:dyDescent="0.3">
      <c r="A113" s="10" t="s">
        <v>139</v>
      </c>
      <c r="B113" s="10" t="s">
        <v>131</v>
      </c>
      <c r="C113" s="10" t="s">
        <v>904</v>
      </c>
      <c r="E113" s="10">
        <v>2003</v>
      </c>
      <c r="F113" t="s">
        <v>2661</v>
      </c>
      <c r="G113" s="10" t="s">
        <v>34</v>
      </c>
      <c r="H113" s="10" t="s">
        <v>17</v>
      </c>
      <c r="I113" s="10" t="s">
        <v>834</v>
      </c>
      <c r="J113" s="10" t="s">
        <v>140</v>
      </c>
      <c r="K113" s="10">
        <v>20</v>
      </c>
      <c r="L113" s="10">
        <v>20</v>
      </c>
      <c r="M113" s="53"/>
      <c r="N113" s="14">
        <v>3.4</v>
      </c>
      <c r="O113" s="14">
        <v>0.6</v>
      </c>
      <c r="W113" s="10">
        <v>5.6</v>
      </c>
      <c r="X113" s="10">
        <v>0.7</v>
      </c>
      <c r="AD113" s="14">
        <f t="shared" si="16"/>
        <v>1.6470588235294117</v>
      </c>
      <c r="AI113" s="14">
        <f t="shared" si="12"/>
        <v>1.6470588235294117</v>
      </c>
      <c r="AJ113" s="14"/>
      <c r="AK113" s="14"/>
      <c r="AL113">
        <f t="shared" si="17"/>
        <v>2.5373858071622708</v>
      </c>
      <c r="AM113"/>
      <c r="AN113"/>
      <c r="AO113">
        <f t="shared" si="14"/>
        <v>2.5373858071622708</v>
      </c>
      <c r="AP113">
        <f t="shared" si="18"/>
        <v>0.9671284145563166</v>
      </c>
      <c r="AQ113" s="10">
        <v>60</v>
      </c>
      <c r="AR113" s="10" t="s">
        <v>14</v>
      </c>
      <c r="AS113" s="10" t="s">
        <v>2</v>
      </c>
      <c r="AT113" s="10" t="s">
        <v>2</v>
      </c>
      <c r="AU113" s="10" t="s">
        <v>2</v>
      </c>
      <c r="AV113" s="10" t="s">
        <v>3</v>
      </c>
      <c r="AW113" s="10" t="s">
        <v>141</v>
      </c>
    </row>
    <row r="114" spans="1:49" s="10" customFormat="1" x14ac:dyDescent="0.3">
      <c r="A114" s="10" t="s">
        <v>139</v>
      </c>
      <c r="B114" s="10" t="s">
        <v>131</v>
      </c>
      <c r="C114" s="10" t="s">
        <v>904</v>
      </c>
      <c r="E114" s="10">
        <v>2003</v>
      </c>
      <c r="F114" t="s">
        <v>2661</v>
      </c>
      <c r="G114" s="10" t="s">
        <v>34</v>
      </c>
      <c r="H114" s="10" t="s">
        <v>17</v>
      </c>
      <c r="I114" s="10" t="s">
        <v>833</v>
      </c>
      <c r="J114" s="10" t="s">
        <v>140</v>
      </c>
      <c r="K114" s="10">
        <v>20</v>
      </c>
      <c r="L114" s="10">
        <v>20</v>
      </c>
      <c r="M114" s="53"/>
      <c r="N114" s="14">
        <v>1.6</v>
      </c>
      <c r="O114" s="14">
        <v>0.1</v>
      </c>
      <c r="W114" s="10">
        <v>4.8</v>
      </c>
      <c r="X114" s="10">
        <v>0.7</v>
      </c>
      <c r="AD114" s="14">
        <f t="shared" si="16"/>
        <v>2.9999999999999996</v>
      </c>
      <c r="AI114" s="14">
        <f t="shared" ref="AI114:AI177" si="19">AD114+AE114</f>
        <v>2.9999999999999996</v>
      </c>
      <c r="AJ114" s="14"/>
      <c r="AK114" s="14"/>
      <c r="AL114">
        <f t="shared" si="17"/>
        <v>4.5312499999999991</v>
      </c>
      <c r="AM114"/>
      <c r="AN114"/>
      <c r="AO114">
        <f t="shared" si="14"/>
        <v>4.5312499999999991</v>
      </c>
      <c r="AP114">
        <f t="shared" si="18"/>
        <v>0.70955776524693337</v>
      </c>
      <c r="AQ114" s="10">
        <v>60</v>
      </c>
      <c r="AR114" s="10" t="s">
        <v>14</v>
      </c>
      <c r="AS114" s="10" t="s">
        <v>2</v>
      </c>
      <c r="AT114" s="10" t="s">
        <v>2</v>
      </c>
      <c r="AU114" s="10" t="s">
        <v>2</v>
      </c>
      <c r="AV114" s="10" t="s">
        <v>3</v>
      </c>
      <c r="AW114" s="10" t="s">
        <v>141</v>
      </c>
    </row>
    <row r="115" spans="1:49" s="10" customFormat="1" x14ac:dyDescent="0.3">
      <c r="A115" s="10" t="s">
        <v>139</v>
      </c>
      <c r="B115" s="10" t="s">
        <v>131</v>
      </c>
      <c r="C115" s="10" t="s">
        <v>904</v>
      </c>
      <c r="E115" s="10">
        <v>2004</v>
      </c>
      <c r="F115" t="s">
        <v>2661</v>
      </c>
      <c r="G115" s="10" t="s">
        <v>34</v>
      </c>
      <c r="H115" s="10" t="s">
        <v>17</v>
      </c>
      <c r="I115" s="10" t="s">
        <v>834</v>
      </c>
      <c r="J115" s="10" t="s">
        <v>140</v>
      </c>
      <c r="K115" s="10">
        <v>20</v>
      </c>
      <c r="L115" s="10">
        <v>20</v>
      </c>
      <c r="M115" s="53"/>
      <c r="N115" s="14">
        <v>3.1</v>
      </c>
      <c r="O115" s="14">
        <v>0.4</v>
      </c>
      <c r="W115" s="10">
        <v>5.3</v>
      </c>
      <c r="X115" s="10">
        <v>0.3</v>
      </c>
      <c r="AD115" s="14">
        <f t="shared" si="16"/>
        <v>1.7096774193548385</v>
      </c>
      <c r="AI115" s="14">
        <f t="shared" si="19"/>
        <v>1.7096774193548385</v>
      </c>
      <c r="AJ115" s="14"/>
      <c r="AK115" s="14"/>
      <c r="AL115">
        <f t="shared" si="17"/>
        <v>1.160623310135882</v>
      </c>
      <c r="AM115"/>
      <c r="AN115"/>
      <c r="AO115">
        <f t="shared" si="14"/>
        <v>1.160623310135882</v>
      </c>
      <c r="AP115">
        <f t="shared" si="18"/>
        <v>0.63013190373570449</v>
      </c>
      <c r="AQ115" s="10">
        <v>60</v>
      </c>
      <c r="AR115" s="10" t="s">
        <v>14</v>
      </c>
      <c r="AS115" s="10" t="s">
        <v>2</v>
      </c>
      <c r="AT115" s="10" t="s">
        <v>2</v>
      </c>
      <c r="AU115" s="10" t="s">
        <v>2</v>
      </c>
      <c r="AV115" s="10" t="s">
        <v>3</v>
      </c>
      <c r="AW115" s="10" t="s">
        <v>141</v>
      </c>
    </row>
    <row r="116" spans="1:49" s="10" customFormat="1" x14ac:dyDescent="0.3">
      <c r="A116" s="10" t="s">
        <v>139</v>
      </c>
      <c r="B116" s="10" t="s">
        <v>131</v>
      </c>
      <c r="C116" s="10" t="s">
        <v>904</v>
      </c>
      <c r="E116" s="10">
        <v>2004</v>
      </c>
      <c r="F116" t="s">
        <v>2661</v>
      </c>
      <c r="G116" s="10" t="s">
        <v>34</v>
      </c>
      <c r="H116" s="10" t="s">
        <v>17</v>
      </c>
      <c r="I116" s="10" t="s">
        <v>833</v>
      </c>
      <c r="J116" s="10" t="s">
        <v>140</v>
      </c>
      <c r="K116" s="10">
        <v>20</v>
      </c>
      <c r="L116" s="10">
        <v>20</v>
      </c>
      <c r="M116" s="53"/>
      <c r="N116" s="14">
        <v>2.7</v>
      </c>
      <c r="O116" s="14">
        <v>0.3</v>
      </c>
      <c r="W116" s="10">
        <v>5.6</v>
      </c>
      <c r="X116" s="10">
        <v>0.3</v>
      </c>
      <c r="AD116" s="14">
        <f t="shared" si="16"/>
        <v>2.074074074074074</v>
      </c>
      <c r="AI116" s="14">
        <f t="shared" si="19"/>
        <v>2.074074074074074</v>
      </c>
      <c r="AJ116" s="14"/>
      <c r="AK116" s="14"/>
      <c r="AL116">
        <f t="shared" si="17"/>
        <v>1.3090822875916608</v>
      </c>
      <c r="AM116"/>
      <c r="AN116"/>
      <c r="AO116">
        <f t="shared" si="14"/>
        <v>1.3090822875916608</v>
      </c>
      <c r="AP116">
        <f t="shared" si="18"/>
        <v>0.55164439581181912</v>
      </c>
      <c r="AQ116" s="10">
        <v>60</v>
      </c>
      <c r="AR116" s="10" t="s">
        <v>14</v>
      </c>
      <c r="AS116" s="10" t="s">
        <v>2</v>
      </c>
      <c r="AT116" s="10" t="s">
        <v>2</v>
      </c>
      <c r="AU116" s="10" t="s">
        <v>2</v>
      </c>
      <c r="AV116" s="10" t="s">
        <v>3</v>
      </c>
      <c r="AW116" s="10" t="s">
        <v>141</v>
      </c>
    </row>
    <row r="117" spans="1:49" s="10" customFormat="1" x14ac:dyDescent="0.3">
      <c r="A117" s="10" t="s">
        <v>139</v>
      </c>
      <c r="B117" s="10" t="s">
        <v>131</v>
      </c>
      <c r="C117" s="10" t="s">
        <v>904</v>
      </c>
      <c r="E117" s="10">
        <v>2005</v>
      </c>
      <c r="F117" t="s">
        <v>2661</v>
      </c>
      <c r="G117" s="10" t="s">
        <v>34</v>
      </c>
      <c r="H117" s="10" t="s">
        <v>17</v>
      </c>
      <c r="I117" s="10" t="s">
        <v>834</v>
      </c>
      <c r="J117" s="10" t="s">
        <v>140</v>
      </c>
      <c r="K117" s="10">
        <v>20</v>
      </c>
      <c r="L117" s="10">
        <v>20</v>
      </c>
      <c r="M117" s="53"/>
      <c r="N117" s="14">
        <v>2.6</v>
      </c>
      <c r="O117" s="14">
        <v>0.2</v>
      </c>
      <c r="W117" s="10">
        <v>4.5</v>
      </c>
      <c r="X117" s="10">
        <v>0.3</v>
      </c>
      <c r="AD117" s="14">
        <f t="shared" si="16"/>
        <v>1.7307692307692306</v>
      </c>
      <c r="AI117" s="14">
        <f t="shared" si="19"/>
        <v>1.7307692307692306</v>
      </c>
      <c r="AJ117" s="14"/>
      <c r="AK117" s="14"/>
      <c r="AL117">
        <f t="shared" si="17"/>
        <v>0.62077658345296027</v>
      </c>
      <c r="AM117"/>
      <c r="AN117"/>
      <c r="AO117">
        <f t="shared" si="14"/>
        <v>0.62077658345296027</v>
      </c>
      <c r="AP117">
        <f t="shared" si="18"/>
        <v>0.45522750812660817</v>
      </c>
      <c r="AQ117" s="10">
        <v>60</v>
      </c>
      <c r="AR117" s="10" t="s">
        <v>14</v>
      </c>
      <c r="AS117" s="10" t="s">
        <v>2</v>
      </c>
      <c r="AT117" s="10" t="s">
        <v>2</v>
      </c>
      <c r="AU117" s="10" t="s">
        <v>2</v>
      </c>
      <c r="AV117" s="10" t="s">
        <v>3</v>
      </c>
      <c r="AW117" s="10" t="s">
        <v>141</v>
      </c>
    </row>
    <row r="118" spans="1:49" s="10" customFormat="1" x14ac:dyDescent="0.3">
      <c r="A118" s="10" t="s">
        <v>139</v>
      </c>
      <c r="B118" s="10" t="s">
        <v>131</v>
      </c>
      <c r="C118" s="10" t="s">
        <v>904</v>
      </c>
      <c r="E118" s="10">
        <v>2005</v>
      </c>
      <c r="F118" t="s">
        <v>2661</v>
      </c>
      <c r="G118" s="10" t="s">
        <v>34</v>
      </c>
      <c r="H118" s="10" t="s">
        <v>17</v>
      </c>
      <c r="I118" s="10" t="s">
        <v>833</v>
      </c>
      <c r="J118" s="10" t="s">
        <v>140</v>
      </c>
      <c r="K118" s="10">
        <v>20</v>
      </c>
      <c r="L118" s="10">
        <v>20</v>
      </c>
      <c r="M118" s="53"/>
      <c r="N118" s="14">
        <v>2.8</v>
      </c>
      <c r="O118" s="14">
        <v>0.2</v>
      </c>
      <c r="W118" s="10">
        <v>4.9000000000000004</v>
      </c>
      <c r="X118" s="10">
        <v>0.1</v>
      </c>
      <c r="AD118" s="14">
        <f t="shared" si="16"/>
        <v>1.7500000000000002</v>
      </c>
      <c r="AI118" s="14">
        <f t="shared" si="19"/>
        <v>1.7500000000000002</v>
      </c>
      <c r="AJ118" s="14"/>
      <c r="AK118" s="14"/>
      <c r="AL118">
        <f t="shared" si="17"/>
        <v>0.3380102040816329</v>
      </c>
      <c r="AM118"/>
      <c r="AN118"/>
      <c r="AO118">
        <f t="shared" si="14"/>
        <v>0.3380102040816329</v>
      </c>
      <c r="AP118">
        <f t="shared" si="18"/>
        <v>0.33222082849183082</v>
      </c>
      <c r="AQ118" s="10">
        <v>60</v>
      </c>
      <c r="AR118" s="10" t="s">
        <v>14</v>
      </c>
      <c r="AS118" s="10" t="s">
        <v>2</v>
      </c>
      <c r="AT118" s="10" t="s">
        <v>2</v>
      </c>
      <c r="AU118" s="10" t="s">
        <v>2</v>
      </c>
      <c r="AV118" s="10" t="s">
        <v>3</v>
      </c>
      <c r="AW118" s="10" t="s">
        <v>141</v>
      </c>
    </row>
    <row r="119" spans="1:49" s="10" customFormat="1" x14ac:dyDescent="0.3">
      <c r="A119" s="10" t="s">
        <v>139</v>
      </c>
      <c r="B119" s="10" t="s">
        <v>131</v>
      </c>
      <c r="C119" s="10" t="s">
        <v>904</v>
      </c>
      <c r="E119" s="10">
        <v>2006</v>
      </c>
      <c r="F119" t="s">
        <v>2661</v>
      </c>
      <c r="G119" s="10" t="s">
        <v>34</v>
      </c>
      <c r="H119" s="10" t="s">
        <v>17</v>
      </c>
      <c r="I119" s="10" t="s">
        <v>834</v>
      </c>
      <c r="J119" s="10" t="s">
        <v>140</v>
      </c>
      <c r="K119" s="10">
        <v>20</v>
      </c>
      <c r="L119" s="10">
        <v>20</v>
      </c>
      <c r="M119" s="53"/>
      <c r="N119" s="14">
        <v>2.1</v>
      </c>
      <c r="O119" s="14">
        <v>0.1</v>
      </c>
      <c r="W119" s="10">
        <v>4.5999999999999996</v>
      </c>
      <c r="X119" s="10">
        <v>0.2</v>
      </c>
      <c r="AD119" s="14">
        <f t="shared" si="16"/>
        <v>2.1904761904761902</v>
      </c>
      <c r="AI119" s="14">
        <f t="shared" si="19"/>
        <v>2.1904761904761902</v>
      </c>
      <c r="AJ119" s="14"/>
      <c r="AK119" s="14"/>
      <c r="AL119">
        <f t="shared" si="17"/>
        <v>0.39901070027406282</v>
      </c>
      <c r="AM119"/>
      <c r="AN119"/>
      <c r="AO119">
        <f t="shared" si="14"/>
        <v>0.39901070027406282</v>
      </c>
      <c r="AP119">
        <f t="shared" si="18"/>
        <v>0.28837242809905017</v>
      </c>
      <c r="AQ119" s="10">
        <v>60</v>
      </c>
      <c r="AR119" s="10" t="s">
        <v>14</v>
      </c>
      <c r="AS119" s="10" t="s">
        <v>2</v>
      </c>
      <c r="AT119" s="10" t="s">
        <v>2</v>
      </c>
      <c r="AU119" s="10" t="s">
        <v>2</v>
      </c>
      <c r="AV119" s="10" t="s">
        <v>3</v>
      </c>
      <c r="AW119" s="10" t="s">
        <v>141</v>
      </c>
    </row>
    <row r="120" spans="1:49" s="10" customFormat="1" x14ac:dyDescent="0.3">
      <c r="A120" s="10" t="s">
        <v>139</v>
      </c>
      <c r="B120" s="10" t="s">
        <v>131</v>
      </c>
      <c r="C120" s="10" t="s">
        <v>905</v>
      </c>
      <c r="E120" s="10">
        <v>2003</v>
      </c>
      <c r="F120" t="s">
        <v>2661</v>
      </c>
      <c r="G120" s="10" t="s">
        <v>34</v>
      </c>
      <c r="H120" s="10" t="s">
        <v>17</v>
      </c>
      <c r="I120" s="10" t="s">
        <v>834</v>
      </c>
      <c r="J120" s="10" t="s">
        <v>140</v>
      </c>
      <c r="K120" s="10">
        <v>20</v>
      </c>
      <c r="L120" s="10">
        <v>20</v>
      </c>
      <c r="M120" s="53"/>
      <c r="N120" s="14">
        <v>3.3</v>
      </c>
      <c r="O120" s="14">
        <v>0.3</v>
      </c>
      <c r="W120" s="10">
        <v>5.4</v>
      </c>
      <c r="X120" s="10">
        <v>0.6</v>
      </c>
      <c r="AD120" s="14">
        <f t="shared" ref="AD120:AD151" si="20">W120/N120</f>
        <v>1.6363636363636365</v>
      </c>
      <c r="AI120" s="14">
        <f t="shared" si="19"/>
        <v>1.6363636363636365</v>
      </c>
      <c r="AJ120" s="14"/>
      <c r="AK120" s="14"/>
      <c r="AL120">
        <f t="shared" si="17"/>
        <v>1.1037497438699546</v>
      </c>
      <c r="AM120"/>
      <c r="AN120"/>
      <c r="AO120">
        <f t="shared" si="14"/>
        <v>1.1037497438699546</v>
      </c>
      <c r="AP120">
        <f t="shared" si="18"/>
        <v>0.6420302457402306</v>
      </c>
      <c r="AQ120" s="10">
        <v>60</v>
      </c>
      <c r="AR120" s="10" t="s">
        <v>14</v>
      </c>
      <c r="AS120" s="10" t="s">
        <v>2</v>
      </c>
      <c r="AT120" s="10" t="s">
        <v>2</v>
      </c>
      <c r="AU120" s="10" t="s">
        <v>2</v>
      </c>
      <c r="AV120" s="10" t="s">
        <v>3</v>
      </c>
      <c r="AW120" s="10" t="s">
        <v>141</v>
      </c>
    </row>
    <row r="121" spans="1:49" s="10" customFormat="1" x14ac:dyDescent="0.3">
      <c r="A121" s="10" t="s">
        <v>139</v>
      </c>
      <c r="B121" s="10" t="s">
        <v>131</v>
      </c>
      <c r="C121" s="10" t="s">
        <v>905</v>
      </c>
      <c r="E121" s="10">
        <v>2003</v>
      </c>
      <c r="F121" t="s">
        <v>2661</v>
      </c>
      <c r="G121" s="10" t="s">
        <v>34</v>
      </c>
      <c r="H121" s="10" t="s">
        <v>17</v>
      </c>
      <c r="I121" s="10" t="s">
        <v>833</v>
      </c>
      <c r="J121" s="10" t="s">
        <v>140</v>
      </c>
      <c r="K121" s="10">
        <v>20</v>
      </c>
      <c r="L121" s="10">
        <v>20</v>
      </c>
      <c r="M121" s="53"/>
      <c r="N121" s="14">
        <v>2.2999999999999998</v>
      </c>
      <c r="O121" s="14">
        <v>0.3</v>
      </c>
      <c r="W121" s="10">
        <v>3.7</v>
      </c>
      <c r="X121" s="10">
        <v>0.4</v>
      </c>
      <c r="AD121" s="14">
        <f t="shared" si="20"/>
        <v>1.6086956521739133</v>
      </c>
      <c r="AI121" s="14">
        <f t="shared" si="19"/>
        <v>1.6086956521739133</v>
      </c>
      <c r="AJ121" s="14"/>
      <c r="AK121" s="14"/>
      <c r="AL121">
        <f t="shared" si="17"/>
        <v>1.4854864012064</v>
      </c>
      <c r="AM121"/>
      <c r="AN121"/>
      <c r="AO121">
        <f t="shared" si="14"/>
        <v>1.4854864012064</v>
      </c>
      <c r="AP121">
        <f t="shared" si="18"/>
        <v>0.75763573771162729</v>
      </c>
      <c r="AQ121" s="10">
        <v>60</v>
      </c>
      <c r="AR121" s="10" t="s">
        <v>14</v>
      </c>
      <c r="AS121" s="10" t="s">
        <v>2</v>
      </c>
      <c r="AT121" s="10" t="s">
        <v>2</v>
      </c>
      <c r="AU121" s="10" t="s">
        <v>2</v>
      </c>
      <c r="AV121" s="10" t="s">
        <v>3</v>
      </c>
      <c r="AW121" s="10" t="s">
        <v>141</v>
      </c>
    </row>
    <row r="122" spans="1:49" s="10" customFormat="1" x14ac:dyDescent="0.3">
      <c r="A122" s="10" t="s">
        <v>139</v>
      </c>
      <c r="B122" s="10" t="s">
        <v>131</v>
      </c>
      <c r="C122" s="10" t="s">
        <v>905</v>
      </c>
      <c r="E122" s="10">
        <v>2004</v>
      </c>
      <c r="F122" t="s">
        <v>2661</v>
      </c>
      <c r="G122" s="10" t="s">
        <v>34</v>
      </c>
      <c r="H122" s="10" t="s">
        <v>17</v>
      </c>
      <c r="I122" s="10" t="s">
        <v>834</v>
      </c>
      <c r="J122" s="10" t="s">
        <v>140</v>
      </c>
      <c r="K122" s="10">
        <v>20</v>
      </c>
      <c r="L122" s="10">
        <v>20</v>
      </c>
      <c r="M122" s="53"/>
      <c r="N122" s="14">
        <v>1.9</v>
      </c>
      <c r="O122" s="14">
        <v>0.2</v>
      </c>
      <c r="W122" s="10">
        <v>4.0999999999999996</v>
      </c>
      <c r="X122" s="10">
        <v>0.2</v>
      </c>
      <c r="AD122" s="14">
        <f t="shared" si="20"/>
        <v>2.1578947368421053</v>
      </c>
      <c r="AI122" s="14">
        <f t="shared" si="19"/>
        <v>2.1578947368421053</v>
      </c>
      <c r="AJ122" s="14"/>
      <c r="AK122" s="14"/>
      <c r="AL122">
        <f t="shared" si="17"/>
        <v>1.253520154081077</v>
      </c>
      <c r="AM122"/>
      <c r="AN122"/>
      <c r="AO122">
        <f t="shared" si="14"/>
        <v>1.253520154081077</v>
      </c>
      <c r="AP122">
        <f t="shared" si="18"/>
        <v>0.51884233444186412</v>
      </c>
      <c r="AQ122" s="10">
        <v>60</v>
      </c>
      <c r="AR122" s="10" t="s">
        <v>14</v>
      </c>
      <c r="AS122" s="10" t="s">
        <v>2</v>
      </c>
      <c r="AT122" s="10" t="s">
        <v>2</v>
      </c>
      <c r="AU122" s="10" t="s">
        <v>2</v>
      </c>
      <c r="AV122" s="10" t="s">
        <v>3</v>
      </c>
      <c r="AW122" s="10" t="s">
        <v>141</v>
      </c>
    </row>
    <row r="123" spans="1:49" s="10" customFormat="1" x14ac:dyDescent="0.3">
      <c r="A123" s="10" t="s">
        <v>139</v>
      </c>
      <c r="B123" s="10" t="s">
        <v>131</v>
      </c>
      <c r="C123" s="10" t="s">
        <v>905</v>
      </c>
      <c r="E123" s="10">
        <v>2004</v>
      </c>
      <c r="F123" t="s">
        <v>2661</v>
      </c>
      <c r="G123" s="10" t="s">
        <v>34</v>
      </c>
      <c r="H123" s="10" t="s">
        <v>17</v>
      </c>
      <c r="I123" s="10" t="s">
        <v>833</v>
      </c>
      <c r="J123" s="10" t="s">
        <v>140</v>
      </c>
      <c r="K123" s="10">
        <v>20</v>
      </c>
      <c r="L123" s="10">
        <v>20</v>
      </c>
      <c r="M123" s="53"/>
      <c r="N123" s="14">
        <v>2</v>
      </c>
      <c r="O123" s="14">
        <v>0.1</v>
      </c>
      <c r="W123" s="10">
        <v>4.2</v>
      </c>
      <c r="X123" s="10">
        <v>0.1</v>
      </c>
      <c r="AD123" s="14">
        <f t="shared" si="20"/>
        <v>2.1</v>
      </c>
      <c r="AI123" s="14">
        <f t="shared" si="19"/>
        <v>2.1</v>
      </c>
      <c r="AJ123" s="14"/>
      <c r="AK123" s="14"/>
      <c r="AL123">
        <f t="shared" si="17"/>
        <v>0.27050000000000007</v>
      </c>
      <c r="AM123"/>
      <c r="AN123"/>
      <c r="AO123">
        <f t="shared" si="14"/>
        <v>0.27050000000000007</v>
      </c>
      <c r="AP123">
        <f t="shared" si="18"/>
        <v>0.24766483093230182</v>
      </c>
      <c r="AQ123" s="10">
        <v>60</v>
      </c>
      <c r="AR123" s="10" t="s">
        <v>14</v>
      </c>
      <c r="AS123" s="10" t="s">
        <v>2</v>
      </c>
      <c r="AT123" s="10" t="s">
        <v>2</v>
      </c>
      <c r="AU123" s="10" t="s">
        <v>2</v>
      </c>
      <c r="AV123" s="10" t="s">
        <v>3</v>
      </c>
      <c r="AW123" s="10" t="s">
        <v>141</v>
      </c>
    </row>
    <row r="124" spans="1:49" s="10" customFormat="1" x14ac:dyDescent="0.3">
      <c r="A124" s="10" t="s">
        <v>139</v>
      </c>
      <c r="B124" s="10" t="s">
        <v>131</v>
      </c>
      <c r="C124" s="10" t="s">
        <v>905</v>
      </c>
      <c r="E124" s="10">
        <v>2005</v>
      </c>
      <c r="F124" t="s">
        <v>2661</v>
      </c>
      <c r="G124" s="10" t="s">
        <v>34</v>
      </c>
      <c r="H124" s="10" t="s">
        <v>17</v>
      </c>
      <c r="I124" s="10" t="s">
        <v>834</v>
      </c>
      <c r="J124" s="10" t="s">
        <v>140</v>
      </c>
      <c r="K124" s="10">
        <v>20</v>
      </c>
      <c r="L124" s="10">
        <v>20</v>
      </c>
      <c r="M124" s="53"/>
      <c r="N124" s="14">
        <v>2.7</v>
      </c>
      <c r="O124" s="14">
        <v>0.2</v>
      </c>
      <c r="W124" s="10">
        <v>5.6</v>
      </c>
      <c r="X124" s="10">
        <v>0.3</v>
      </c>
      <c r="AD124" s="14">
        <f t="shared" si="20"/>
        <v>2.074074074074074</v>
      </c>
      <c r="AI124" s="14">
        <f t="shared" si="19"/>
        <v>2.074074074074074</v>
      </c>
      <c r="AJ124" s="14"/>
      <c r="AK124" s="14"/>
      <c r="AL124">
        <f t="shared" si="17"/>
        <v>0.71898856128902344</v>
      </c>
      <c r="AM124"/>
      <c r="AN124"/>
      <c r="AO124">
        <f t="shared" si="14"/>
        <v>0.71898856128902344</v>
      </c>
      <c r="AP124">
        <f t="shared" si="18"/>
        <v>0.40882432435252886</v>
      </c>
      <c r="AQ124" s="10">
        <v>60</v>
      </c>
      <c r="AR124" s="10" t="s">
        <v>14</v>
      </c>
      <c r="AS124" s="10" t="s">
        <v>2</v>
      </c>
      <c r="AT124" s="10" t="s">
        <v>2</v>
      </c>
      <c r="AU124" s="10" t="s">
        <v>2</v>
      </c>
      <c r="AV124" s="10" t="s">
        <v>3</v>
      </c>
      <c r="AW124" s="10" t="s">
        <v>141</v>
      </c>
    </row>
    <row r="125" spans="1:49" s="10" customFormat="1" x14ac:dyDescent="0.3">
      <c r="A125" s="10" t="s">
        <v>139</v>
      </c>
      <c r="B125" s="10" t="s">
        <v>131</v>
      </c>
      <c r="C125" s="10" t="s">
        <v>905</v>
      </c>
      <c r="E125" s="10">
        <v>2005</v>
      </c>
      <c r="F125" t="s">
        <v>2661</v>
      </c>
      <c r="G125" s="10" t="s">
        <v>34</v>
      </c>
      <c r="H125" s="10" t="s">
        <v>17</v>
      </c>
      <c r="I125" s="10" t="s">
        <v>833</v>
      </c>
      <c r="J125" s="10" t="s">
        <v>140</v>
      </c>
      <c r="K125" s="10">
        <v>20</v>
      </c>
      <c r="L125" s="10">
        <v>20</v>
      </c>
      <c r="M125" s="53"/>
      <c r="N125" s="14">
        <v>2</v>
      </c>
      <c r="O125" s="14">
        <v>0.1</v>
      </c>
      <c r="W125" s="10">
        <v>3.4</v>
      </c>
      <c r="X125" s="10">
        <v>0.2</v>
      </c>
      <c r="AD125" s="14">
        <f t="shared" si="20"/>
        <v>1.7</v>
      </c>
      <c r="AI125" s="14">
        <f t="shared" si="19"/>
        <v>1.7</v>
      </c>
      <c r="AJ125" s="14"/>
      <c r="AK125" s="14"/>
      <c r="AL125">
        <f t="shared" si="17"/>
        <v>0.34450000000000003</v>
      </c>
      <c r="AM125"/>
      <c r="AN125"/>
      <c r="AO125">
        <f t="shared" si="14"/>
        <v>0.34450000000000003</v>
      </c>
      <c r="AP125">
        <f t="shared" si="18"/>
        <v>0.34525954331362801</v>
      </c>
      <c r="AQ125" s="10">
        <v>60</v>
      </c>
      <c r="AR125" s="10" t="s">
        <v>14</v>
      </c>
      <c r="AS125" s="10" t="s">
        <v>2</v>
      </c>
      <c r="AT125" s="10" t="s">
        <v>2</v>
      </c>
      <c r="AU125" s="10" t="s">
        <v>2</v>
      </c>
      <c r="AV125" s="10" t="s">
        <v>3</v>
      </c>
      <c r="AW125" s="10" t="s">
        <v>141</v>
      </c>
    </row>
    <row r="126" spans="1:49" s="10" customFormat="1" x14ac:dyDescent="0.3">
      <c r="A126" s="10" t="s">
        <v>139</v>
      </c>
      <c r="B126" s="10" t="s">
        <v>131</v>
      </c>
      <c r="C126" s="10" t="s">
        <v>905</v>
      </c>
      <c r="E126" s="10">
        <v>2006</v>
      </c>
      <c r="F126" t="s">
        <v>2661</v>
      </c>
      <c r="G126" s="10" t="s">
        <v>34</v>
      </c>
      <c r="H126" s="10" t="s">
        <v>17</v>
      </c>
      <c r="I126" s="10" t="s">
        <v>834</v>
      </c>
      <c r="J126" s="10" t="s">
        <v>140</v>
      </c>
      <c r="K126" s="10">
        <v>20</v>
      </c>
      <c r="L126" s="10">
        <v>20</v>
      </c>
      <c r="M126" s="53"/>
      <c r="N126" s="14">
        <v>2.5</v>
      </c>
      <c r="O126" s="14">
        <v>0.2</v>
      </c>
      <c r="W126" s="10">
        <v>5.2</v>
      </c>
      <c r="X126" s="10">
        <v>0.2</v>
      </c>
      <c r="AD126" s="14">
        <f t="shared" si="20"/>
        <v>2.08</v>
      </c>
      <c r="AI126" s="14">
        <f t="shared" si="19"/>
        <v>2.08</v>
      </c>
      <c r="AJ126" s="14"/>
      <c r="AK126" s="14"/>
      <c r="AL126">
        <f t="shared" si="17"/>
        <v>0.68177920000000014</v>
      </c>
      <c r="AM126"/>
      <c r="AN126"/>
      <c r="AO126">
        <f t="shared" si="14"/>
        <v>0.68177920000000014</v>
      </c>
      <c r="AP126">
        <f t="shared" si="18"/>
        <v>0.39697077829050348</v>
      </c>
      <c r="AQ126" s="10">
        <v>60</v>
      </c>
      <c r="AR126" s="10" t="s">
        <v>14</v>
      </c>
      <c r="AS126" s="10" t="s">
        <v>2</v>
      </c>
      <c r="AT126" s="10" t="s">
        <v>2</v>
      </c>
      <c r="AU126" s="10" t="s">
        <v>2</v>
      </c>
      <c r="AV126" s="10" t="s">
        <v>3</v>
      </c>
      <c r="AW126" s="10" t="s">
        <v>141</v>
      </c>
    </row>
    <row r="127" spans="1:49" s="10" customFormat="1" x14ac:dyDescent="0.3">
      <c r="A127" s="10" t="s">
        <v>139</v>
      </c>
      <c r="B127" s="10" t="s">
        <v>131</v>
      </c>
      <c r="C127" s="10" t="s">
        <v>906</v>
      </c>
      <c r="E127" s="10">
        <v>2003</v>
      </c>
      <c r="F127" t="s">
        <v>2661</v>
      </c>
      <c r="G127" s="10" t="s">
        <v>34</v>
      </c>
      <c r="H127" s="10" t="s">
        <v>17</v>
      </c>
      <c r="I127" s="10" t="s">
        <v>834</v>
      </c>
      <c r="J127" s="10" t="s">
        <v>140</v>
      </c>
      <c r="K127" s="10">
        <v>20</v>
      </c>
      <c r="L127" s="10">
        <v>20</v>
      </c>
      <c r="M127" s="53"/>
      <c r="N127" s="14">
        <v>1.9</v>
      </c>
      <c r="O127" s="14">
        <v>0.2</v>
      </c>
      <c r="W127" s="10">
        <v>3.2</v>
      </c>
      <c r="X127" s="10">
        <v>0.3</v>
      </c>
      <c r="AD127" s="14">
        <f t="shared" si="20"/>
        <v>1.6842105263157896</v>
      </c>
      <c r="AI127" s="14">
        <f t="shared" si="19"/>
        <v>1.6842105263157896</v>
      </c>
      <c r="AJ127" s="14"/>
      <c r="AK127" s="14"/>
      <c r="AL127">
        <f t="shared" si="17"/>
        <v>1.1272166419840244</v>
      </c>
      <c r="AM127"/>
      <c r="AN127"/>
      <c r="AO127">
        <f t="shared" si="14"/>
        <v>1.1272166419840244</v>
      </c>
      <c r="AP127">
        <f t="shared" si="18"/>
        <v>0.63038710186634217</v>
      </c>
      <c r="AQ127" s="10">
        <v>60</v>
      </c>
      <c r="AR127" s="10" t="s">
        <v>14</v>
      </c>
      <c r="AS127" s="10" t="s">
        <v>2</v>
      </c>
      <c r="AT127" s="10" t="s">
        <v>2</v>
      </c>
      <c r="AU127" s="10" t="s">
        <v>2</v>
      </c>
      <c r="AV127" s="10" t="s">
        <v>3</v>
      </c>
      <c r="AW127" s="10" t="s">
        <v>141</v>
      </c>
    </row>
    <row r="128" spans="1:49" s="10" customFormat="1" x14ac:dyDescent="0.3">
      <c r="A128" s="10" t="s">
        <v>139</v>
      </c>
      <c r="B128" s="10" t="s">
        <v>131</v>
      </c>
      <c r="C128" s="10" t="s">
        <v>906</v>
      </c>
      <c r="E128" s="10">
        <v>2003</v>
      </c>
      <c r="F128" t="s">
        <v>2661</v>
      </c>
      <c r="G128" s="10" t="s">
        <v>34</v>
      </c>
      <c r="H128" s="10" t="s">
        <v>17</v>
      </c>
      <c r="I128" s="10" t="s">
        <v>833</v>
      </c>
      <c r="J128" s="10" t="s">
        <v>140</v>
      </c>
      <c r="K128" s="10">
        <v>20</v>
      </c>
      <c r="L128" s="10">
        <v>20</v>
      </c>
      <c r="M128" s="53"/>
      <c r="N128" s="14">
        <v>0.5</v>
      </c>
      <c r="O128" s="14">
        <v>0</v>
      </c>
      <c r="W128" s="10">
        <v>1.1000000000000001</v>
      </c>
      <c r="X128" s="10">
        <v>0.1</v>
      </c>
      <c r="AD128" s="14">
        <f t="shared" si="20"/>
        <v>2.2000000000000002</v>
      </c>
      <c r="AI128" s="14">
        <f t="shared" si="19"/>
        <v>2.2000000000000002</v>
      </c>
      <c r="AJ128" s="14"/>
      <c r="AK128" s="14"/>
      <c r="AL128">
        <f t="shared" si="17"/>
        <v>0.80000000000000016</v>
      </c>
      <c r="AM128"/>
      <c r="AN128"/>
      <c r="AO128">
        <f t="shared" si="14"/>
        <v>0.80000000000000016</v>
      </c>
      <c r="AP128">
        <f t="shared" si="18"/>
        <v>0.40655781409087088</v>
      </c>
      <c r="AQ128" s="10">
        <v>60</v>
      </c>
      <c r="AR128" s="10" t="s">
        <v>14</v>
      </c>
      <c r="AS128" s="10" t="s">
        <v>2</v>
      </c>
      <c r="AT128" s="10" t="s">
        <v>2</v>
      </c>
      <c r="AU128" s="10" t="s">
        <v>2</v>
      </c>
      <c r="AV128" s="10" t="s">
        <v>3</v>
      </c>
      <c r="AW128" s="10" t="s">
        <v>141</v>
      </c>
    </row>
    <row r="129" spans="1:49" s="10" customFormat="1" x14ac:dyDescent="0.3">
      <c r="A129" s="10" t="s">
        <v>139</v>
      </c>
      <c r="B129" s="10" t="s">
        <v>131</v>
      </c>
      <c r="C129" s="10" t="s">
        <v>906</v>
      </c>
      <c r="E129" s="10">
        <v>2004</v>
      </c>
      <c r="F129" t="s">
        <v>2661</v>
      </c>
      <c r="G129" s="10" t="s">
        <v>34</v>
      </c>
      <c r="H129" s="10" t="s">
        <v>17</v>
      </c>
      <c r="I129" s="10" t="s">
        <v>834</v>
      </c>
      <c r="J129" s="10" t="s">
        <v>140</v>
      </c>
      <c r="K129" s="10">
        <v>20</v>
      </c>
      <c r="L129" s="10">
        <v>20</v>
      </c>
      <c r="M129" s="53"/>
      <c r="N129" s="14">
        <v>1.9</v>
      </c>
      <c r="O129" s="14">
        <v>0.2</v>
      </c>
      <c r="W129" s="10">
        <v>3.7</v>
      </c>
      <c r="X129" s="10">
        <v>0.3</v>
      </c>
      <c r="AD129" s="14">
        <f t="shared" si="20"/>
        <v>1.9473684210526319</v>
      </c>
      <c r="AI129" s="14">
        <f t="shared" si="19"/>
        <v>1.9473684210526319</v>
      </c>
      <c r="AJ129" s="14"/>
      <c r="AK129" s="14"/>
      <c r="AL129">
        <f t="shared" si="17"/>
        <v>1.3390013888782317</v>
      </c>
      <c r="AM129"/>
      <c r="AN129"/>
      <c r="AO129">
        <f t="shared" si="14"/>
        <v>1.3390013888782317</v>
      </c>
      <c r="AP129">
        <f t="shared" si="18"/>
        <v>0.59421333070285687</v>
      </c>
      <c r="AQ129" s="10">
        <v>60</v>
      </c>
      <c r="AR129" s="10" t="s">
        <v>14</v>
      </c>
      <c r="AS129" s="10" t="s">
        <v>2</v>
      </c>
      <c r="AT129" s="10" t="s">
        <v>2</v>
      </c>
      <c r="AU129" s="10" t="s">
        <v>2</v>
      </c>
      <c r="AV129" s="10" t="s">
        <v>3</v>
      </c>
      <c r="AW129" s="10" t="s">
        <v>141</v>
      </c>
    </row>
    <row r="130" spans="1:49" s="10" customFormat="1" x14ac:dyDescent="0.3">
      <c r="A130" s="10" t="s">
        <v>139</v>
      </c>
      <c r="B130" s="10" t="s">
        <v>131</v>
      </c>
      <c r="C130" s="10" t="s">
        <v>906</v>
      </c>
      <c r="E130" s="10">
        <v>2004</v>
      </c>
      <c r="F130" t="s">
        <v>2661</v>
      </c>
      <c r="G130" s="10" t="s">
        <v>34</v>
      </c>
      <c r="H130" s="10" t="s">
        <v>17</v>
      </c>
      <c r="I130" s="10" t="s">
        <v>833</v>
      </c>
      <c r="J130" s="10" t="s">
        <v>140</v>
      </c>
      <c r="K130" s="10">
        <v>20</v>
      </c>
      <c r="L130" s="10">
        <v>20</v>
      </c>
      <c r="M130" s="53"/>
      <c r="N130" s="14">
        <v>2.6</v>
      </c>
      <c r="O130" s="14">
        <v>0.1</v>
      </c>
      <c r="W130" s="10">
        <v>4.8</v>
      </c>
      <c r="X130" s="10">
        <v>0.1</v>
      </c>
      <c r="AD130" s="14">
        <f t="shared" si="20"/>
        <v>1.846153846153846</v>
      </c>
      <c r="AI130" s="14">
        <f t="shared" si="19"/>
        <v>1.846153846153846</v>
      </c>
      <c r="AJ130" s="14"/>
      <c r="AK130" s="14"/>
      <c r="AL130">
        <f t="shared" si="17"/>
        <v>0.13042260425055144</v>
      </c>
      <c r="AM130"/>
      <c r="AN130"/>
      <c r="AO130">
        <f t="shared" si="14"/>
        <v>0.13042260425055144</v>
      </c>
      <c r="AP130">
        <f t="shared" si="18"/>
        <v>0.19561787845727088</v>
      </c>
      <c r="AQ130" s="10">
        <v>60</v>
      </c>
      <c r="AR130" s="10" t="s">
        <v>14</v>
      </c>
      <c r="AS130" s="10" t="s">
        <v>2</v>
      </c>
      <c r="AT130" s="10" t="s">
        <v>2</v>
      </c>
      <c r="AU130" s="10" t="s">
        <v>2</v>
      </c>
      <c r="AV130" s="10" t="s">
        <v>3</v>
      </c>
      <c r="AW130" s="10" t="s">
        <v>141</v>
      </c>
    </row>
    <row r="131" spans="1:49" s="10" customFormat="1" x14ac:dyDescent="0.3">
      <c r="A131" s="10" t="s">
        <v>139</v>
      </c>
      <c r="B131" s="10" t="s">
        <v>131</v>
      </c>
      <c r="C131" s="10" t="s">
        <v>906</v>
      </c>
      <c r="E131" s="10">
        <v>2005</v>
      </c>
      <c r="F131" t="s">
        <v>2661</v>
      </c>
      <c r="G131" s="10" t="s">
        <v>34</v>
      </c>
      <c r="H131" s="10" t="s">
        <v>17</v>
      </c>
      <c r="I131" s="10" t="s">
        <v>834</v>
      </c>
      <c r="J131" s="10" t="s">
        <v>140</v>
      </c>
      <c r="K131" s="10">
        <v>20</v>
      </c>
      <c r="L131" s="10">
        <v>20</v>
      </c>
      <c r="M131" s="53"/>
      <c r="N131" s="14">
        <v>1.6</v>
      </c>
      <c r="O131" s="14">
        <v>0.1</v>
      </c>
      <c r="W131" s="10">
        <v>3.9</v>
      </c>
      <c r="X131" s="10">
        <v>0.2</v>
      </c>
      <c r="AD131" s="14">
        <f t="shared" si="20"/>
        <v>2.4375</v>
      </c>
      <c r="AI131" s="14">
        <f t="shared" si="19"/>
        <v>2.4375</v>
      </c>
      <c r="AJ131" s="14"/>
      <c r="AK131" s="14"/>
      <c r="AL131">
        <f t="shared" si="17"/>
        <v>0.77667236328124978</v>
      </c>
      <c r="AM131"/>
      <c r="AN131"/>
      <c r="AO131">
        <f t="shared" ref="AO131:AO182" si="21">AL131+AM131+AN131</f>
        <v>0.77667236328124978</v>
      </c>
      <c r="AP131">
        <f t="shared" si="18"/>
        <v>0.3615549414320024</v>
      </c>
      <c r="AQ131" s="10">
        <v>60</v>
      </c>
      <c r="AR131" s="10" t="s">
        <v>14</v>
      </c>
      <c r="AS131" s="10" t="s">
        <v>2</v>
      </c>
      <c r="AT131" s="10" t="s">
        <v>2</v>
      </c>
      <c r="AU131" s="10" t="s">
        <v>2</v>
      </c>
      <c r="AV131" s="10" t="s">
        <v>3</v>
      </c>
      <c r="AW131" s="10" t="s">
        <v>141</v>
      </c>
    </row>
    <row r="132" spans="1:49" s="10" customFormat="1" x14ac:dyDescent="0.3">
      <c r="A132" s="10" t="s">
        <v>139</v>
      </c>
      <c r="B132" s="10" t="s">
        <v>131</v>
      </c>
      <c r="C132" s="10" t="s">
        <v>906</v>
      </c>
      <c r="E132" s="10">
        <v>2005</v>
      </c>
      <c r="F132" t="s">
        <v>2661</v>
      </c>
      <c r="G132" s="10" t="s">
        <v>34</v>
      </c>
      <c r="H132" s="10" t="s">
        <v>17</v>
      </c>
      <c r="I132" s="10" t="s">
        <v>833</v>
      </c>
      <c r="J132" s="10" t="s">
        <v>140</v>
      </c>
      <c r="K132" s="10">
        <v>20</v>
      </c>
      <c r="L132" s="10">
        <v>20</v>
      </c>
      <c r="M132" s="53"/>
      <c r="N132" s="14">
        <v>2.4</v>
      </c>
      <c r="O132" s="14">
        <v>0.3</v>
      </c>
      <c r="W132" s="10">
        <v>3.6</v>
      </c>
      <c r="X132" s="10">
        <v>0.3</v>
      </c>
      <c r="AD132" s="14">
        <f t="shared" si="20"/>
        <v>1.5</v>
      </c>
      <c r="AI132" s="14">
        <f t="shared" si="19"/>
        <v>1.5</v>
      </c>
      <c r="AJ132" s="14"/>
      <c r="AK132" s="14"/>
      <c r="AL132">
        <f t="shared" si="17"/>
        <v>1.015625</v>
      </c>
      <c r="AM132"/>
      <c r="AN132"/>
      <c r="AO132">
        <f t="shared" si="21"/>
        <v>1.015625</v>
      </c>
      <c r="AP132">
        <f t="shared" si="18"/>
        <v>0.67185481235821243</v>
      </c>
      <c r="AQ132" s="10">
        <v>60</v>
      </c>
      <c r="AR132" s="10" t="s">
        <v>14</v>
      </c>
      <c r="AS132" s="10" t="s">
        <v>2</v>
      </c>
      <c r="AT132" s="10" t="s">
        <v>2</v>
      </c>
      <c r="AU132" s="10" t="s">
        <v>2</v>
      </c>
      <c r="AV132" s="10" t="s">
        <v>3</v>
      </c>
      <c r="AW132" s="10" t="s">
        <v>141</v>
      </c>
    </row>
    <row r="133" spans="1:49" s="10" customFormat="1" x14ac:dyDescent="0.3">
      <c r="A133" s="10" t="s">
        <v>139</v>
      </c>
      <c r="B133" s="10" t="s">
        <v>131</v>
      </c>
      <c r="C133" s="10" t="s">
        <v>906</v>
      </c>
      <c r="E133" s="10">
        <v>2006</v>
      </c>
      <c r="F133" t="s">
        <v>2661</v>
      </c>
      <c r="G133" s="10" t="s">
        <v>34</v>
      </c>
      <c r="H133" s="10" t="s">
        <v>17</v>
      </c>
      <c r="I133" s="10" t="s">
        <v>834</v>
      </c>
      <c r="J133" s="10" t="s">
        <v>140</v>
      </c>
      <c r="K133" s="10">
        <v>20</v>
      </c>
      <c r="L133" s="10">
        <v>20</v>
      </c>
      <c r="M133" s="53"/>
      <c r="N133" s="14">
        <v>2.2000000000000002</v>
      </c>
      <c r="O133" s="14">
        <v>0.2</v>
      </c>
      <c r="W133" s="10">
        <v>4.7</v>
      </c>
      <c r="X133" s="10">
        <v>0.2</v>
      </c>
      <c r="AD133" s="14">
        <f t="shared" si="20"/>
        <v>2.1363636363636362</v>
      </c>
      <c r="AI133" s="14">
        <f t="shared" si="19"/>
        <v>2.1363636363636362</v>
      </c>
      <c r="AJ133" s="14"/>
      <c r="AK133" s="14"/>
      <c r="AL133">
        <f t="shared" si="17"/>
        <v>0.91967761764906786</v>
      </c>
      <c r="AM133"/>
      <c r="AN133"/>
      <c r="AO133">
        <f t="shared" si="21"/>
        <v>0.91967761764906786</v>
      </c>
      <c r="AP133">
        <f t="shared" si="18"/>
        <v>0.44889279156269918</v>
      </c>
      <c r="AQ133" s="10">
        <v>60</v>
      </c>
      <c r="AR133" s="10" t="s">
        <v>14</v>
      </c>
      <c r="AS133" s="10" t="s">
        <v>2</v>
      </c>
      <c r="AT133" s="10" t="s">
        <v>2</v>
      </c>
      <c r="AU133" s="10" t="s">
        <v>2</v>
      </c>
      <c r="AV133" s="10" t="s">
        <v>3</v>
      </c>
      <c r="AW133" s="10" t="s">
        <v>141</v>
      </c>
    </row>
    <row r="134" spans="1:49" s="10" customFormat="1" x14ac:dyDescent="0.3">
      <c r="A134" s="10" t="s">
        <v>139</v>
      </c>
      <c r="B134" s="10" t="s">
        <v>131</v>
      </c>
      <c r="C134" s="10" t="s">
        <v>907</v>
      </c>
      <c r="E134" s="10">
        <v>2003</v>
      </c>
      <c r="F134" t="s">
        <v>2661</v>
      </c>
      <c r="G134" s="10" t="s">
        <v>34</v>
      </c>
      <c r="H134" s="10" t="s">
        <v>17</v>
      </c>
      <c r="I134" s="10" t="s">
        <v>834</v>
      </c>
      <c r="J134" s="10" t="s">
        <v>140</v>
      </c>
      <c r="K134" s="10">
        <v>20</v>
      </c>
      <c r="L134" s="10">
        <v>20</v>
      </c>
      <c r="M134" s="53"/>
      <c r="N134" s="14">
        <v>2.9</v>
      </c>
      <c r="O134" s="14">
        <v>0.2</v>
      </c>
      <c r="W134" s="10">
        <v>4.0999999999999996</v>
      </c>
      <c r="X134" s="10">
        <v>0.4</v>
      </c>
      <c r="AD134" s="14">
        <f t="shared" si="20"/>
        <v>1.4137931034482758</v>
      </c>
      <c r="AI134" s="14">
        <f t="shared" si="19"/>
        <v>1.4137931034482758</v>
      </c>
      <c r="AJ134" s="14"/>
      <c r="AK134" s="14"/>
      <c r="AL134">
        <f t="shared" si="17"/>
        <v>0.57063599898767259</v>
      </c>
      <c r="AM134"/>
      <c r="AN134"/>
      <c r="AO134">
        <f t="shared" si="21"/>
        <v>0.57063599898767259</v>
      </c>
      <c r="AP134">
        <f t="shared" si="18"/>
        <v>0.53431051889885928</v>
      </c>
      <c r="AQ134" s="10">
        <v>60</v>
      </c>
      <c r="AR134" s="10" t="s">
        <v>14</v>
      </c>
      <c r="AS134" s="10" t="s">
        <v>2</v>
      </c>
      <c r="AT134" s="10" t="s">
        <v>2</v>
      </c>
      <c r="AU134" s="10" t="s">
        <v>2</v>
      </c>
      <c r="AV134" s="10" t="s">
        <v>3</v>
      </c>
      <c r="AW134" s="10" t="s">
        <v>141</v>
      </c>
    </row>
    <row r="135" spans="1:49" s="10" customFormat="1" x14ac:dyDescent="0.3">
      <c r="A135" s="10" t="s">
        <v>139</v>
      </c>
      <c r="B135" s="10" t="s">
        <v>131</v>
      </c>
      <c r="C135" s="10" t="s">
        <v>907</v>
      </c>
      <c r="E135" s="10">
        <v>2003</v>
      </c>
      <c r="F135" t="s">
        <v>2661</v>
      </c>
      <c r="G135" s="10" t="s">
        <v>34</v>
      </c>
      <c r="H135" s="10" t="s">
        <v>17</v>
      </c>
      <c r="I135" s="10" t="s">
        <v>833</v>
      </c>
      <c r="J135" s="10" t="s">
        <v>140</v>
      </c>
      <c r="K135" s="10">
        <v>20</v>
      </c>
      <c r="L135" s="10">
        <v>20</v>
      </c>
      <c r="M135" s="53"/>
      <c r="N135" s="14">
        <v>3.7</v>
      </c>
      <c r="O135" s="14">
        <v>0.2</v>
      </c>
      <c r="W135" s="10">
        <v>4.7</v>
      </c>
      <c r="X135" s="10">
        <v>0.2</v>
      </c>
      <c r="AD135" s="14">
        <f t="shared" si="20"/>
        <v>1.2702702702702702</v>
      </c>
      <c r="AI135" s="14">
        <f t="shared" si="19"/>
        <v>1.2702702702702702</v>
      </c>
      <c r="AJ135" s="14"/>
      <c r="AK135" s="14"/>
      <c r="AL135">
        <f t="shared" si="17"/>
        <v>0.1527296747718046</v>
      </c>
      <c r="AM135"/>
      <c r="AN135"/>
      <c r="AO135">
        <f t="shared" si="21"/>
        <v>0.1527296747718046</v>
      </c>
      <c r="AP135">
        <f t="shared" si="18"/>
        <v>0.30765613485217175</v>
      </c>
      <c r="AQ135" s="10">
        <v>60</v>
      </c>
      <c r="AR135" s="10" t="s">
        <v>14</v>
      </c>
      <c r="AS135" s="10" t="s">
        <v>2</v>
      </c>
      <c r="AT135" s="10" t="s">
        <v>2</v>
      </c>
      <c r="AU135" s="10" t="s">
        <v>2</v>
      </c>
      <c r="AV135" s="10" t="s">
        <v>3</v>
      </c>
      <c r="AW135" s="10" t="s">
        <v>141</v>
      </c>
    </row>
    <row r="136" spans="1:49" s="10" customFormat="1" x14ac:dyDescent="0.3">
      <c r="A136" s="10" t="s">
        <v>139</v>
      </c>
      <c r="B136" s="10" t="s">
        <v>131</v>
      </c>
      <c r="C136" s="10" t="s">
        <v>907</v>
      </c>
      <c r="E136" s="10">
        <v>2004</v>
      </c>
      <c r="F136" t="s">
        <v>2661</v>
      </c>
      <c r="G136" s="10" t="s">
        <v>34</v>
      </c>
      <c r="H136" s="10" t="s">
        <v>17</v>
      </c>
      <c r="I136" s="10" t="s">
        <v>834</v>
      </c>
      <c r="J136" s="10" t="s">
        <v>140</v>
      </c>
      <c r="K136" s="10">
        <v>20</v>
      </c>
      <c r="L136" s="10">
        <v>20</v>
      </c>
      <c r="M136" s="53"/>
      <c r="N136" s="14">
        <v>2.7</v>
      </c>
      <c r="O136" s="14">
        <v>0.1</v>
      </c>
      <c r="W136" s="10">
        <v>4.4000000000000004</v>
      </c>
      <c r="X136" s="10">
        <v>0.1</v>
      </c>
      <c r="AD136" s="14">
        <f t="shared" si="20"/>
        <v>1.6296296296296298</v>
      </c>
      <c r="AI136" s="14">
        <f t="shared" si="19"/>
        <v>1.6296296296296298</v>
      </c>
      <c r="AJ136" s="14"/>
      <c r="AK136" s="14"/>
      <c r="AL136">
        <f t="shared" si="17"/>
        <v>0.10029335335437048</v>
      </c>
      <c r="AM136"/>
      <c r="AN136"/>
      <c r="AO136">
        <f t="shared" si="21"/>
        <v>0.10029335335437048</v>
      </c>
      <c r="AP136">
        <f t="shared" si="18"/>
        <v>0.19433327240092921</v>
      </c>
      <c r="AQ136" s="10">
        <v>60</v>
      </c>
      <c r="AR136" s="10" t="s">
        <v>14</v>
      </c>
      <c r="AS136" s="10" t="s">
        <v>2</v>
      </c>
      <c r="AT136" s="10" t="s">
        <v>2</v>
      </c>
      <c r="AU136" s="10" t="s">
        <v>2</v>
      </c>
      <c r="AV136" s="10" t="s">
        <v>3</v>
      </c>
      <c r="AW136" s="10" t="s">
        <v>141</v>
      </c>
    </row>
    <row r="137" spans="1:49" s="10" customFormat="1" x14ac:dyDescent="0.3">
      <c r="A137" s="10" t="s">
        <v>139</v>
      </c>
      <c r="B137" s="10" t="s">
        <v>131</v>
      </c>
      <c r="C137" s="10" t="s">
        <v>907</v>
      </c>
      <c r="E137" s="10">
        <v>2004</v>
      </c>
      <c r="F137" t="s">
        <v>2661</v>
      </c>
      <c r="G137" s="10" t="s">
        <v>34</v>
      </c>
      <c r="H137" s="10" t="s">
        <v>17</v>
      </c>
      <c r="I137" s="10" t="s">
        <v>833</v>
      </c>
      <c r="J137" s="10" t="s">
        <v>140</v>
      </c>
      <c r="K137" s="10">
        <v>20</v>
      </c>
      <c r="L137" s="10">
        <v>20</v>
      </c>
      <c r="M137" s="53"/>
      <c r="N137" s="14">
        <v>2.1</v>
      </c>
      <c r="O137" s="14">
        <v>0.2</v>
      </c>
      <c r="W137" s="10">
        <v>4.0999999999999996</v>
      </c>
      <c r="X137" s="10">
        <v>0.2</v>
      </c>
      <c r="AD137" s="14">
        <f t="shared" si="20"/>
        <v>1.9523809523809521</v>
      </c>
      <c r="AI137" s="14">
        <f t="shared" si="19"/>
        <v>1.9523809523809521</v>
      </c>
      <c r="AJ137" s="14"/>
      <c r="AK137" s="14"/>
      <c r="AL137">
        <f t="shared" ref="AL137:AL168" si="22">(((X137*SQRT(L137))^2)/(N137^2))+((O137*SQRT(K137))^2)*(W137^2)/(N137^4)</f>
        <v>0.87288732575418693</v>
      </c>
      <c r="AM137"/>
      <c r="AN137"/>
      <c r="AO137">
        <f t="shared" si="21"/>
        <v>0.87288732575418693</v>
      </c>
      <c r="AP137">
        <f t="shared" ref="AP137:AP168" si="23">SQRT(AO137)/AI137</f>
        <v>0.47853590826733916</v>
      </c>
      <c r="AQ137" s="10">
        <v>60</v>
      </c>
      <c r="AR137" s="10" t="s">
        <v>14</v>
      </c>
      <c r="AS137" s="10" t="s">
        <v>2</v>
      </c>
      <c r="AT137" s="10" t="s">
        <v>2</v>
      </c>
      <c r="AU137" s="10" t="s">
        <v>2</v>
      </c>
      <c r="AV137" s="10" t="s">
        <v>3</v>
      </c>
      <c r="AW137" s="10" t="s">
        <v>141</v>
      </c>
    </row>
    <row r="138" spans="1:49" s="10" customFormat="1" x14ac:dyDescent="0.3">
      <c r="A138" s="10" t="s">
        <v>139</v>
      </c>
      <c r="B138" s="10" t="s">
        <v>131</v>
      </c>
      <c r="C138" s="10" t="s">
        <v>907</v>
      </c>
      <c r="E138" s="10">
        <v>2005</v>
      </c>
      <c r="F138" t="s">
        <v>2661</v>
      </c>
      <c r="G138" s="10" t="s">
        <v>34</v>
      </c>
      <c r="H138" s="10" t="s">
        <v>17</v>
      </c>
      <c r="I138" s="10" t="s">
        <v>834</v>
      </c>
      <c r="J138" s="10" t="s">
        <v>140</v>
      </c>
      <c r="K138" s="10">
        <v>20</v>
      </c>
      <c r="L138" s="10">
        <v>20</v>
      </c>
      <c r="M138" s="53"/>
      <c r="N138" s="14">
        <v>1.7</v>
      </c>
      <c r="O138" s="14">
        <v>0.1</v>
      </c>
      <c r="W138" s="10">
        <v>3.6</v>
      </c>
      <c r="X138" s="10">
        <v>0.2</v>
      </c>
      <c r="AD138" s="14">
        <f t="shared" si="20"/>
        <v>2.1176470588235294</v>
      </c>
      <c r="AI138" s="14">
        <f t="shared" si="19"/>
        <v>2.1176470588235294</v>
      </c>
      <c r="AJ138" s="14"/>
      <c r="AK138" s="14"/>
      <c r="AL138">
        <f t="shared" si="22"/>
        <v>0.58715772081272988</v>
      </c>
      <c r="AM138"/>
      <c r="AN138"/>
      <c r="AO138">
        <f t="shared" si="21"/>
        <v>0.58715772081272988</v>
      </c>
      <c r="AP138">
        <f t="shared" si="23"/>
        <v>0.36184602707624602</v>
      </c>
      <c r="AQ138" s="10">
        <v>60</v>
      </c>
      <c r="AR138" s="10" t="s">
        <v>14</v>
      </c>
      <c r="AS138" s="10" t="s">
        <v>2</v>
      </c>
      <c r="AT138" s="10" t="s">
        <v>2</v>
      </c>
      <c r="AU138" s="10" t="s">
        <v>2</v>
      </c>
      <c r="AV138" s="10" t="s">
        <v>3</v>
      </c>
      <c r="AW138" s="10" t="s">
        <v>141</v>
      </c>
    </row>
    <row r="139" spans="1:49" s="10" customFormat="1" x14ac:dyDescent="0.3">
      <c r="A139" s="10" t="s">
        <v>139</v>
      </c>
      <c r="B139" s="10" t="s">
        <v>131</v>
      </c>
      <c r="C139" s="10" t="s">
        <v>907</v>
      </c>
      <c r="E139" s="10">
        <v>2005</v>
      </c>
      <c r="F139" t="s">
        <v>2661</v>
      </c>
      <c r="G139" s="10" t="s">
        <v>34</v>
      </c>
      <c r="H139" s="10" t="s">
        <v>17</v>
      </c>
      <c r="I139" s="10" t="s">
        <v>833</v>
      </c>
      <c r="J139" s="10" t="s">
        <v>140</v>
      </c>
      <c r="K139" s="10">
        <v>20</v>
      </c>
      <c r="L139" s="10">
        <v>20</v>
      </c>
      <c r="M139" s="53"/>
      <c r="N139" s="14">
        <v>0.8</v>
      </c>
      <c r="O139" s="14">
        <v>0</v>
      </c>
      <c r="W139" s="10">
        <v>3</v>
      </c>
      <c r="X139" s="10">
        <v>0.1</v>
      </c>
      <c r="AD139" s="14">
        <f t="shared" si="20"/>
        <v>3.75</v>
      </c>
      <c r="AI139" s="14">
        <f t="shared" si="19"/>
        <v>3.75</v>
      </c>
      <c r="AJ139" s="14"/>
      <c r="AK139" s="14"/>
      <c r="AL139">
        <f t="shared" si="22"/>
        <v>0.3125</v>
      </c>
      <c r="AM139"/>
      <c r="AN139"/>
      <c r="AO139">
        <f t="shared" si="21"/>
        <v>0.3125</v>
      </c>
      <c r="AP139">
        <f t="shared" si="23"/>
        <v>0.14907119849998599</v>
      </c>
      <c r="AQ139" s="10">
        <v>60</v>
      </c>
      <c r="AR139" s="10" t="s">
        <v>14</v>
      </c>
      <c r="AS139" s="10" t="s">
        <v>2</v>
      </c>
      <c r="AT139" s="10" t="s">
        <v>2</v>
      </c>
      <c r="AU139" s="10" t="s">
        <v>2</v>
      </c>
      <c r="AV139" s="10" t="s">
        <v>3</v>
      </c>
      <c r="AW139" s="10" t="s">
        <v>141</v>
      </c>
    </row>
    <row r="140" spans="1:49" s="10" customFormat="1" x14ac:dyDescent="0.3">
      <c r="A140" s="10" t="s">
        <v>139</v>
      </c>
      <c r="B140" s="10" t="s">
        <v>131</v>
      </c>
      <c r="C140" s="10" t="s">
        <v>907</v>
      </c>
      <c r="E140" s="10">
        <v>2006</v>
      </c>
      <c r="F140" t="s">
        <v>2661</v>
      </c>
      <c r="G140" s="10" t="s">
        <v>34</v>
      </c>
      <c r="H140" s="10" t="s">
        <v>17</v>
      </c>
      <c r="I140" s="10" t="s">
        <v>834</v>
      </c>
      <c r="J140" s="10" t="s">
        <v>140</v>
      </c>
      <c r="K140" s="10">
        <v>20</v>
      </c>
      <c r="L140" s="10">
        <v>20</v>
      </c>
      <c r="M140" s="53"/>
      <c r="N140" s="14">
        <v>1.5</v>
      </c>
      <c r="O140" s="14">
        <v>0.1</v>
      </c>
      <c r="W140" s="10">
        <v>4.2</v>
      </c>
      <c r="X140" s="10">
        <v>0.1</v>
      </c>
      <c r="AD140" s="14">
        <f t="shared" si="20"/>
        <v>2.8000000000000003</v>
      </c>
      <c r="AI140" s="14">
        <f t="shared" si="19"/>
        <v>2.8000000000000003</v>
      </c>
      <c r="AJ140" s="14"/>
      <c r="AK140" s="14"/>
      <c r="AL140">
        <f t="shared" si="22"/>
        <v>0.78577777777777802</v>
      </c>
      <c r="AM140"/>
      <c r="AN140"/>
      <c r="AO140">
        <f t="shared" si="21"/>
        <v>0.78577777777777802</v>
      </c>
      <c r="AP140">
        <f t="shared" si="23"/>
        <v>0.31658609787799358</v>
      </c>
      <c r="AQ140" s="10">
        <v>60</v>
      </c>
      <c r="AR140" s="10" t="s">
        <v>14</v>
      </c>
      <c r="AS140" s="10" t="s">
        <v>2</v>
      </c>
      <c r="AT140" s="10" t="s">
        <v>2</v>
      </c>
      <c r="AU140" s="10" t="s">
        <v>2</v>
      </c>
      <c r="AV140" s="10" t="s">
        <v>3</v>
      </c>
      <c r="AW140" s="10" t="s">
        <v>141</v>
      </c>
    </row>
    <row r="141" spans="1:49" s="10" customFormat="1" x14ac:dyDescent="0.3">
      <c r="A141" s="10" t="s">
        <v>139</v>
      </c>
      <c r="B141" s="10" t="s">
        <v>131</v>
      </c>
      <c r="C141" s="10" t="s">
        <v>908</v>
      </c>
      <c r="E141" s="10">
        <v>2003</v>
      </c>
      <c r="F141" t="s">
        <v>2661</v>
      </c>
      <c r="G141" s="10" t="s">
        <v>34</v>
      </c>
      <c r="H141" s="10" t="s">
        <v>17</v>
      </c>
      <c r="I141" s="10" t="s">
        <v>834</v>
      </c>
      <c r="J141" s="10" t="s">
        <v>140</v>
      </c>
      <c r="K141" s="10">
        <v>20</v>
      </c>
      <c r="L141" s="10">
        <v>20</v>
      </c>
      <c r="M141" s="53"/>
      <c r="N141" s="14">
        <v>3.3</v>
      </c>
      <c r="O141" s="14">
        <v>0.5</v>
      </c>
      <c r="W141" s="10">
        <v>4.5999999999999996</v>
      </c>
      <c r="X141" s="10">
        <v>0.2</v>
      </c>
      <c r="AD141" s="14">
        <f t="shared" si="20"/>
        <v>1.3939393939393938</v>
      </c>
      <c r="AI141" s="14">
        <f t="shared" si="19"/>
        <v>1.3939393939393938</v>
      </c>
      <c r="AJ141" s="14"/>
      <c r="AK141" s="14"/>
      <c r="AL141">
        <f t="shared" si="22"/>
        <v>0.9655955160588271</v>
      </c>
      <c r="AM141"/>
      <c r="AN141"/>
      <c r="AO141">
        <f t="shared" si="21"/>
        <v>0.9655955160588271</v>
      </c>
      <c r="AP141">
        <f t="shared" si="23"/>
        <v>0.70494255520434146</v>
      </c>
      <c r="AQ141" s="10">
        <v>60</v>
      </c>
      <c r="AR141" s="10" t="s">
        <v>14</v>
      </c>
      <c r="AS141" s="10" t="s">
        <v>2</v>
      </c>
      <c r="AT141" s="10" t="s">
        <v>2</v>
      </c>
      <c r="AU141" s="10" t="s">
        <v>2</v>
      </c>
      <c r="AV141" s="10" t="s">
        <v>3</v>
      </c>
      <c r="AW141" s="10" t="s">
        <v>141</v>
      </c>
    </row>
    <row r="142" spans="1:49" s="10" customFormat="1" x14ac:dyDescent="0.3">
      <c r="A142" s="10" t="s">
        <v>139</v>
      </c>
      <c r="B142" s="10" t="s">
        <v>131</v>
      </c>
      <c r="C142" s="10" t="s">
        <v>908</v>
      </c>
      <c r="E142" s="10">
        <v>2003</v>
      </c>
      <c r="F142" t="s">
        <v>2661</v>
      </c>
      <c r="G142" s="10" t="s">
        <v>34</v>
      </c>
      <c r="H142" s="10" t="s">
        <v>17</v>
      </c>
      <c r="I142" s="10" t="s">
        <v>833</v>
      </c>
      <c r="J142" s="10" t="s">
        <v>140</v>
      </c>
      <c r="K142" s="10">
        <v>20</v>
      </c>
      <c r="L142" s="10">
        <v>20</v>
      </c>
      <c r="M142" s="53"/>
      <c r="N142" s="14">
        <v>2.1</v>
      </c>
      <c r="O142" s="14">
        <v>0.2</v>
      </c>
      <c r="W142" s="10">
        <v>2.6</v>
      </c>
      <c r="X142" s="10">
        <v>0.3</v>
      </c>
      <c r="AD142" s="14">
        <f t="shared" si="20"/>
        <v>1.2380952380952381</v>
      </c>
      <c r="AI142" s="14">
        <f t="shared" si="19"/>
        <v>1.2380952380952381</v>
      </c>
      <c r="AJ142" s="14"/>
      <c r="AK142" s="14"/>
      <c r="AL142">
        <f t="shared" si="22"/>
        <v>0.68623670178577867</v>
      </c>
      <c r="AM142"/>
      <c r="AN142"/>
      <c r="AO142">
        <f t="shared" si="21"/>
        <v>0.68623670178577867</v>
      </c>
      <c r="AP142">
        <f t="shared" si="23"/>
        <v>0.66908750178188392</v>
      </c>
      <c r="AQ142" s="10">
        <v>60</v>
      </c>
      <c r="AR142" s="10" t="s">
        <v>14</v>
      </c>
      <c r="AS142" s="10" t="s">
        <v>2</v>
      </c>
      <c r="AT142" s="10" t="s">
        <v>2</v>
      </c>
      <c r="AU142" s="10" t="s">
        <v>2</v>
      </c>
      <c r="AV142" s="10" t="s">
        <v>3</v>
      </c>
      <c r="AW142" s="10" t="s">
        <v>141</v>
      </c>
    </row>
    <row r="143" spans="1:49" s="10" customFormat="1" x14ac:dyDescent="0.3">
      <c r="A143" s="10" t="s">
        <v>139</v>
      </c>
      <c r="B143" s="10" t="s">
        <v>131</v>
      </c>
      <c r="C143" s="10" t="s">
        <v>908</v>
      </c>
      <c r="E143" s="10">
        <v>2004</v>
      </c>
      <c r="F143" t="s">
        <v>2661</v>
      </c>
      <c r="G143" s="10" t="s">
        <v>34</v>
      </c>
      <c r="H143" s="10" t="s">
        <v>17</v>
      </c>
      <c r="I143" s="10" t="s">
        <v>834</v>
      </c>
      <c r="J143" s="10" t="s">
        <v>140</v>
      </c>
      <c r="K143" s="10">
        <v>20</v>
      </c>
      <c r="L143" s="10">
        <v>20</v>
      </c>
      <c r="M143" s="53"/>
      <c r="N143" s="14">
        <v>1.6</v>
      </c>
      <c r="O143" s="14">
        <v>0.4</v>
      </c>
      <c r="W143" s="10">
        <v>3</v>
      </c>
      <c r="X143" s="10">
        <v>0.3</v>
      </c>
      <c r="AD143" s="14">
        <f t="shared" si="20"/>
        <v>1.875</v>
      </c>
      <c r="AI143" s="14">
        <f t="shared" si="19"/>
        <v>1.875</v>
      </c>
      <c r="AJ143" s="14"/>
      <c r="AK143" s="14"/>
      <c r="AL143">
        <f t="shared" si="22"/>
        <v>5.0976562499999982</v>
      </c>
      <c r="AM143"/>
      <c r="AN143"/>
      <c r="AO143">
        <f t="shared" si="21"/>
        <v>5.0976562499999982</v>
      </c>
      <c r="AP143">
        <f t="shared" si="23"/>
        <v>1.2041594578792292</v>
      </c>
      <c r="AQ143" s="10">
        <v>60</v>
      </c>
      <c r="AR143" s="10" t="s">
        <v>14</v>
      </c>
      <c r="AS143" s="10" t="s">
        <v>2</v>
      </c>
      <c r="AT143" s="10" t="s">
        <v>2</v>
      </c>
      <c r="AU143" s="10" t="s">
        <v>2</v>
      </c>
      <c r="AV143" s="10" t="s">
        <v>3</v>
      </c>
      <c r="AW143" s="10" t="s">
        <v>141</v>
      </c>
    </row>
    <row r="144" spans="1:49" s="10" customFormat="1" x14ac:dyDescent="0.3">
      <c r="A144" s="10" t="s">
        <v>139</v>
      </c>
      <c r="B144" s="10" t="s">
        <v>131</v>
      </c>
      <c r="C144" s="10" t="s">
        <v>908</v>
      </c>
      <c r="E144" s="10">
        <v>2004</v>
      </c>
      <c r="F144" t="s">
        <v>2661</v>
      </c>
      <c r="G144" s="10" t="s">
        <v>34</v>
      </c>
      <c r="H144" s="10" t="s">
        <v>17</v>
      </c>
      <c r="I144" s="10" t="s">
        <v>833</v>
      </c>
      <c r="J144" s="10" t="s">
        <v>140</v>
      </c>
      <c r="K144" s="10">
        <v>20</v>
      </c>
      <c r="L144" s="10">
        <v>20</v>
      </c>
      <c r="M144" s="53"/>
      <c r="N144" s="14">
        <v>2.2999999999999998</v>
      </c>
      <c r="O144" s="14">
        <v>0.1</v>
      </c>
      <c r="W144" s="10">
        <v>3.2</v>
      </c>
      <c r="X144" s="10">
        <v>0.2</v>
      </c>
      <c r="AD144" s="14">
        <f t="shared" si="20"/>
        <v>1.3913043478260871</v>
      </c>
      <c r="AI144" s="14">
        <f t="shared" si="19"/>
        <v>1.3913043478260871</v>
      </c>
      <c r="AJ144" s="14"/>
      <c r="AK144" s="14"/>
      <c r="AL144">
        <f t="shared" si="22"/>
        <v>0.22441314889526565</v>
      </c>
      <c r="AM144"/>
      <c r="AN144"/>
      <c r="AO144">
        <f t="shared" si="21"/>
        <v>0.22441314889526565</v>
      </c>
      <c r="AP144">
        <f t="shared" si="23"/>
        <v>0.34048815451471925</v>
      </c>
      <c r="AQ144" s="10">
        <v>60</v>
      </c>
      <c r="AR144" s="10" t="s">
        <v>14</v>
      </c>
      <c r="AS144" s="10" t="s">
        <v>2</v>
      </c>
      <c r="AT144" s="10" t="s">
        <v>2</v>
      </c>
      <c r="AU144" s="10" t="s">
        <v>2</v>
      </c>
      <c r="AV144" s="10" t="s">
        <v>3</v>
      </c>
      <c r="AW144" s="10" t="s">
        <v>141</v>
      </c>
    </row>
    <row r="145" spans="1:49" s="10" customFormat="1" x14ac:dyDescent="0.3">
      <c r="A145" s="10" t="s">
        <v>139</v>
      </c>
      <c r="B145" s="10" t="s">
        <v>131</v>
      </c>
      <c r="C145" s="10" t="s">
        <v>908</v>
      </c>
      <c r="E145" s="10">
        <v>2005</v>
      </c>
      <c r="F145" t="s">
        <v>2661</v>
      </c>
      <c r="G145" s="10" t="s">
        <v>34</v>
      </c>
      <c r="H145" s="10" t="s">
        <v>17</v>
      </c>
      <c r="I145" s="10" t="s">
        <v>834</v>
      </c>
      <c r="J145" s="10" t="s">
        <v>140</v>
      </c>
      <c r="K145" s="10">
        <v>20</v>
      </c>
      <c r="L145" s="10">
        <v>20</v>
      </c>
      <c r="M145" s="53"/>
      <c r="N145" s="14">
        <v>2.2000000000000002</v>
      </c>
      <c r="O145" s="14">
        <v>0.2</v>
      </c>
      <c r="W145" s="10">
        <v>4.3</v>
      </c>
      <c r="X145" s="10">
        <v>0.2</v>
      </c>
      <c r="AD145" s="14">
        <f t="shared" si="20"/>
        <v>1.9545454545454544</v>
      </c>
      <c r="AI145" s="14">
        <f t="shared" si="19"/>
        <v>1.9545454545454544</v>
      </c>
      <c r="AJ145" s="14"/>
      <c r="AK145" s="14"/>
      <c r="AL145">
        <f t="shared" si="22"/>
        <v>0.79673519568335482</v>
      </c>
      <c r="AM145"/>
      <c r="AN145"/>
      <c r="AO145">
        <f t="shared" si="21"/>
        <v>0.79673519568335482</v>
      </c>
      <c r="AP145">
        <f t="shared" si="23"/>
        <v>0.45667919463173301</v>
      </c>
      <c r="AQ145" s="10">
        <v>60</v>
      </c>
      <c r="AR145" s="10" t="s">
        <v>14</v>
      </c>
      <c r="AS145" s="10" t="s">
        <v>2</v>
      </c>
      <c r="AT145" s="10" t="s">
        <v>2</v>
      </c>
      <c r="AU145" s="10" t="s">
        <v>2</v>
      </c>
      <c r="AV145" s="10" t="s">
        <v>3</v>
      </c>
      <c r="AW145" s="10" t="s">
        <v>141</v>
      </c>
    </row>
    <row r="146" spans="1:49" s="10" customFormat="1" x14ac:dyDescent="0.3">
      <c r="A146" s="10" t="s">
        <v>139</v>
      </c>
      <c r="B146" s="10" t="s">
        <v>131</v>
      </c>
      <c r="C146" s="10" t="s">
        <v>908</v>
      </c>
      <c r="E146" s="10">
        <v>2005</v>
      </c>
      <c r="F146" t="s">
        <v>2661</v>
      </c>
      <c r="G146" s="10" t="s">
        <v>34</v>
      </c>
      <c r="H146" s="10" t="s">
        <v>17</v>
      </c>
      <c r="I146" s="10" t="s">
        <v>833</v>
      </c>
      <c r="J146" s="10" t="s">
        <v>140</v>
      </c>
      <c r="K146" s="10">
        <v>20</v>
      </c>
      <c r="L146" s="10">
        <v>20</v>
      </c>
      <c r="M146" s="53"/>
      <c r="N146" s="14">
        <v>1.2</v>
      </c>
      <c r="O146" s="14">
        <v>0.2</v>
      </c>
      <c r="W146" s="10">
        <v>2.5</v>
      </c>
      <c r="X146" s="10">
        <v>0.3</v>
      </c>
      <c r="AD146" s="14">
        <f t="shared" si="20"/>
        <v>2.0833333333333335</v>
      </c>
      <c r="AI146" s="14">
        <f t="shared" si="19"/>
        <v>2.0833333333333335</v>
      </c>
      <c r="AJ146" s="14"/>
      <c r="AK146" s="14"/>
      <c r="AL146">
        <f t="shared" si="22"/>
        <v>3.6612654320987659</v>
      </c>
      <c r="AM146"/>
      <c r="AN146"/>
      <c r="AO146">
        <f t="shared" si="21"/>
        <v>3.6612654320987659</v>
      </c>
      <c r="AP146">
        <f t="shared" si="23"/>
        <v>0.91845280529570794</v>
      </c>
      <c r="AQ146" s="10">
        <v>60</v>
      </c>
      <c r="AR146" s="10" t="s">
        <v>14</v>
      </c>
      <c r="AS146" s="10" t="s">
        <v>2</v>
      </c>
      <c r="AT146" s="10" t="s">
        <v>2</v>
      </c>
      <c r="AU146" s="10" t="s">
        <v>2</v>
      </c>
      <c r="AV146" s="10" t="s">
        <v>3</v>
      </c>
      <c r="AW146" s="10" t="s">
        <v>141</v>
      </c>
    </row>
    <row r="147" spans="1:49" s="10" customFormat="1" x14ac:dyDescent="0.3">
      <c r="A147" s="10" t="s">
        <v>139</v>
      </c>
      <c r="B147" s="10" t="s">
        <v>131</v>
      </c>
      <c r="C147" s="10" t="s">
        <v>908</v>
      </c>
      <c r="E147" s="10">
        <v>2006</v>
      </c>
      <c r="F147" t="s">
        <v>2661</v>
      </c>
      <c r="G147" s="10" t="s">
        <v>34</v>
      </c>
      <c r="H147" s="10" t="s">
        <v>17</v>
      </c>
      <c r="I147" s="10" t="s">
        <v>834</v>
      </c>
      <c r="J147" s="10" t="s">
        <v>140</v>
      </c>
      <c r="K147" s="10">
        <v>20</v>
      </c>
      <c r="L147" s="10">
        <v>20</v>
      </c>
      <c r="M147" s="53"/>
      <c r="N147" s="14">
        <v>2.2000000000000002</v>
      </c>
      <c r="O147" s="14">
        <v>0.2</v>
      </c>
      <c r="W147" s="10">
        <v>4.3</v>
      </c>
      <c r="X147" s="10">
        <v>0.2</v>
      </c>
      <c r="AD147" s="14">
        <f t="shared" si="20"/>
        <v>1.9545454545454544</v>
      </c>
      <c r="AI147" s="14">
        <f t="shared" si="19"/>
        <v>1.9545454545454544</v>
      </c>
      <c r="AJ147" s="14"/>
      <c r="AK147" s="14"/>
      <c r="AL147">
        <f t="shared" si="22"/>
        <v>0.79673519568335482</v>
      </c>
      <c r="AM147"/>
      <c r="AN147"/>
      <c r="AO147">
        <f t="shared" si="21"/>
        <v>0.79673519568335482</v>
      </c>
      <c r="AP147">
        <f t="shared" si="23"/>
        <v>0.45667919463173301</v>
      </c>
      <c r="AQ147" s="10">
        <v>60</v>
      </c>
      <c r="AR147" s="10" t="s">
        <v>14</v>
      </c>
      <c r="AS147" s="10" t="s">
        <v>2</v>
      </c>
      <c r="AT147" s="10" t="s">
        <v>2</v>
      </c>
      <c r="AU147" s="10" t="s">
        <v>2</v>
      </c>
      <c r="AV147" s="10" t="s">
        <v>3</v>
      </c>
      <c r="AW147" s="10" t="s">
        <v>141</v>
      </c>
    </row>
    <row r="148" spans="1:49" s="10" customFormat="1" x14ac:dyDescent="0.3">
      <c r="A148" s="10" t="s">
        <v>139</v>
      </c>
      <c r="B148" s="10" t="s">
        <v>131</v>
      </c>
      <c r="C148" s="10" t="s">
        <v>909</v>
      </c>
      <c r="E148" s="10">
        <v>2003</v>
      </c>
      <c r="F148" t="s">
        <v>2661</v>
      </c>
      <c r="G148" s="10" t="s">
        <v>34</v>
      </c>
      <c r="H148" s="10" t="s">
        <v>17</v>
      </c>
      <c r="I148" s="10" t="s">
        <v>834</v>
      </c>
      <c r="J148" s="10" t="s">
        <v>140</v>
      </c>
      <c r="K148" s="10">
        <v>20</v>
      </c>
      <c r="L148" s="10">
        <v>20</v>
      </c>
      <c r="M148" s="53"/>
      <c r="N148" s="14">
        <v>2.7</v>
      </c>
      <c r="O148" s="14">
        <v>0.2</v>
      </c>
      <c r="W148" s="10">
        <v>4.4000000000000004</v>
      </c>
      <c r="X148" s="10">
        <v>0.3</v>
      </c>
      <c r="AD148" s="14">
        <f t="shared" si="20"/>
        <v>1.6296296296296298</v>
      </c>
      <c r="AI148" s="14">
        <f t="shared" si="19"/>
        <v>1.6296296296296298</v>
      </c>
      <c r="AJ148" s="14"/>
      <c r="AK148" s="14"/>
      <c r="AL148">
        <f t="shared" si="22"/>
        <v>0.53834762466576724</v>
      </c>
      <c r="AM148"/>
      <c r="AN148"/>
      <c r="AO148">
        <f t="shared" si="21"/>
        <v>0.53834762466576724</v>
      </c>
      <c r="AP148">
        <f t="shared" si="23"/>
        <v>0.45023835421940506</v>
      </c>
      <c r="AQ148" s="10">
        <v>60</v>
      </c>
      <c r="AR148" s="10" t="s">
        <v>14</v>
      </c>
      <c r="AS148" s="10" t="s">
        <v>2</v>
      </c>
      <c r="AT148" s="10" t="s">
        <v>2</v>
      </c>
      <c r="AU148" s="10" t="s">
        <v>2</v>
      </c>
      <c r="AV148" s="10" t="s">
        <v>3</v>
      </c>
      <c r="AW148" s="10" t="s">
        <v>141</v>
      </c>
    </row>
    <row r="149" spans="1:49" s="10" customFormat="1" x14ac:dyDescent="0.3">
      <c r="A149" s="10" t="s">
        <v>139</v>
      </c>
      <c r="B149" s="10" t="s">
        <v>131</v>
      </c>
      <c r="C149" s="10" t="s">
        <v>909</v>
      </c>
      <c r="E149" s="10">
        <v>2003</v>
      </c>
      <c r="F149" t="s">
        <v>2661</v>
      </c>
      <c r="G149" s="10" t="s">
        <v>34</v>
      </c>
      <c r="H149" s="10" t="s">
        <v>17</v>
      </c>
      <c r="I149" s="10" t="s">
        <v>833</v>
      </c>
      <c r="J149" s="10" t="s">
        <v>140</v>
      </c>
      <c r="K149" s="10">
        <v>20</v>
      </c>
      <c r="L149" s="10">
        <v>20</v>
      </c>
      <c r="M149" s="53"/>
      <c r="N149" s="14">
        <v>2.2000000000000002</v>
      </c>
      <c r="O149" s="14">
        <v>0.3</v>
      </c>
      <c r="W149" s="10">
        <v>3.2</v>
      </c>
      <c r="X149" s="10">
        <v>0.3</v>
      </c>
      <c r="AD149" s="14">
        <f t="shared" si="20"/>
        <v>1.4545454545454546</v>
      </c>
      <c r="AI149" s="14">
        <f t="shared" si="19"/>
        <v>1.4545454545454546</v>
      </c>
      <c r="AJ149" s="14"/>
      <c r="AK149" s="14"/>
      <c r="AL149">
        <f t="shared" si="22"/>
        <v>1.1587323270268424</v>
      </c>
      <c r="AM149"/>
      <c r="AN149"/>
      <c r="AO149">
        <f t="shared" si="21"/>
        <v>1.1587323270268424</v>
      </c>
      <c r="AP149">
        <f t="shared" si="23"/>
        <v>0.74005545498042302</v>
      </c>
      <c r="AQ149" s="10">
        <v>60</v>
      </c>
      <c r="AR149" s="10" t="s">
        <v>14</v>
      </c>
      <c r="AS149" s="10" t="s">
        <v>2</v>
      </c>
      <c r="AT149" s="10" t="s">
        <v>2</v>
      </c>
      <c r="AU149" s="10" t="s">
        <v>2</v>
      </c>
      <c r="AV149" s="10" t="s">
        <v>3</v>
      </c>
      <c r="AW149" s="10" t="s">
        <v>141</v>
      </c>
    </row>
    <row r="150" spans="1:49" s="10" customFormat="1" x14ac:dyDescent="0.3">
      <c r="A150" s="10" t="s">
        <v>139</v>
      </c>
      <c r="B150" s="10" t="s">
        <v>131</v>
      </c>
      <c r="C150" s="10" t="s">
        <v>909</v>
      </c>
      <c r="E150" s="10">
        <v>2004</v>
      </c>
      <c r="F150" t="s">
        <v>2661</v>
      </c>
      <c r="G150" s="10" t="s">
        <v>34</v>
      </c>
      <c r="H150" s="10" t="s">
        <v>17</v>
      </c>
      <c r="I150" s="10" t="s">
        <v>834</v>
      </c>
      <c r="J150" s="10" t="s">
        <v>140</v>
      </c>
      <c r="K150" s="10">
        <v>20</v>
      </c>
      <c r="L150" s="10">
        <v>20</v>
      </c>
      <c r="M150" s="53"/>
      <c r="N150" s="14">
        <v>2</v>
      </c>
      <c r="O150" s="14">
        <v>0.1</v>
      </c>
      <c r="W150" s="10">
        <v>2.6</v>
      </c>
      <c r="X150" s="10">
        <v>0.2</v>
      </c>
      <c r="AD150" s="14">
        <f t="shared" si="20"/>
        <v>1.3</v>
      </c>
      <c r="AI150" s="14">
        <f t="shared" si="19"/>
        <v>1.3</v>
      </c>
      <c r="AJ150" s="14"/>
      <c r="AK150" s="14"/>
      <c r="AL150">
        <f t="shared" si="22"/>
        <v>0.28450000000000009</v>
      </c>
      <c r="AM150"/>
      <c r="AN150"/>
      <c r="AO150">
        <f t="shared" si="21"/>
        <v>0.28450000000000009</v>
      </c>
      <c r="AP150">
        <f t="shared" si="23"/>
        <v>0.41029647240291045</v>
      </c>
      <c r="AQ150" s="10">
        <v>60</v>
      </c>
      <c r="AR150" s="10" t="s">
        <v>14</v>
      </c>
      <c r="AS150" s="10" t="s">
        <v>2</v>
      </c>
      <c r="AT150" s="10" t="s">
        <v>2</v>
      </c>
      <c r="AU150" s="10" t="s">
        <v>2</v>
      </c>
      <c r="AV150" s="10" t="s">
        <v>3</v>
      </c>
      <c r="AW150" s="10" t="s">
        <v>141</v>
      </c>
    </row>
    <row r="151" spans="1:49" s="10" customFormat="1" x14ac:dyDescent="0.3">
      <c r="A151" s="10" t="s">
        <v>139</v>
      </c>
      <c r="B151" s="10" t="s">
        <v>131</v>
      </c>
      <c r="C151" s="10" t="s">
        <v>909</v>
      </c>
      <c r="E151" s="10">
        <v>2004</v>
      </c>
      <c r="F151" t="s">
        <v>2661</v>
      </c>
      <c r="G151" s="10" t="s">
        <v>34</v>
      </c>
      <c r="H151" s="10" t="s">
        <v>17</v>
      </c>
      <c r="I151" s="10" t="s">
        <v>833</v>
      </c>
      <c r="J151" s="10" t="s">
        <v>140</v>
      </c>
      <c r="K151" s="10">
        <v>20</v>
      </c>
      <c r="L151" s="10">
        <v>20</v>
      </c>
      <c r="M151" s="53"/>
      <c r="N151" s="14">
        <v>3.2</v>
      </c>
      <c r="O151" s="14">
        <v>0.1</v>
      </c>
      <c r="W151" s="10">
        <v>4.3</v>
      </c>
      <c r="X151" s="10">
        <v>0.1</v>
      </c>
      <c r="AD151" s="14">
        <f t="shared" si="20"/>
        <v>1.3437499999999998</v>
      </c>
      <c r="AI151" s="14">
        <f t="shared" si="19"/>
        <v>1.3437499999999998</v>
      </c>
      <c r="AJ151" s="14"/>
      <c r="AK151" s="14"/>
      <c r="AL151">
        <f t="shared" si="22"/>
        <v>5.4798126220703111E-2</v>
      </c>
      <c r="AM151"/>
      <c r="AN151"/>
      <c r="AO151">
        <f t="shared" si="21"/>
        <v>5.4798126220703111E-2</v>
      </c>
      <c r="AP151">
        <f t="shared" si="23"/>
        <v>0.17420650864070863</v>
      </c>
      <c r="AQ151" s="10">
        <v>60</v>
      </c>
      <c r="AR151" s="10" t="s">
        <v>14</v>
      </c>
      <c r="AS151" s="10" t="s">
        <v>2</v>
      </c>
      <c r="AT151" s="10" t="s">
        <v>2</v>
      </c>
      <c r="AU151" s="10" t="s">
        <v>2</v>
      </c>
      <c r="AV151" s="10" t="s">
        <v>3</v>
      </c>
      <c r="AW151" s="10" t="s">
        <v>141</v>
      </c>
    </row>
    <row r="152" spans="1:49" s="10" customFormat="1" x14ac:dyDescent="0.3">
      <c r="A152" s="10" t="s">
        <v>139</v>
      </c>
      <c r="B152" s="10" t="s">
        <v>131</v>
      </c>
      <c r="C152" s="10" t="s">
        <v>909</v>
      </c>
      <c r="E152" s="10">
        <v>2005</v>
      </c>
      <c r="F152" t="s">
        <v>2661</v>
      </c>
      <c r="G152" s="10" t="s">
        <v>34</v>
      </c>
      <c r="H152" s="10" t="s">
        <v>17</v>
      </c>
      <c r="I152" s="10" t="s">
        <v>834</v>
      </c>
      <c r="J152" s="10" t="s">
        <v>140</v>
      </c>
      <c r="K152" s="10">
        <v>20</v>
      </c>
      <c r="L152" s="10">
        <v>20</v>
      </c>
      <c r="M152" s="53"/>
      <c r="N152" s="14">
        <v>3.7</v>
      </c>
      <c r="O152" s="14">
        <v>0.1</v>
      </c>
      <c r="W152" s="10">
        <v>4.4000000000000004</v>
      </c>
      <c r="X152" s="10">
        <v>0.1</v>
      </c>
      <c r="AD152" s="14">
        <f t="shared" ref="AD152:AD183" si="24">W152/N152</f>
        <v>1.1891891891891893</v>
      </c>
      <c r="AI152" s="14">
        <f t="shared" si="19"/>
        <v>1.1891891891891893</v>
      </c>
      <c r="AJ152" s="14"/>
      <c r="AK152" s="14"/>
      <c r="AL152">
        <f t="shared" si="22"/>
        <v>3.5269115086697465E-2</v>
      </c>
      <c r="AM152"/>
      <c r="AN152"/>
      <c r="AO152">
        <f t="shared" si="21"/>
        <v>3.5269115086697465E-2</v>
      </c>
      <c r="AP152">
        <f t="shared" si="23"/>
        <v>0.15792334314720444</v>
      </c>
      <c r="AQ152" s="10">
        <v>60</v>
      </c>
      <c r="AR152" s="10" t="s">
        <v>14</v>
      </c>
      <c r="AS152" s="10" t="s">
        <v>2</v>
      </c>
      <c r="AT152" s="10" t="s">
        <v>2</v>
      </c>
      <c r="AU152" s="10" t="s">
        <v>2</v>
      </c>
      <c r="AV152" s="10" t="s">
        <v>3</v>
      </c>
      <c r="AW152" s="10" t="s">
        <v>141</v>
      </c>
    </row>
    <row r="153" spans="1:49" s="10" customFormat="1" x14ac:dyDescent="0.3">
      <c r="A153" s="10" t="s">
        <v>139</v>
      </c>
      <c r="B153" s="10" t="s">
        <v>131</v>
      </c>
      <c r="C153" s="10" t="s">
        <v>909</v>
      </c>
      <c r="E153" s="10">
        <v>2005</v>
      </c>
      <c r="F153" t="s">
        <v>2661</v>
      </c>
      <c r="G153" s="10" t="s">
        <v>34</v>
      </c>
      <c r="H153" s="10" t="s">
        <v>17</v>
      </c>
      <c r="I153" s="10" t="s">
        <v>833</v>
      </c>
      <c r="J153" s="10" t="s">
        <v>140</v>
      </c>
      <c r="K153" s="10">
        <v>20</v>
      </c>
      <c r="L153" s="10">
        <v>20</v>
      </c>
      <c r="M153" s="53"/>
      <c r="N153" s="14">
        <v>3.3</v>
      </c>
      <c r="O153" s="14">
        <v>0.2</v>
      </c>
      <c r="W153" s="10">
        <v>4.2</v>
      </c>
      <c r="X153" s="10">
        <v>0.2</v>
      </c>
      <c r="AD153" s="14">
        <f t="shared" si="24"/>
        <v>1.2727272727272729</v>
      </c>
      <c r="AI153" s="14">
        <f t="shared" si="19"/>
        <v>1.2727272727272729</v>
      </c>
      <c r="AJ153" s="14"/>
      <c r="AK153" s="14"/>
      <c r="AL153">
        <f t="shared" si="22"/>
        <v>0.19245801364509113</v>
      </c>
      <c r="AM153"/>
      <c r="AN153"/>
      <c r="AO153">
        <f t="shared" si="21"/>
        <v>0.19245801364509113</v>
      </c>
      <c r="AP153">
        <f t="shared" si="23"/>
        <v>0.34469314696786812</v>
      </c>
      <c r="AQ153" s="10">
        <v>60</v>
      </c>
      <c r="AR153" s="10" t="s">
        <v>14</v>
      </c>
      <c r="AS153" s="10" t="s">
        <v>2</v>
      </c>
      <c r="AT153" s="10" t="s">
        <v>2</v>
      </c>
      <c r="AU153" s="10" t="s">
        <v>2</v>
      </c>
      <c r="AV153" s="10" t="s">
        <v>3</v>
      </c>
      <c r="AW153" s="10" t="s">
        <v>141</v>
      </c>
    </row>
    <row r="154" spans="1:49" s="10" customFormat="1" x14ac:dyDescent="0.3">
      <c r="A154" s="10" t="s">
        <v>139</v>
      </c>
      <c r="B154" s="10" t="s">
        <v>131</v>
      </c>
      <c r="C154" s="10" t="s">
        <v>909</v>
      </c>
      <c r="E154" s="10">
        <v>2006</v>
      </c>
      <c r="F154" t="s">
        <v>2661</v>
      </c>
      <c r="G154" s="10" t="s">
        <v>34</v>
      </c>
      <c r="H154" s="10" t="s">
        <v>17</v>
      </c>
      <c r="I154" s="10" t="s">
        <v>834</v>
      </c>
      <c r="J154" s="10" t="s">
        <v>140</v>
      </c>
      <c r="K154" s="10">
        <v>20</v>
      </c>
      <c r="L154" s="10">
        <v>20</v>
      </c>
      <c r="M154" s="53"/>
      <c r="N154" s="14">
        <v>3.1</v>
      </c>
      <c r="O154" s="14">
        <v>0.3</v>
      </c>
      <c r="W154" s="10">
        <v>4.5</v>
      </c>
      <c r="X154" s="10">
        <v>0.3</v>
      </c>
      <c r="AD154" s="14">
        <f t="shared" si="24"/>
        <v>1.4516129032258065</v>
      </c>
      <c r="AI154" s="14">
        <f t="shared" si="19"/>
        <v>1.4516129032258065</v>
      </c>
      <c r="AJ154" s="14"/>
      <c r="AK154" s="14"/>
      <c r="AL154">
        <f t="shared" si="22"/>
        <v>0.58199001430395181</v>
      </c>
      <c r="AM154"/>
      <c r="AN154"/>
      <c r="AO154">
        <f t="shared" si="21"/>
        <v>0.58199001430395181</v>
      </c>
      <c r="AP154">
        <f t="shared" si="23"/>
        <v>0.52554141571117163</v>
      </c>
      <c r="AQ154" s="10">
        <v>60</v>
      </c>
      <c r="AR154" s="10" t="s">
        <v>14</v>
      </c>
      <c r="AS154" s="10" t="s">
        <v>2</v>
      </c>
      <c r="AT154" s="10" t="s">
        <v>2</v>
      </c>
      <c r="AU154" s="10" t="s">
        <v>2</v>
      </c>
      <c r="AV154" s="10" t="s">
        <v>3</v>
      </c>
      <c r="AW154" s="10" t="s">
        <v>141</v>
      </c>
    </row>
    <row r="155" spans="1:49" s="10" customFormat="1" x14ac:dyDescent="0.3">
      <c r="A155" s="10" t="s">
        <v>139</v>
      </c>
      <c r="B155" s="10" t="s">
        <v>131</v>
      </c>
      <c r="C155" s="10" t="s">
        <v>910</v>
      </c>
      <c r="E155" s="10">
        <v>2003</v>
      </c>
      <c r="F155" t="s">
        <v>2661</v>
      </c>
      <c r="G155" s="10" t="s">
        <v>34</v>
      </c>
      <c r="H155" s="10" t="s">
        <v>17</v>
      </c>
      <c r="I155" s="10" t="s">
        <v>834</v>
      </c>
      <c r="J155" s="10" t="s">
        <v>140</v>
      </c>
      <c r="K155" s="10">
        <v>20</v>
      </c>
      <c r="L155" s="10">
        <v>20</v>
      </c>
      <c r="M155" s="53"/>
      <c r="N155" s="14">
        <v>2.1</v>
      </c>
      <c r="O155" s="14">
        <v>0.6</v>
      </c>
      <c r="W155" s="10">
        <v>3.2</v>
      </c>
      <c r="X155" s="10">
        <v>0.7</v>
      </c>
      <c r="AD155" s="14">
        <f t="shared" si="24"/>
        <v>1.5238095238095237</v>
      </c>
      <c r="AI155" s="14">
        <f t="shared" si="19"/>
        <v>1.5238095238095237</v>
      </c>
      <c r="AJ155" s="14"/>
      <c r="AK155" s="14"/>
      <c r="AL155">
        <f t="shared" si="22"/>
        <v>6.013235226063216</v>
      </c>
      <c r="AM155"/>
      <c r="AN155"/>
      <c r="AO155">
        <f t="shared" si="21"/>
        <v>6.013235226063216</v>
      </c>
      <c r="AP155">
        <f t="shared" si="23"/>
        <v>1.6092496112239676</v>
      </c>
      <c r="AQ155" s="10">
        <v>60</v>
      </c>
      <c r="AR155" s="10" t="s">
        <v>14</v>
      </c>
      <c r="AS155" s="10" t="s">
        <v>2</v>
      </c>
      <c r="AT155" s="10" t="s">
        <v>2</v>
      </c>
      <c r="AU155" s="10" t="s">
        <v>2</v>
      </c>
      <c r="AV155" s="10" t="s">
        <v>3</v>
      </c>
      <c r="AW155" s="10" t="s">
        <v>141</v>
      </c>
    </row>
    <row r="156" spans="1:49" s="10" customFormat="1" x14ac:dyDescent="0.3">
      <c r="A156" s="10" t="s">
        <v>139</v>
      </c>
      <c r="B156" s="10" t="s">
        <v>131</v>
      </c>
      <c r="C156" s="10" t="s">
        <v>910</v>
      </c>
      <c r="E156" s="10">
        <v>2003</v>
      </c>
      <c r="F156" t="s">
        <v>2661</v>
      </c>
      <c r="G156" s="10" t="s">
        <v>34</v>
      </c>
      <c r="H156" s="10" t="s">
        <v>17</v>
      </c>
      <c r="I156" s="10" t="s">
        <v>833</v>
      </c>
      <c r="J156" s="10" t="s">
        <v>140</v>
      </c>
      <c r="K156" s="10">
        <v>20</v>
      </c>
      <c r="L156" s="10">
        <v>20</v>
      </c>
      <c r="M156" s="53"/>
      <c r="N156" s="14">
        <v>1.9</v>
      </c>
      <c r="O156" s="14">
        <v>0.3</v>
      </c>
      <c r="W156" s="10">
        <v>3.3</v>
      </c>
      <c r="X156" s="10">
        <v>0.6</v>
      </c>
      <c r="AD156" s="14">
        <f t="shared" si="24"/>
        <v>1.736842105263158</v>
      </c>
      <c r="AI156" s="14">
        <f t="shared" si="19"/>
        <v>1.736842105263158</v>
      </c>
      <c r="AJ156" s="14"/>
      <c r="AK156" s="14"/>
      <c r="AL156">
        <f t="shared" si="22"/>
        <v>3.4985919383675692</v>
      </c>
      <c r="AM156"/>
      <c r="AN156"/>
      <c r="AO156">
        <f t="shared" si="21"/>
        <v>3.4985919383675692</v>
      </c>
      <c r="AP156">
        <f t="shared" si="23"/>
        <v>1.0769271021021534</v>
      </c>
      <c r="AQ156" s="10">
        <v>60</v>
      </c>
      <c r="AR156" s="10" t="s">
        <v>14</v>
      </c>
      <c r="AS156" s="10" t="s">
        <v>2</v>
      </c>
      <c r="AT156" s="10" t="s">
        <v>2</v>
      </c>
      <c r="AU156" s="10" t="s">
        <v>2</v>
      </c>
      <c r="AV156" s="10" t="s">
        <v>3</v>
      </c>
      <c r="AW156" s="10" t="s">
        <v>141</v>
      </c>
    </row>
    <row r="157" spans="1:49" s="10" customFormat="1" x14ac:dyDescent="0.3">
      <c r="A157" s="10" t="s">
        <v>139</v>
      </c>
      <c r="B157" s="10" t="s">
        <v>131</v>
      </c>
      <c r="C157" s="10" t="s">
        <v>910</v>
      </c>
      <c r="E157" s="10">
        <v>2004</v>
      </c>
      <c r="F157" t="s">
        <v>2661</v>
      </c>
      <c r="G157" s="10" t="s">
        <v>34</v>
      </c>
      <c r="H157" s="10" t="s">
        <v>17</v>
      </c>
      <c r="I157" s="10" t="s">
        <v>834</v>
      </c>
      <c r="J157" s="10" t="s">
        <v>140</v>
      </c>
      <c r="K157" s="10">
        <v>20</v>
      </c>
      <c r="L157" s="10">
        <v>20</v>
      </c>
      <c r="M157" s="53"/>
      <c r="N157" s="14">
        <v>2.2999999999999998</v>
      </c>
      <c r="O157" s="14">
        <v>0.3</v>
      </c>
      <c r="W157" s="10">
        <v>3.4</v>
      </c>
      <c r="X157" s="10">
        <v>0.4</v>
      </c>
      <c r="AD157" s="14">
        <f t="shared" si="24"/>
        <v>1.4782608695652175</v>
      </c>
      <c r="AI157" s="14">
        <f t="shared" si="19"/>
        <v>1.4782608695652175</v>
      </c>
      <c r="AJ157" s="14"/>
      <c r="AK157" s="14"/>
      <c r="AL157">
        <f t="shared" si="22"/>
        <v>1.3484800297311692</v>
      </c>
      <c r="AM157"/>
      <c r="AN157"/>
      <c r="AO157">
        <f t="shared" si="21"/>
        <v>1.3484800297311692</v>
      </c>
      <c r="AP157">
        <f t="shared" si="23"/>
        <v>0.78554519875058348</v>
      </c>
      <c r="AQ157" s="10">
        <v>60</v>
      </c>
      <c r="AR157" s="10" t="s">
        <v>14</v>
      </c>
      <c r="AS157" s="10" t="s">
        <v>2</v>
      </c>
      <c r="AT157" s="10" t="s">
        <v>2</v>
      </c>
      <c r="AU157" s="10" t="s">
        <v>2</v>
      </c>
      <c r="AV157" s="10" t="s">
        <v>3</v>
      </c>
      <c r="AW157" s="10" t="s">
        <v>141</v>
      </c>
    </row>
    <row r="158" spans="1:49" s="10" customFormat="1" x14ac:dyDescent="0.3">
      <c r="A158" s="10" t="s">
        <v>139</v>
      </c>
      <c r="B158" s="10" t="s">
        <v>131</v>
      </c>
      <c r="C158" s="10" t="s">
        <v>910</v>
      </c>
      <c r="E158" s="10">
        <v>2004</v>
      </c>
      <c r="F158" t="s">
        <v>2661</v>
      </c>
      <c r="G158" s="10" t="s">
        <v>34</v>
      </c>
      <c r="H158" s="10" t="s">
        <v>17</v>
      </c>
      <c r="I158" s="10" t="s">
        <v>833</v>
      </c>
      <c r="J158" s="10" t="s">
        <v>140</v>
      </c>
      <c r="K158" s="10">
        <v>20</v>
      </c>
      <c r="L158" s="10">
        <v>20</v>
      </c>
      <c r="M158" s="53"/>
      <c r="N158" s="14">
        <v>1.3</v>
      </c>
      <c r="O158" s="14">
        <v>0.2</v>
      </c>
      <c r="W158" s="10">
        <v>2.2999999999999998</v>
      </c>
      <c r="X158" s="10">
        <v>0.3</v>
      </c>
      <c r="AD158" s="14">
        <f t="shared" si="24"/>
        <v>1.7692307692307689</v>
      </c>
      <c r="AI158" s="14">
        <f t="shared" si="19"/>
        <v>1.7692307692307689</v>
      </c>
      <c r="AJ158" s="14"/>
      <c r="AK158" s="14"/>
      <c r="AL158">
        <f t="shared" si="22"/>
        <v>2.5468295928013722</v>
      </c>
      <c r="AM158"/>
      <c r="AN158"/>
      <c r="AO158">
        <f t="shared" si="21"/>
        <v>2.5468295928013722</v>
      </c>
      <c r="AP158">
        <f t="shared" si="23"/>
        <v>0.90201853159934742</v>
      </c>
      <c r="AQ158" s="10">
        <v>60</v>
      </c>
      <c r="AR158" s="10" t="s">
        <v>14</v>
      </c>
      <c r="AS158" s="10" t="s">
        <v>2</v>
      </c>
      <c r="AT158" s="10" t="s">
        <v>2</v>
      </c>
      <c r="AU158" s="10" t="s">
        <v>2</v>
      </c>
      <c r="AV158" s="10" t="s">
        <v>3</v>
      </c>
      <c r="AW158" s="10" t="s">
        <v>141</v>
      </c>
    </row>
    <row r="159" spans="1:49" s="10" customFormat="1" x14ac:dyDescent="0.3">
      <c r="A159" s="10" t="s">
        <v>139</v>
      </c>
      <c r="B159" s="10" t="s">
        <v>131</v>
      </c>
      <c r="C159" s="10" t="s">
        <v>910</v>
      </c>
      <c r="E159" s="10">
        <v>2005</v>
      </c>
      <c r="F159" t="s">
        <v>2661</v>
      </c>
      <c r="G159" s="10" t="s">
        <v>34</v>
      </c>
      <c r="H159" s="10" t="s">
        <v>17</v>
      </c>
      <c r="I159" s="10" t="s">
        <v>834</v>
      </c>
      <c r="J159" s="10" t="s">
        <v>140</v>
      </c>
      <c r="K159" s="10">
        <v>20</v>
      </c>
      <c r="L159" s="10">
        <v>20</v>
      </c>
      <c r="M159" s="53"/>
      <c r="N159" s="14">
        <v>1.7</v>
      </c>
      <c r="O159" s="14">
        <v>0.2</v>
      </c>
      <c r="W159" s="10">
        <v>2.9</v>
      </c>
      <c r="X159" s="10">
        <v>0.3</v>
      </c>
      <c r="AD159" s="14">
        <f t="shared" si="24"/>
        <v>1.7058823529411764</v>
      </c>
      <c r="AI159" s="14">
        <f t="shared" si="19"/>
        <v>1.7058823529411764</v>
      </c>
      <c r="AJ159" s="14"/>
      <c r="AK159" s="14"/>
      <c r="AL159">
        <f t="shared" si="22"/>
        <v>1.4283832808515227</v>
      </c>
      <c r="AM159"/>
      <c r="AN159"/>
      <c r="AO159">
        <f t="shared" si="21"/>
        <v>1.4283832808515227</v>
      </c>
      <c r="AP159">
        <f t="shared" si="23"/>
        <v>0.70060511315093488</v>
      </c>
      <c r="AQ159" s="10">
        <v>60</v>
      </c>
      <c r="AR159" s="10" t="s">
        <v>14</v>
      </c>
      <c r="AS159" s="10" t="s">
        <v>2</v>
      </c>
      <c r="AT159" s="10" t="s">
        <v>2</v>
      </c>
      <c r="AU159" s="10" t="s">
        <v>2</v>
      </c>
      <c r="AV159" s="10" t="s">
        <v>3</v>
      </c>
      <c r="AW159" s="10" t="s">
        <v>141</v>
      </c>
    </row>
    <row r="160" spans="1:49" s="10" customFormat="1" x14ac:dyDescent="0.3">
      <c r="A160" s="10" t="s">
        <v>139</v>
      </c>
      <c r="B160" s="10" t="s">
        <v>131</v>
      </c>
      <c r="C160" s="10" t="s">
        <v>910</v>
      </c>
      <c r="E160" s="10">
        <v>2005</v>
      </c>
      <c r="F160" t="s">
        <v>2661</v>
      </c>
      <c r="G160" s="10" t="s">
        <v>34</v>
      </c>
      <c r="H160" s="10" t="s">
        <v>17</v>
      </c>
      <c r="I160" s="10" t="s">
        <v>833</v>
      </c>
      <c r="J160" s="10" t="s">
        <v>140</v>
      </c>
      <c r="K160" s="10">
        <v>20</v>
      </c>
      <c r="L160" s="10">
        <v>20</v>
      </c>
      <c r="M160" s="53"/>
      <c r="N160" s="14">
        <v>2</v>
      </c>
      <c r="O160" s="14">
        <v>0.1</v>
      </c>
      <c r="W160" s="10">
        <v>4.2</v>
      </c>
      <c r="X160" s="10">
        <v>0.2</v>
      </c>
      <c r="AD160" s="14">
        <f t="shared" si="24"/>
        <v>2.1</v>
      </c>
      <c r="AI160" s="14">
        <f t="shared" si="19"/>
        <v>2.1</v>
      </c>
      <c r="AJ160" s="14"/>
      <c r="AK160" s="14"/>
      <c r="AL160">
        <f t="shared" si="22"/>
        <v>0.4205000000000001</v>
      </c>
      <c r="AM160"/>
      <c r="AN160"/>
      <c r="AO160">
        <f t="shared" si="21"/>
        <v>0.4205000000000001</v>
      </c>
      <c r="AP160">
        <f t="shared" si="23"/>
        <v>0.308790339749971</v>
      </c>
      <c r="AQ160" s="10">
        <v>60</v>
      </c>
      <c r="AR160" s="10" t="s">
        <v>14</v>
      </c>
      <c r="AS160" s="10" t="s">
        <v>2</v>
      </c>
      <c r="AT160" s="10" t="s">
        <v>2</v>
      </c>
      <c r="AU160" s="10" t="s">
        <v>2</v>
      </c>
      <c r="AV160" s="10" t="s">
        <v>3</v>
      </c>
      <c r="AW160" s="10" t="s">
        <v>141</v>
      </c>
    </row>
    <row r="161" spans="1:49" s="10" customFormat="1" x14ac:dyDescent="0.3">
      <c r="A161" s="10" t="s">
        <v>139</v>
      </c>
      <c r="B161" s="10" t="s">
        <v>131</v>
      </c>
      <c r="C161" s="10" t="s">
        <v>910</v>
      </c>
      <c r="E161" s="10">
        <v>2006</v>
      </c>
      <c r="F161" t="s">
        <v>2661</v>
      </c>
      <c r="G161" s="10" t="s">
        <v>34</v>
      </c>
      <c r="H161" s="10" t="s">
        <v>17</v>
      </c>
      <c r="I161" s="10" t="s">
        <v>834</v>
      </c>
      <c r="J161" s="10" t="s">
        <v>140</v>
      </c>
      <c r="K161" s="10">
        <v>20</v>
      </c>
      <c r="L161" s="10">
        <v>20</v>
      </c>
      <c r="M161" s="53"/>
      <c r="N161" s="14">
        <v>1.8</v>
      </c>
      <c r="O161" s="14">
        <v>0.1</v>
      </c>
      <c r="W161" s="10">
        <v>4.7</v>
      </c>
      <c r="X161" s="10">
        <v>0.2</v>
      </c>
      <c r="AD161" s="14">
        <f t="shared" si="24"/>
        <v>2.6111111111111112</v>
      </c>
      <c r="AI161" s="14">
        <f t="shared" si="19"/>
        <v>2.6111111111111112</v>
      </c>
      <c r="AJ161" s="14"/>
      <c r="AK161" s="14"/>
      <c r="AL161">
        <f t="shared" si="22"/>
        <v>0.66777168114616692</v>
      </c>
      <c r="AM161"/>
      <c r="AN161"/>
      <c r="AO161">
        <f t="shared" si="21"/>
        <v>0.66777168114616692</v>
      </c>
      <c r="AP161">
        <f t="shared" si="23"/>
        <v>0.31295986512703849</v>
      </c>
      <c r="AQ161" s="10">
        <v>60</v>
      </c>
      <c r="AR161" s="10" t="s">
        <v>14</v>
      </c>
      <c r="AS161" s="10" t="s">
        <v>2</v>
      </c>
      <c r="AT161" s="10" t="s">
        <v>2</v>
      </c>
      <c r="AU161" s="10" t="s">
        <v>2</v>
      </c>
      <c r="AV161" s="10" t="s">
        <v>3</v>
      </c>
      <c r="AW161" s="10" t="s">
        <v>141</v>
      </c>
    </row>
    <row r="162" spans="1:49" s="10" customFormat="1" x14ac:dyDescent="0.3">
      <c r="A162" s="10" t="s">
        <v>139</v>
      </c>
      <c r="B162" s="10" t="s">
        <v>131</v>
      </c>
      <c r="C162" s="10" t="s">
        <v>911</v>
      </c>
      <c r="E162" s="10">
        <v>2003</v>
      </c>
      <c r="F162" t="s">
        <v>2661</v>
      </c>
      <c r="G162" s="10" t="s">
        <v>34</v>
      </c>
      <c r="H162" s="10" t="s">
        <v>17</v>
      </c>
      <c r="I162" s="10" t="s">
        <v>834</v>
      </c>
      <c r="J162" s="10" t="s">
        <v>140</v>
      </c>
      <c r="K162" s="10">
        <v>20</v>
      </c>
      <c r="L162" s="10">
        <v>20</v>
      </c>
      <c r="M162" s="53"/>
      <c r="N162" s="14">
        <v>4</v>
      </c>
      <c r="O162" s="14">
        <v>0.2</v>
      </c>
      <c r="W162" s="10">
        <v>5.0999999999999996</v>
      </c>
      <c r="X162" s="10">
        <v>0.3</v>
      </c>
      <c r="AD162" s="14">
        <f t="shared" si="24"/>
        <v>1.2749999999999999</v>
      </c>
      <c r="AI162" s="14">
        <f t="shared" si="19"/>
        <v>1.2749999999999999</v>
      </c>
      <c r="AJ162" s="14"/>
      <c r="AK162" s="14"/>
      <c r="AL162">
        <f t="shared" si="22"/>
        <v>0.19378125000000002</v>
      </c>
      <c r="AM162"/>
      <c r="AN162"/>
      <c r="AO162">
        <f t="shared" si="21"/>
        <v>0.19378125000000002</v>
      </c>
      <c r="AP162">
        <f t="shared" si="23"/>
        <v>0.34525954331362801</v>
      </c>
      <c r="AQ162" s="10">
        <v>60</v>
      </c>
      <c r="AR162" s="10" t="s">
        <v>14</v>
      </c>
      <c r="AS162" s="10" t="s">
        <v>2</v>
      </c>
      <c r="AT162" s="10" t="s">
        <v>2</v>
      </c>
      <c r="AU162" s="10" t="s">
        <v>2</v>
      </c>
      <c r="AV162" s="10" t="s">
        <v>3</v>
      </c>
      <c r="AW162" s="10" t="s">
        <v>141</v>
      </c>
    </row>
    <row r="163" spans="1:49" s="10" customFormat="1" x14ac:dyDescent="0.3">
      <c r="A163" s="10" t="s">
        <v>139</v>
      </c>
      <c r="B163" s="10" t="s">
        <v>131</v>
      </c>
      <c r="C163" s="10" t="s">
        <v>911</v>
      </c>
      <c r="E163" s="10">
        <v>2004</v>
      </c>
      <c r="F163" t="s">
        <v>2661</v>
      </c>
      <c r="G163" s="10" t="s">
        <v>34</v>
      </c>
      <c r="H163" s="10" t="s">
        <v>17</v>
      </c>
      <c r="I163" s="10" t="s">
        <v>834</v>
      </c>
      <c r="J163" s="10" t="s">
        <v>140</v>
      </c>
      <c r="K163" s="10">
        <v>20</v>
      </c>
      <c r="L163" s="10">
        <v>20</v>
      </c>
      <c r="M163" s="53"/>
      <c r="N163" s="14">
        <v>3.6</v>
      </c>
      <c r="O163" s="14">
        <v>0.1</v>
      </c>
      <c r="W163" s="10">
        <v>4.5999999999999996</v>
      </c>
      <c r="X163" s="10">
        <v>0.1</v>
      </c>
      <c r="AD163" s="14">
        <f t="shared" si="24"/>
        <v>1.2777777777777777</v>
      </c>
      <c r="AI163" s="14">
        <f t="shared" si="19"/>
        <v>1.2777777777777777</v>
      </c>
      <c r="AJ163" s="14"/>
      <c r="AK163" s="14"/>
      <c r="AL163">
        <f t="shared" si="22"/>
        <v>4.0628334095412284E-2</v>
      </c>
      <c r="AM163"/>
      <c r="AN163"/>
      <c r="AO163">
        <f t="shared" si="21"/>
        <v>4.0628334095412284E-2</v>
      </c>
      <c r="AP163">
        <f t="shared" si="23"/>
        <v>0.15774629823435457</v>
      </c>
      <c r="AQ163" s="10">
        <v>60</v>
      </c>
      <c r="AR163" s="10" t="s">
        <v>14</v>
      </c>
      <c r="AS163" s="10" t="s">
        <v>2</v>
      </c>
      <c r="AT163" s="10" t="s">
        <v>2</v>
      </c>
      <c r="AU163" s="10" t="s">
        <v>2</v>
      </c>
      <c r="AV163" s="10" t="s">
        <v>3</v>
      </c>
      <c r="AW163" s="10" t="s">
        <v>141</v>
      </c>
    </row>
    <row r="164" spans="1:49" s="10" customFormat="1" x14ac:dyDescent="0.3">
      <c r="A164" s="10" t="s">
        <v>139</v>
      </c>
      <c r="B164" s="10" t="s">
        <v>131</v>
      </c>
      <c r="C164" s="10" t="s">
        <v>911</v>
      </c>
      <c r="E164" s="10">
        <v>2005</v>
      </c>
      <c r="F164" t="s">
        <v>2661</v>
      </c>
      <c r="G164" s="10" t="s">
        <v>34</v>
      </c>
      <c r="H164" s="10" t="s">
        <v>17</v>
      </c>
      <c r="I164" s="10" t="s">
        <v>834</v>
      </c>
      <c r="J164" s="10" t="s">
        <v>140</v>
      </c>
      <c r="K164" s="10">
        <v>20</v>
      </c>
      <c r="L164" s="10">
        <v>20</v>
      </c>
      <c r="M164" s="53"/>
      <c r="N164" s="14">
        <v>4.0999999999999996</v>
      </c>
      <c r="O164" s="14">
        <v>0.1</v>
      </c>
      <c r="W164" s="10">
        <v>5.7</v>
      </c>
      <c r="X164" s="10">
        <v>0.1</v>
      </c>
      <c r="AD164" s="14">
        <f t="shared" si="24"/>
        <v>1.3902439024390245</v>
      </c>
      <c r="AI164" s="14">
        <f t="shared" si="19"/>
        <v>1.3902439024390245</v>
      </c>
      <c r="AJ164" s="14"/>
      <c r="AK164" s="14"/>
      <c r="AL164">
        <f t="shared" si="22"/>
        <v>3.4893255303615575E-2</v>
      </c>
      <c r="AM164"/>
      <c r="AN164"/>
      <c r="AO164">
        <f t="shared" si="21"/>
        <v>3.4893255303615575E-2</v>
      </c>
      <c r="AP164">
        <f t="shared" si="23"/>
        <v>0.13436301641512693</v>
      </c>
      <c r="AQ164" s="10">
        <v>60</v>
      </c>
      <c r="AR164" s="10" t="s">
        <v>14</v>
      </c>
      <c r="AS164" s="10" t="s">
        <v>2</v>
      </c>
      <c r="AT164" s="10" t="s">
        <v>2</v>
      </c>
      <c r="AU164" s="10" t="s">
        <v>2</v>
      </c>
      <c r="AV164" s="10" t="s">
        <v>3</v>
      </c>
      <c r="AW164" s="10" t="s">
        <v>141</v>
      </c>
    </row>
    <row r="165" spans="1:49" s="10" customFormat="1" x14ac:dyDescent="0.3">
      <c r="A165" s="10" t="s">
        <v>139</v>
      </c>
      <c r="B165" s="10" t="s">
        <v>131</v>
      </c>
      <c r="C165" s="10" t="s">
        <v>911</v>
      </c>
      <c r="E165" s="10">
        <v>2006</v>
      </c>
      <c r="F165" t="s">
        <v>2661</v>
      </c>
      <c r="G165" s="10" t="s">
        <v>34</v>
      </c>
      <c r="H165" s="10" t="s">
        <v>17</v>
      </c>
      <c r="I165" s="10" t="s">
        <v>834</v>
      </c>
      <c r="J165" s="10" t="s">
        <v>140</v>
      </c>
      <c r="K165" s="10">
        <v>20</v>
      </c>
      <c r="L165" s="10">
        <v>20</v>
      </c>
      <c r="M165" s="53"/>
      <c r="N165" s="14">
        <v>4.2</v>
      </c>
      <c r="O165" s="14">
        <v>0.1</v>
      </c>
      <c r="W165" s="10">
        <v>5.7</v>
      </c>
      <c r="X165" s="10">
        <v>0.1</v>
      </c>
      <c r="AD165" s="14">
        <f t="shared" si="24"/>
        <v>1.3571428571428572</v>
      </c>
      <c r="AI165" s="14">
        <f t="shared" si="19"/>
        <v>1.3571428571428572</v>
      </c>
      <c r="AJ165" s="14"/>
      <c r="AK165" s="14"/>
      <c r="AL165">
        <f t="shared" si="22"/>
        <v>3.222037114165395E-2</v>
      </c>
      <c r="AM165"/>
      <c r="AN165"/>
      <c r="AO165">
        <f t="shared" si="21"/>
        <v>3.222037114165395E-2</v>
      </c>
      <c r="AP165">
        <f t="shared" si="23"/>
        <v>0.13226340653592744</v>
      </c>
      <c r="AQ165" s="10">
        <v>60</v>
      </c>
      <c r="AR165" s="10" t="s">
        <v>14</v>
      </c>
      <c r="AS165" s="10" t="s">
        <v>2</v>
      </c>
      <c r="AT165" s="10" t="s">
        <v>2</v>
      </c>
      <c r="AU165" s="10" t="s">
        <v>2</v>
      </c>
      <c r="AV165" s="10" t="s">
        <v>3</v>
      </c>
      <c r="AW165" s="10" t="s">
        <v>141</v>
      </c>
    </row>
    <row r="166" spans="1:49" s="10" customFormat="1" x14ac:dyDescent="0.3">
      <c r="A166" s="10" t="s">
        <v>139</v>
      </c>
      <c r="B166" s="10" t="s">
        <v>131</v>
      </c>
      <c r="C166" s="10" t="s">
        <v>912</v>
      </c>
      <c r="E166" s="10">
        <v>2004</v>
      </c>
      <c r="F166" t="s">
        <v>2661</v>
      </c>
      <c r="G166" s="10" t="s">
        <v>34</v>
      </c>
      <c r="H166" s="10" t="s">
        <v>17</v>
      </c>
      <c r="I166" s="10" t="s">
        <v>834</v>
      </c>
      <c r="J166" s="10" t="s">
        <v>140</v>
      </c>
      <c r="K166" s="10">
        <v>20</v>
      </c>
      <c r="L166" s="10">
        <v>20</v>
      </c>
      <c r="M166" s="53"/>
      <c r="N166" s="14">
        <v>2</v>
      </c>
      <c r="O166" s="14">
        <v>0.1</v>
      </c>
      <c r="W166" s="10">
        <v>2.6</v>
      </c>
      <c r="X166" s="10">
        <v>0.2</v>
      </c>
      <c r="AD166" s="14">
        <f t="shared" si="24"/>
        <v>1.3</v>
      </c>
      <c r="AI166" s="14">
        <f t="shared" si="19"/>
        <v>1.3</v>
      </c>
      <c r="AJ166" s="14"/>
      <c r="AK166" s="14"/>
      <c r="AL166">
        <f t="shared" si="22"/>
        <v>0.28450000000000009</v>
      </c>
      <c r="AM166"/>
      <c r="AN166"/>
      <c r="AO166">
        <f t="shared" si="21"/>
        <v>0.28450000000000009</v>
      </c>
      <c r="AP166">
        <f t="shared" si="23"/>
        <v>0.41029647240291045</v>
      </c>
      <c r="AQ166" s="10">
        <v>60</v>
      </c>
      <c r="AR166" s="10" t="s">
        <v>14</v>
      </c>
      <c r="AS166" s="10" t="s">
        <v>2</v>
      </c>
      <c r="AT166" s="10" t="s">
        <v>2</v>
      </c>
      <c r="AU166" s="10" t="s">
        <v>2</v>
      </c>
      <c r="AV166" s="10" t="s">
        <v>3</v>
      </c>
      <c r="AW166" s="10" t="s">
        <v>141</v>
      </c>
    </row>
    <row r="167" spans="1:49" s="10" customFormat="1" x14ac:dyDescent="0.3">
      <c r="A167" s="10" t="s">
        <v>139</v>
      </c>
      <c r="B167" s="10" t="s">
        <v>131</v>
      </c>
      <c r="C167" s="10" t="s">
        <v>912</v>
      </c>
      <c r="E167" s="10">
        <v>2004</v>
      </c>
      <c r="F167" t="s">
        <v>2661</v>
      </c>
      <c r="G167" s="10" t="s">
        <v>34</v>
      </c>
      <c r="H167" s="10" t="s">
        <v>17</v>
      </c>
      <c r="I167" s="10" t="s">
        <v>833</v>
      </c>
      <c r="J167" s="10" t="s">
        <v>140</v>
      </c>
      <c r="K167" s="10">
        <v>20</v>
      </c>
      <c r="L167" s="10">
        <v>20</v>
      </c>
      <c r="M167" s="53"/>
      <c r="N167" s="14">
        <v>2.5</v>
      </c>
      <c r="O167" s="14">
        <v>0.1</v>
      </c>
      <c r="W167" s="10">
        <v>4.5999999999999996</v>
      </c>
      <c r="X167" s="10">
        <v>0.2</v>
      </c>
      <c r="AD167" s="14">
        <f t="shared" si="24"/>
        <v>1.8399999999999999</v>
      </c>
      <c r="AI167" s="14">
        <f t="shared" si="19"/>
        <v>1.8399999999999999</v>
      </c>
      <c r="AJ167" s="14"/>
      <c r="AK167" s="14"/>
      <c r="AL167">
        <f t="shared" si="22"/>
        <v>0.23633920000000003</v>
      </c>
      <c r="AM167"/>
      <c r="AN167"/>
      <c r="AO167">
        <f t="shared" si="21"/>
        <v>0.23633920000000003</v>
      </c>
      <c r="AP167">
        <f t="shared" si="23"/>
        <v>0.26421049064115404</v>
      </c>
      <c r="AQ167" s="10">
        <v>60</v>
      </c>
      <c r="AR167" s="10" t="s">
        <v>14</v>
      </c>
      <c r="AS167" s="10" t="s">
        <v>2</v>
      </c>
      <c r="AT167" s="10" t="s">
        <v>2</v>
      </c>
      <c r="AU167" s="10" t="s">
        <v>2</v>
      </c>
      <c r="AV167" s="10" t="s">
        <v>3</v>
      </c>
      <c r="AW167" s="10" t="s">
        <v>141</v>
      </c>
    </row>
    <row r="168" spans="1:49" s="10" customFormat="1" x14ac:dyDescent="0.3">
      <c r="A168" s="10" t="s">
        <v>139</v>
      </c>
      <c r="B168" s="10" t="s">
        <v>131</v>
      </c>
      <c r="C168" s="10" t="s">
        <v>912</v>
      </c>
      <c r="E168" s="10">
        <v>2005</v>
      </c>
      <c r="F168" t="s">
        <v>2661</v>
      </c>
      <c r="G168" s="10" t="s">
        <v>34</v>
      </c>
      <c r="H168" s="10" t="s">
        <v>17</v>
      </c>
      <c r="I168" s="10" t="s">
        <v>834</v>
      </c>
      <c r="J168" s="10" t="s">
        <v>140</v>
      </c>
      <c r="K168" s="10">
        <v>20</v>
      </c>
      <c r="L168" s="10">
        <v>20</v>
      </c>
      <c r="M168" s="53"/>
      <c r="N168" s="14">
        <v>1.7</v>
      </c>
      <c r="O168" s="14">
        <v>0</v>
      </c>
      <c r="W168" s="10">
        <v>4.2</v>
      </c>
      <c r="X168" s="10">
        <v>0.1</v>
      </c>
      <c r="AD168" s="14">
        <f t="shared" si="24"/>
        <v>2.4705882352941178</v>
      </c>
      <c r="AI168" s="14">
        <f t="shared" si="19"/>
        <v>2.4705882352941178</v>
      </c>
      <c r="AJ168" s="14"/>
      <c r="AK168" s="14"/>
      <c r="AL168">
        <f t="shared" si="22"/>
        <v>6.9204152249134968E-2</v>
      </c>
      <c r="AM168"/>
      <c r="AN168"/>
      <c r="AO168">
        <f t="shared" si="21"/>
        <v>6.9204152249134968E-2</v>
      </c>
      <c r="AP168">
        <f t="shared" si="23"/>
        <v>0.10647942749999</v>
      </c>
      <c r="AQ168" s="10">
        <v>60</v>
      </c>
      <c r="AR168" s="10" t="s">
        <v>14</v>
      </c>
      <c r="AS168" s="10" t="s">
        <v>2</v>
      </c>
      <c r="AT168" s="10" t="s">
        <v>2</v>
      </c>
      <c r="AU168" s="10" t="s">
        <v>2</v>
      </c>
      <c r="AV168" s="10" t="s">
        <v>3</v>
      </c>
      <c r="AW168" s="10" t="s">
        <v>141</v>
      </c>
    </row>
    <row r="169" spans="1:49" s="10" customFormat="1" x14ac:dyDescent="0.3">
      <c r="A169" s="10" t="s">
        <v>139</v>
      </c>
      <c r="B169" s="10" t="s">
        <v>131</v>
      </c>
      <c r="C169" s="10" t="s">
        <v>912</v>
      </c>
      <c r="E169" s="10">
        <v>2005</v>
      </c>
      <c r="F169" t="s">
        <v>2661</v>
      </c>
      <c r="G169" s="10" t="s">
        <v>34</v>
      </c>
      <c r="H169" s="10" t="s">
        <v>17</v>
      </c>
      <c r="I169" s="10" t="s">
        <v>833</v>
      </c>
      <c r="J169" s="10" t="s">
        <v>140</v>
      </c>
      <c r="K169" s="10">
        <v>20</v>
      </c>
      <c r="L169" s="10">
        <v>20</v>
      </c>
      <c r="M169" s="53"/>
      <c r="N169" s="14">
        <v>1.4</v>
      </c>
      <c r="O169" s="14">
        <v>0</v>
      </c>
      <c r="W169" s="10">
        <v>4.2</v>
      </c>
      <c r="X169" s="10">
        <v>0.1</v>
      </c>
      <c r="AD169" s="14">
        <f t="shared" si="24"/>
        <v>3.0000000000000004</v>
      </c>
      <c r="AI169" s="14">
        <f t="shared" si="19"/>
        <v>3.0000000000000004</v>
      </c>
      <c r="AJ169" s="14"/>
      <c r="AK169" s="14"/>
      <c r="AL169">
        <f t="shared" ref="AL169:AL182" si="25">(((X169*SQRT(L169))^2)/(N169^2))+((O169*SQRT(K169))^2)*(W169^2)/(N169^4)</f>
        <v>0.10204081632653064</v>
      </c>
      <c r="AM169"/>
      <c r="AN169"/>
      <c r="AO169">
        <f t="shared" si="21"/>
        <v>0.10204081632653064</v>
      </c>
      <c r="AP169">
        <f t="shared" ref="AP169:AP182" si="26">SQRT(AO169)/AI169</f>
        <v>0.10647942749999</v>
      </c>
      <c r="AQ169" s="10">
        <v>60</v>
      </c>
      <c r="AR169" s="10" t="s">
        <v>14</v>
      </c>
      <c r="AS169" s="10" t="s">
        <v>2</v>
      </c>
      <c r="AT169" s="10" t="s">
        <v>2</v>
      </c>
      <c r="AU169" s="10" t="s">
        <v>2</v>
      </c>
      <c r="AV169" s="10" t="s">
        <v>3</v>
      </c>
      <c r="AW169" s="10" t="s">
        <v>141</v>
      </c>
    </row>
    <row r="170" spans="1:49" s="10" customFormat="1" x14ac:dyDescent="0.3">
      <c r="A170" s="10" t="s">
        <v>139</v>
      </c>
      <c r="B170" s="10" t="s">
        <v>131</v>
      </c>
      <c r="C170" s="10" t="s">
        <v>912</v>
      </c>
      <c r="E170" s="10">
        <v>2006</v>
      </c>
      <c r="F170" t="s">
        <v>2661</v>
      </c>
      <c r="G170" s="10" t="s">
        <v>34</v>
      </c>
      <c r="H170" s="10" t="s">
        <v>17</v>
      </c>
      <c r="I170" s="10" t="s">
        <v>834</v>
      </c>
      <c r="J170" s="10" t="s">
        <v>140</v>
      </c>
      <c r="K170" s="10">
        <v>20</v>
      </c>
      <c r="L170" s="10">
        <v>20</v>
      </c>
      <c r="M170" s="53"/>
      <c r="N170" s="14">
        <v>0.9</v>
      </c>
      <c r="O170" s="14">
        <v>0.3</v>
      </c>
      <c r="W170" s="10">
        <v>1.5</v>
      </c>
      <c r="X170" s="10">
        <v>0.1</v>
      </c>
      <c r="AD170" s="14">
        <f t="shared" si="24"/>
        <v>1.6666666666666665</v>
      </c>
      <c r="AI170" s="14">
        <f t="shared" si="19"/>
        <v>1.6666666666666665</v>
      </c>
      <c r="AJ170" s="14"/>
      <c r="AK170" s="14"/>
      <c r="AL170">
        <f t="shared" si="25"/>
        <v>6.4197530864197514</v>
      </c>
      <c r="AM170"/>
      <c r="AN170"/>
      <c r="AO170">
        <f t="shared" si="21"/>
        <v>6.4197530864197514</v>
      </c>
      <c r="AP170">
        <f t="shared" si="26"/>
        <v>1.5202339001321838</v>
      </c>
      <c r="AQ170" s="10">
        <v>60</v>
      </c>
      <c r="AR170" s="10" t="s">
        <v>14</v>
      </c>
      <c r="AS170" s="10" t="s">
        <v>2</v>
      </c>
      <c r="AT170" s="10" t="s">
        <v>2</v>
      </c>
      <c r="AU170" s="10" t="s">
        <v>2</v>
      </c>
      <c r="AV170" s="10" t="s">
        <v>3</v>
      </c>
      <c r="AW170" s="10" t="s">
        <v>141</v>
      </c>
    </row>
    <row r="171" spans="1:49" s="10" customFormat="1" x14ac:dyDescent="0.3">
      <c r="A171" s="10" t="s">
        <v>139</v>
      </c>
      <c r="B171" s="10" t="s">
        <v>131</v>
      </c>
      <c r="C171" s="10" t="s">
        <v>913</v>
      </c>
      <c r="E171" s="10">
        <v>2005</v>
      </c>
      <c r="F171" t="s">
        <v>2661</v>
      </c>
      <c r="G171" s="10" t="s">
        <v>34</v>
      </c>
      <c r="H171" s="10" t="s">
        <v>17</v>
      </c>
      <c r="I171" s="10" t="s">
        <v>834</v>
      </c>
      <c r="J171" s="10" t="s">
        <v>140</v>
      </c>
      <c r="K171" s="10">
        <v>20</v>
      </c>
      <c r="L171" s="10">
        <v>20</v>
      </c>
      <c r="M171" s="53"/>
      <c r="N171" s="14">
        <v>1.1000000000000001</v>
      </c>
      <c r="O171" s="14">
        <v>0.2</v>
      </c>
      <c r="W171" s="10">
        <v>3.8</v>
      </c>
      <c r="X171" s="10">
        <v>0.2</v>
      </c>
      <c r="AD171" s="14">
        <f t="shared" si="24"/>
        <v>3.4545454545454541</v>
      </c>
      <c r="AI171" s="14">
        <f t="shared" si="19"/>
        <v>3.4545454545454541</v>
      </c>
      <c r="AJ171" s="14"/>
      <c r="AK171" s="14"/>
      <c r="AL171">
        <f t="shared" si="25"/>
        <v>8.5513284611706837</v>
      </c>
      <c r="AM171"/>
      <c r="AN171"/>
      <c r="AO171">
        <f t="shared" si="21"/>
        <v>8.5513284611706837</v>
      </c>
      <c r="AP171">
        <f t="shared" si="26"/>
        <v>0.84649789535665709</v>
      </c>
      <c r="AQ171" s="10">
        <v>60</v>
      </c>
      <c r="AR171" s="10" t="s">
        <v>14</v>
      </c>
      <c r="AS171" s="10" t="s">
        <v>2</v>
      </c>
      <c r="AT171" s="10" t="s">
        <v>2</v>
      </c>
      <c r="AU171" s="10" t="s">
        <v>2</v>
      </c>
      <c r="AV171" s="10" t="s">
        <v>3</v>
      </c>
      <c r="AW171" s="10" t="s">
        <v>141</v>
      </c>
    </row>
    <row r="172" spans="1:49" s="10" customFormat="1" x14ac:dyDescent="0.3">
      <c r="A172" s="10" t="s">
        <v>139</v>
      </c>
      <c r="B172" s="10" t="s">
        <v>131</v>
      </c>
      <c r="C172" s="10" t="s">
        <v>913</v>
      </c>
      <c r="E172" s="10">
        <v>2005</v>
      </c>
      <c r="F172" t="s">
        <v>2661</v>
      </c>
      <c r="G172" s="10" t="s">
        <v>34</v>
      </c>
      <c r="H172" s="10" t="s">
        <v>17</v>
      </c>
      <c r="I172" s="10" t="s">
        <v>833</v>
      </c>
      <c r="J172" s="10" t="s">
        <v>140</v>
      </c>
      <c r="K172" s="10">
        <v>20</v>
      </c>
      <c r="L172" s="10">
        <v>20</v>
      </c>
      <c r="M172" s="53"/>
      <c r="N172" s="14">
        <v>0.9</v>
      </c>
      <c r="O172" s="14">
        <v>0.1</v>
      </c>
      <c r="W172" s="10">
        <v>1.9</v>
      </c>
      <c r="X172" s="10">
        <v>0.1</v>
      </c>
      <c r="AD172" s="14">
        <f t="shared" si="24"/>
        <v>2.1111111111111112</v>
      </c>
      <c r="AI172" s="14">
        <f t="shared" si="19"/>
        <v>2.1111111111111112</v>
      </c>
      <c r="AJ172" s="14"/>
      <c r="AK172" s="14"/>
      <c r="AL172">
        <f t="shared" si="25"/>
        <v>1.3473555860387134</v>
      </c>
      <c r="AM172"/>
      <c r="AN172"/>
      <c r="AO172">
        <f t="shared" si="21"/>
        <v>1.3473555860387134</v>
      </c>
      <c r="AP172">
        <f t="shared" si="26"/>
        <v>0.54983201279734062</v>
      </c>
      <c r="AQ172" s="10">
        <v>60</v>
      </c>
      <c r="AR172" s="10" t="s">
        <v>14</v>
      </c>
      <c r="AS172" s="10" t="s">
        <v>2</v>
      </c>
      <c r="AT172" s="10" t="s">
        <v>2</v>
      </c>
      <c r="AU172" s="10" t="s">
        <v>2</v>
      </c>
      <c r="AV172" s="10" t="s">
        <v>3</v>
      </c>
      <c r="AW172" s="10" t="s">
        <v>141</v>
      </c>
    </row>
    <row r="173" spans="1:49" s="10" customFormat="1" x14ac:dyDescent="0.3">
      <c r="A173" s="10" t="s">
        <v>139</v>
      </c>
      <c r="B173" s="10" t="s">
        <v>131</v>
      </c>
      <c r="C173" s="10" t="s">
        <v>913</v>
      </c>
      <c r="E173" s="10">
        <v>2006</v>
      </c>
      <c r="F173" t="s">
        <v>2661</v>
      </c>
      <c r="G173" s="10" t="s">
        <v>34</v>
      </c>
      <c r="H173" s="10" t="s">
        <v>17</v>
      </c>
      <c r="I173" s="10" t="s">
        <v>834</v>
      </c>
      <c r="J173" s="10" t="s">
        <v>140</v>
      </c>
      <c r="K173" s="10">
        <v>20</v>
      </c>
      <c r="L173" s="10">
        <v>20</v>
      </c>
      <c r="M173" s="53"/>
      <c r="N173" s="14">
        <v>2.2999999999999998</v>
      </c>
      <c r="O173" s="14">
        <v>0.2</v>
      </c>
      <c r="W173" s="10">
        <v>3.9</v>
      </c>
      <c r="X173" s="10">
        <v>0.1</v>
      </c>
      <c r="AD173" s="14">
        <f t="shared" si="24"/>
        <v>1.6956521739130437</v>
      </c>
      <c r="AI173" s="14">
        <f t="shared" si="19"/>
        <v>1.6956521739130437</v>
      </c>
      <c r="AJ173" s="14"/>
      <c r="AK173" s="14"/>
      <c r="AL173">
        <f t="shared" si="25"/>
        <v>0.47262552663834129</v>
      </c>
      <c r="AM173"/>
      <c r="AN173"/>
      <c r="AO173">
        <f t="shared" si="21"/>
        <v>0.47262552663834129</v>
      </c>
      <c r="AP173">
        <f t="shared" si="26"/>
        <v>0.40543554034868723</v>
      </c>
      <c r="AQ173" s="10">
        <v>60</v>
      </c>
      <c r="AR173" s="10" t="s">
        <v>14</v>
      </c>
      <c r="AS173" s="10" t="s">
        <v>2</v>
      </c>
      <c r="AT173" s="10" t="s">
        <v>2</v>
      </c>
      <c r="AU173" s="10" t="s">
        <v>2</v>
      </c>
      <c r="AV173" s="10" t="s">
        <v>3</v>
      </c>
      <c r="AW173" s="10" t="s">
        <v>141</v>
      </c>
    </row>
    <row r="174" spans="1:49" s="10" customFormat="1" x14ac:dyDescent="0.3">
      <c r="A174" s="10" t="s">
        <v>139</v>
      </c>
      <c r="B174" s="10" t="s">
        <v>131</v>
      </c>
      <c r="C174" s="10" t="s">
        <v>914</v>
      </c>
      <c r="E174" s="10">
        <v>2005</v>
      </c>
      <c r="F174" t="s">
        <v>2661</v>
      </c>
      <c r="G174" s="10" t="s">
        <v>34</v>
      </c>
      <c r="H174" s="10" t="s">
        <v>17</v>
      </c>
      <c r="I174" s="10" t="s">
        <v>834</v>
      </c>
      <c r="J174" s="10" t="s">
        <v>140</v>
      </c>
      <c r="K174" s="10">
        <v>20</v>
      </c>
      <c r="L174" s="10">
        <v>20</v>
      </c>
      <c r="M174" s="53"/>
      <c r="N174" s="14">
        <v>2.5</v>
      </c>
      <c r="O174" s="14">
        <v>0.1</v>
      </c>
      <c r="W174" s="10">
        <v>5.6</v>
      </c>
      <c r="X174" s="10">
        <v>0.2</v>
      </c>
      <c r="AD174" s="14">
        <f t="shared" si="24"/>
        <v>2.2399999999999998</v>
      </c>
      <c r="AI174" s="14">
        <f t="shared" si="19"/>
        <v>2.2399999999999998</v>
      </c>
      <c r="AJ174" s="14"/>
      <c r="AK174" s="14"/>
      <c r="AL174">
        <f t="shared" si="25"/>
        <v>0.28856320000000002</v>
      </c>
      <c r="AM174"/>
      <c r="AN174"/>
      <c r="AO174">
        <f t="shared" si="21"/>
        <v>0.28856320000000002</v>
      </c>
      <c r="AP174">
        <f t="shared" si="26"/>
        <v>0.23981285220278056</v>
      </c>
      <c r="AQ174" s="10">
        <v>60</v>
      </c>
      <c r="AR174" s="10" t="s">
        <v>14</v>
      </c>
      <c r="AS174" s="10" t="s">
        <v>2</v>
      </c>
      <c r="AT174" s="10" t="s">
        <v>2</v>
      </c>
      <c r="AU174" s="10" t="s">
        <v>2</v>
      </c>
      <c r="AV174" s="10" t="s">
        <v>3</v>
      </c>
      <c r="AW174" s="10" t="s">
        <v>141</v>
      </c>
    </row>
    <row r="175" spans="1:49" s="10" customFormat="1" x14ac:dyDescent="0.3">
      <c r="A175" s="10" t="s">
        <v>139</v>
      </c>
      <c r="B175" s="10" t="s">
        <v>131</v>
      </c>
      <c r="C175" s="10" t="s">
        <v>914</v>
      </c>
      <c r="E175" s="10">
        <v>2005</v>
      </c>
      <c r="F175" t="s">
        <v>2661</v>
      </c>
      <c r="G175" s="10" t="s">
        <v>34</v>
      </c>
      <c r="H175" s="10" t="s">
        <v>17</v>
      </c>
      <c r="I175" s="10" t="s">
        <v>833</v>
      </c>
      <c r="J175" s="10" t="s">
        <v>140</v>
      </c>
      <c r="K175" s="10">
        <v>20</v>
      </c>
      <c r="L175" s="10">
        <v>20</v>
      </c>
      <c r="M175" s="53"/>
      <c r="N175" s="14">
        <v>2.9</v>
      </c>
      <c r="O175" s="14">
        <v>0.1</v>
      </c>
      <c r="W175" s="10">
        <v>5.8</v>
      </c>
      <c r="X175" s="10">
        <v>0.1</v>
      </c>
      <c r="AD175" s="14">
        <f t="shared" si="24"/>
        <v>2</v>
      </c>
      <c r="AI175" s="14">
        <f t="shared" si="19"/>
        <v>2</v>
      </c>
      <c r="AJ175" s="14"/>
      <c r="AK175" s="14"/>
      <c r="AL175">
        <f t="shared" si="25"/>
        <v>0.1189060642092747</v>
      </c>
      <c r="AM175"/>
      <c r="AN175"/>
      <c r="AO175">
        <f t="shared" si="21"/>
        <v>0.1189060642092747</v>
      </c>
      <c r="AP175">
        <f t="shared" si="26"/>
        <v>0.17241379310344829</v>
      </c>
      <c r="AQ175" s="10">
        <v>60</v>
      </c>
      <c r="AR175" s="10" t="s">
        <v>14</v>
      </c>
      <c r="AS175" s="10" t="s">
        <v>2</v>
      </c>
      <c r="AT175" s="10" t="s">
        <v>2</v>
      </c>
      <c r="AU175" s="10" t="s">
        <v>2</v>
      </c>
      <c r="AV175" s="10" t="s">
        <v>3</v>
      </c>
      <c r="AW175" s="10" t="s">
        <v>141</v>
      </c>
    </row>
    <row r="176" spans="1:49" s="10" customFormat="1" x14ac:dyDescent="0.3">
      <c r="A176" s="10" t="s">
        <v>139</v>
      </c>
      <c r="B176" s="10" t="s">
        <v>131</v>
      </c>
      <c r="C176" s="10" t="s">
        <v>914</v>
      </c>
      <c r="E176" s="10">
        <v>2006</v>
      </c>
      <c r="F176" t="s">
        <v>2661</v>
      </c>
      <c r="G176" s="10" t="s">
        <v>34</v>
      </c>
      <c r="H176" s="10" t="s">
        <v>17</v>
      </c>
      <c r="I176" s="10" t="s">
        <v>834</v>
      </c>
      <c r="J176" s="10" t="s">
        <v>140</v>
      </c>
      <c r="K176" s="10">
        <v>20</v>
      </c>
      <c r="L176" s="10">
        <v>20</v>
      </c>
      <c r="M176" s="53"/>
      <c r="N176" s="14">
        <v>2.8</v>
      </c>
      <c r="O176" s="14">
        <v>0.1</v>
      </c>
      <c r="W176" s="10">
        <v>5.5</v>
      </c>
      <c r="X176" s="10">
        <v>0.2</v>
      </c>
      <c r="AD176" s="14">
        <f t="shared" si="24"/>
        <v>1.9642857142857144</v>
      </c>
      <c r="AI176" s="14">
        <f t="shared" si="19"/>
        <v>1.9642857142857144</v>
      </c>
      <c r="AJ176" s="14"/>
      <c r="AK176" s="14"/>
      <c r="AL176">
        <f t="shared" si="25"/>
        <v>0.20046985630987096</v>
      </c>
      <c r="AM176"/>
      <c r="AN176"/>
      <c r="AO176">
        <f t="shared" si="21"/>
        <v>0.20046985630987096</v>
      </c>
      <c r="AP176">
        <f t="shared" si="26"/>
        <v>0.22793965226210247</v>
      </c>
      <c r="AQ176" s="10">
        <v>60</v>
      </c>
      <c r="AR176" s="10" t="s">
        <v>14</v>
      </c>
      <c r="AS176" s="10" t="s">
        <v>2</v>
      </c>
      <c r="AT176" s="10" t="s">
        <v>2</v>
      </c>
      <c r="AU176" s="10" t="s">
        <v>2</v>
      </c>
      <c r="AV176" s="10" t="s">
        <v>3</v>
      </c>
      <c r="AW176" s="10" t="s">
        <v>141</v>
      </c>
    </row>
    <row r="177" spans="1:49" s="10" customFormat="1" x14ac:dyDescent="0.3">
      <c r="A177" s="10" t="s">
        <v>139</v>
      </c>
      <c r="B177" s="10" t="s">
        <v>131</v>
      </c>
      <c r="C177" s="10" t="s">
        <v>915</v>
      </c>
      <c r="E177" s="10">
        <v>2005</v>
      </c>
      <c r="F177" t="s">
        <v>2661</v>
      </c>
      <c r="G177" s="10" t="s">
        <v>34</v>
      </c>
      <c r="H177" s="10" t="s">
        <v>17</v>
      </c>
      <c r="I177" s="10" t="s">
        <v>834</v>
      </c>
      <c r="J177" s="10" t="s">
        <v>140</v>
      </c>
      <c r="K177" s="10">
        <v>20</v>
      </c>
      <c r="L177" s="10">
        <v>20</v>
      </c>
      <c r="M177" s="53"/>
      <c r="N177" s="14">
        <v>0.9</v>
      </c>
      <c r="O177" s="14">
        <v>0.3</v>
      </c>
      <c r="W177" s="10">
        <v>1.7</v>
      </c>
      <c r="X177" s="10">
        <v>0.2</v>
      </c>
      <c r="AD177" s="14">
        <f t="shared" si="24"/>
        <v>1.8888888888888888</v>
      </c>
      <c r="AI177" s="14">
        <f t="shared" si="19"/>
        <v>1.8888888888888888</v>
      </c>
      <c r="AJ177" s="14"/>
      <c r="AK177" s="14"/>
      <c r="AL177">
        <f t="shared" si="25"/>
        <v>8.9163237311385455</v>
      </c>
      <c r="AM177"/>
      <c r="AN177"/>
      <c r="AO177">
        <f t="shared" si="21"/>
        <v>8.9163237311385455</v>
      </c>
      <c r="AP177">
        <f t="shared" si="26"/>
        <v>1.5808348526075588</v>
      </c>
      <c r="AQ177" s="10">
        <v>60</v>
      </c>
      <c r="AR177" s="10" t="s">
        <v>14</v>
      </c>
      <c r="AS177" s="10" t="s">
        <v>2</v>
      </c>
      <c r="AT177" s="10" t="s">
        <v>2</v>
      </c>
      <c r="AU177" s="10" t="s">
        <v>2</v>
      </c>
      <c r="AV177" s="10" t="s">
        <v>3</v>
      </c>
      <c r="AW177" s="10" t="s">
        <v>141</v>
      </c>
    </row>
    <row r="178" spans="1:49" s="10" customFormat="1" x14ac:dyDescent="0.3">
      <c r="A178" s="10" t="s">
        <v>139</v>
      </c>
      <c r="B178" s="10" t="s">
        <v>131</v>
      </c>
      <c r="C178" s="10" t="s">
        <v>915</v>
      </c>
      <c r="E178" s="10">
        <v>2005</v>
      </c>
      <c r="F178" t="s">
        <v>2661</v>
      </c>
      <c r="G178" s="10" t="s">
        <v>34</v>
      </c>
      <c r="H178" s="10" t="s">
        <v>17</v>
      </c>
      <c r="I178" s="10" t="s">
        <v>833</v>
      </c>
      <c r="J178" s="10" t="s">
        <v>140</v>
      </c>
      <c r="K178" s="10">
        <v>20</v>
      </c>
      <c r="L178" s="10">
        <v>20</v>
      </c>
      <c r="M178" s="53"/>
      <c r="N178" s="14">
        <v>0.3</v>
      </c>
      <c r="O178" s="14">
        <v>0.1</v>
      </c>
      <c r="W178" s="10">
        <v>0.8</v>
      </c>
      <c r="X178" s="10">
        <v>0.1</v>
      </c>
      <c r="AD178" s="14">
        <f t="shared" si="24"/>
        <v>2.666666666666667</v>
      </c>
      <c r="AI178" s="14">
        <f t="shared" ref="AI178:AI182" si="27">AD178+AE178</f>
        <v>2.666666666666667</v>
      </c>
      <c r="AJ178" s="14"/>
      <c r="AK178" s="14"/>
      <c r="AL178">
        <f t="shared" si="25"/>
        <v>18.0246913580247</v>
      </c>
      <c r="AM178"/>
      <c r="AN178"/>
      <c r="AO178">
        <f t="shared" si="21"/>
        <v>18.0246913580247</v>
      </c>
      <c r="AP178">
        <f t="shared" si="26"/>
        <v>1.5920810978785669</v>
      </c>
      <c r="AQ178" s="10">
        <v>60</v>
      </c>
      <c r="AR178" s="10" t="s">
        <v>14</v>
      </c>
      <c r="AS178" s="10" t="s">
        <v>2</v>
      </c>
      <c r="AT178" s="10" t="s">
        <v>2</v>
      </c>
      <c r="AU178" s="10" t="s">
        <v>2</v>
      </c>
      <c r="AV178" s="10" t="s">
        <v>3</v>
      </c>
      <c r="AW178" s="10" t="s">
        <v>141</v>
      </c>
    </row>
    <row r="179" spans="1:49" s="10" customFormat="1" x14ac:dyDescent="0.3">
      <c r="A179" s="10" t="s">
        <v>139</v>
      </c>
      <c r="B179" s="10" t="s">
        <v>131</v>
      </c>
      <c r="C179" s="10" t="s">
        <v>915</v>
      </c>
      <c r="E179" s="10">
        <v>2006</v>
      </c>
      <c r="F179" t="s">
        <v>2661</v>
      </c>
      <c r="G179" s="10" t="s">
        <v>34</v>
      </c>
      <c r="H179" s="10" t="s">
        <v>17</v>
      </c>
      <c r="I179" s="10" t="s">
        <v>834</v>
      </c>
      <c r="J179" s="10" t="s">
        <v>140</v>
      </c>
      <c r="K179" s="10">
        <v>20</v>
      </c>
      <c r="L179" s="10">
        <v>20</v>
      </c>
      <c r="M179" s="53"/>
      <c r="N179" s="14">
        <v>1.7</v>
      </c>
      <c r="O179" s="14">
        <v>0.1</v>
      </c>
      <c r="W179" s="10">
        <v>3.3</v>
      </c>
      <c r="X179" s="10">
        <v>0.2</v>
      </c>
      <c r="AD179" s="14">
        <f t="shared" si="24"/>
        <v>1.9411764705882353</v>
      </c>
      <c r="AI179" s="14">
        <f t="shared" si="27"/>
        <v>1.9411764705882353</v>
      </c>
      <c r="AJ179" s="14"/>
      <c r="AK179" s="14"/>
      <c r="AL179">
        <f t="shared" si="25"/>
        <v>0.53758934878653286</v>
      </c>
      <c r="AM179"/>
      <c r="AN179"/>
      <c r="AO179">
        <f t="shared" si="21"/>
        <v>0.53758934878653286</v>
      </c>
      <c r="AP179">
        <f t="shared" si="26"/>
        <v>0.37771158824272894</v>
      </c>
      <c r="AQ179" s="10">
        <v>60</v>
      </c>
      <c r="AR179" s="10" t="s">
        <v>14</v>
      </c>
      <c r="AS179" s="10" t="s">
        <v>2</v>
      </c>
      <c r="AT179" s="10" t="s">
        <v>2</v>
      </c>
      <c r="AU179" s="10" t="s">
        <v>2</v>
      </c>
      <c r="AV179" s="10" t="s">
        <v>3</v>
      </c>
      <c r="AW179" s="10" t="s">
        <v>141</v>
      </c>
    </row>
    <row r="180" spans="1:49" s="10" customFormat="1" x14ac:dyDescent="0.3">
      <c r="A180" s="10" t="s">
        <v>916</v>
      </c>
      <c r="B180" t="s">
        <v>149</v>
      </c>
      <c r="C180"/>
      <c r="D180" t="s">
        <v>150</v>
      </c>
      <c r="F180" t="s">
        <v>2661</v>
      </c>
      <c r="G180" s="10" t="s">
        <v>34</v>
      </c>
      <c r="H180" s="10" t="s">
        <v>17</v>
      </c>
      <c r="J180" s="10" t="s">
        <v>196</v>
      </c>
      <c r="K180" s="10">
        <v>4</v>
      </c>
      <c r="L180" s="10">
        <v>4</v>
      </c>
      <c r="M180" s="53"/>
      <c r="N180" s="14">
        <v>27.5</v>
      </c>
      <c r="O180" s="14">
        <v>3.3</v>
      </c>
      <c r="W180" s="10">
        <v>22.8</v>
      </c>
      <c r="X180" s="10">
        <v>3.3</v>
      </c>
      <c r="Y180" s="10">
        <v>0.76</v>
      </c>
      <c r="Z180" s="10">
        <v>0.09</v>
      </c>
      <c r="AD180" s="14">
        <f t="shared" si="24"/>
        <v>0.8290909090909091</v>
      </c>
      <c r="AI180" s="14">
        <f t="shared" si="27"/>
        <v>0.8290909090909091</v>
      </c>
      <c r="AJ180" s="14"/>
      <c r="AK180" s="14"/>
      <c r="AL180">
        <f t="shared" si="25"/>
        <v>9.719376396694214E-2</v>
      </c>
      <c r="AM180"/>
      <c r="AN180"/>
      <c r="AO180">
        <f t="shared" si="21"/>
        <v>9.719376396694214E-2</v>
      </c>
      <c r="AP180">
        <f t="shared" si="26"/>
        <v>0.37602528352547721</v>
      </c>
      <c r="AU180" s="10" t="s">
        <v>2</v>
      </c>
      <c r="AV180" s="10" t="s">
        <v>2023</v>
      </c>
      <c r="AW180" s="10" t="s">
        <v>919</v>
      </c>
    </row>
    <row r="181" spans="1:49" s="10" customFormat="1" x14ac:dyDescent="0.3">
      <c r="A181" s="10" t="s">
        <v>916</v>
      </c>
      <c r="B181" t="s">
        <v>149</v>
      </c>
      <c r="C181"/>
      <c r="D181" t="s">
        <v>150</v>
      </c>
      <c r="F181" t="s">
        <v>2661</v>
      </c>
      <c r="G181" s="10" t="s">
        <v>34</v>
      </c>
      <c r="H181" s="10" t="s">
        <v>17</v>
      </c>
      <c r="J181" s="10" t="s">
        <v>917</v>
      </c>
      <c r="K181" s="10">
        <v>4</v>
      </c>
      <c r="L181" s="10">
        <v>4</v>
      </c>
      <c r="M181" s="53"/>
      <c r="N181" s="14">
        <v>27.5</v>
      </c>
      <c r="O181" s="14">
        <v>3.3</v>
      </c>
      <c r="W181" s="10">
        <v>24.7</v>
      </c>
      <c r="X181" s="10">
        <v>2.2999999999999998</v>
      </c>
      <c r="Y181" s="10">
        <v>0.51</v>
      </c>
      <c r="Z181" s="10">
        <v>0.03</v>
      </c>
      <c r="AD181" s="14">
        <f t="shared" si="24"/>
        <v>0.89818181818181819</v>
      </c>
      <c r="AI181" s="14">
        <f t="shared" si="27"/>
        <v>0.89818181818181819</v>
      </c>
      <c r="AJ181" s="14"/>
      <c r="AK181" s="14"/>
      <c r="AL181">
        <f t="shared" si="25"/>
        <v>7.4447846611570237E-2</v>
      </c>
      <c r="AM181"/>
      <c r="AN181"/>
      <c r="AO181">
        <f t="shared" si="21"/>
        <v>7.4447846611570237E-2</v>
      </c>
      <c r="AP181">
        <f t="shared" si="26"/>
        <v>0.30378184173206652</v>
      </c>
      <c r="AU181" s="10" t="s">
        <v>2</v>
      </c>
      <c r="AV181" s="10" t="s">
        <v>2023</v>
      </c>
      <c r="AW181" s="10" t="s">
        <v>919</v>
      </c>
    </row>
    <row r="182" spans="1:49" s="10" customFormat="1" x14ac:dyDescent="0.3">
      <c r="A182" s="10" t="s">
        <v>916</v>
      </c>
      <c r="B182" t="s">
        <v>149</v>
      </c>
      <c r="C182"/>
      <c r="D182" t="s">
        <v>150</v>
      </c>
      <c r="F182" t="s">
        <v>2661</v>
      </c>
      <c r="G182" s="10" t="s">
        <v>34</v>
      </c>
      <c r="H182" s="10" t="s">
        <v>17</v>
      </c>
      <c r="J182" s="10" t="s">
        <v>918</v>
      </c>
      <c r="K182" s="10">
        <v>4</v>
      </c>
      <c r="L182" s="10">
        <v>4</v>
      </c>
      <c r="M182" s="53"/>
      <c r="N182" s="14">
        <v>27.5</v>
      </c>
      <c r="O182" s="14">
        <v>3.3</v>
      </c>
      <c r="W182" s="10">
        <v>21.1</v>
      </c>
      <c r="X182" s="10">
        <v>2.6</v>
      </c>
      <c r="Y182" s="10">
        <v>0.9</v>
      </c>
      <c r="Z182" s="10">
        <v>0.18</v>
      </c>
      <c r="AA182" s="10">
        <v>0.42</v>
      </c>
      <c r="AB182" s="10">
        <v>0.02</v>
      </c>
      <c r="AD182" s="14">
        <f t="shared" si="24"/>
        <v>0.76727272727272733</v>
      </c>
      <c r="AI182" s="14">
        <f t="shared" si="27"/>
        <v>0.76727272727272733</v>
      </c>
      <c r="AJ182" s="14"/>
      <c r="AK182" s="14"/>
      <c r="AL182">
        <f t="shared" si="25"/>
        <v>6.9664920330578514E-2</v>
      </c>
      <c r="AM182"/>
      <c r="AN182"/>
      <c r="AO182">
        <f t="shared" si="21"/>
        <v>6.9664920330578514E-2</v>
      </c>
      <c r="AP182">
        <f t="shared" si="26"/>
        <v>0.34399910363584069</v>
      </c>
      <c r="AU182" s="10" t="s">
        <v>2</v>
      </c>
      <c r="AV182" s="10" t="s">
        <v>2023</v>
      </c>
      <c r="AW182" s="10" t="s">
        <v>920</v>
      </c>
    </row>
    <row r="183" spans="1:49" s="10" customFormat="1" x14ac:dyDescent="0.3">
      <c r="A183" s="10" t="s">
        <v>165</v>
      </c>
      <c r="B183" s="10" t="s">
        <v>100</v>
      </c>
      <c r="C183" s="10" t="s">
        <v>167</v>
      </c>
      <c r="D183" s="16" t="s">
        <v>168</v>
      </c>
      <c r="E183" s="10">
        <v>2003</v>
      </c>
      <c r="F183" t="s">
        <v>2661</v>
      </c>
      <c r="G183" s="10" t="s">
        <v>34</v>
      </c>
      <c r="H183" s="10" t="s">
        <v>17</v>
      </c>
      <c r="I183" s="10" t="s">
        <v>874</v>
      </c>
      <c r="J183" s="10" t="s">
        <v>166</v>
      </c>
      <c r="K183" s="10">
        <v>3</v>
      </c>
      <c r="L183" s="10">
        <v>3</v>
      </c>
      <c r="M183" s="53"/>
      <c r="N183" s="14">
        <v>197</v>
      </c>
      <c r="O183" s="14"/>
      <c r="W183" s="10">
        <v>126</v>
      </c>
      <c r="Y183" s="10">
        <v>169</v>
      </c>
      <c r="AD183" s="14">
        <f t="shared" si="24"/>
        <v>0.63959390862944165</v>
      </c>
      <c r="AI183" s="14">
        <v>1.5</v>
      </c>
      <c r="AJ183" s="14"/>
      <c r="AK183" s="14"/>
      <c r="AL183"/>
      <c r="AM183"/>
      <c r="AN183"/>
      <c r="AO183"/>
      <c r="AP183"/>
      <c r="AQ183" s="10">
        <v>0</v>
      </c>
      <c r="AS183" s="10" t="s">
        <v>3</v>
      </c>
      <c r="AU183" s="10" t="s">
        <v>2</v>
      </c>
      <c r="AV183" s="10" t="s">
        <v>3</v>
      </c>
      <c r="AW183" s="10" t="s">
        <v>169</v>
      </c>
    </row>
    <row r="184" spans="1:49" s="10" customFormat="1" x14ac:dyDescent="0.3">
      <c r="A184" s="10" t="s">
        <v>165</v>
      </c>
      <c r="B184" s="10" t="s">
        <v>100</v>
      </c>
      <c r="C184" s="10" t="s">
        <v>167</v>
      </c>
      <c r="D184" s="16" t="s">
        <v>168</v>
      </c>
      <c r="E184" s="10">
        <v>2003</v>
      </c>
      <c r="F184" t="s">
        <v>2661</v>
      </c>
      <c r="G184" s="10" t="s">
        <v>34</v>
      </c>
      <c r="H184" s="10" t="s">
        <v>17</v>
      </c>
      <c r="I184" s="10" t="s">
        <v>875</v>
      </c>
      <c r="J184" s="10" t="s">
        <v>166</v>
      </c>
      <c r="K184" s="10">
        <v>3</v>
      </c>
      <c r="L184" s="10">
        <v>3</v>
      </c>
      <c r="M184" s="53"/>
      <c r="N184" s="14">
        <v>199</v>
      </c>
      <c r="O184" s="14"/>
      <c r="W184" s="10">
        <v>172</v>
      </c>
      <c r="Y184" s="10">
        <v>182</v>
      </c>
      <c r="AD184" s="14">
        <f t="shared" ref="AD184:AD202" si="28">W184/N184</f>
        <v>0.86432160804020097</v>
      </c>
      <c r="AI184" s="14">
        <v>1.8</v>
      </c>
      <c r="AJ184" s="14"/>
      <c r="AK184" s="14"/>
      <c r="AL184"/>
      <c r="AM184"/>
      <c r="AN184"/>
      <c r="AO184"/>
      <c r="AP184"/>
      <c r="AQ184" s="10">
        <v>0</v>
      </c>
      <c r="AS184" s="10" t="s">
        <v>3</v>
      </c>
      <c r="AU184" s="10" t="s">
        <v>2</v>
      </c>
      <c r="AV184" s="10" t="s">
        <v>3</v>
      </c>
      <c r="AW184" s="10" t="s">
        <v>169</v>
      </c>
    </row>
    <row r="185" spans="1:49" s="10" customFormat="1" x14ac:dyDescent="0.3">
      <c r="A185" s="10" t="s">
        <v>165</v>
      </c>
      <c r="B185" s="10" t="s">
        <v>100</v>
      </c>
      <c r="C185" s="10" t="s">
        <v>167</v>
      </c>
      <c r="D185" s="16" t="s">
        <v>168</v>
      </c>
      <c r="E185" s="10">
        <v>2003</v>
      </c>
      <c r="F185" t="s">
        <v>2661</v>
      </c>
      <c r="G185" s="10" t="s">
        <v>34</v>
      </c>
      <c r="H185" s="10" t="s">
        <v>17</v>
      </c>
      <c r="I185" s="10" t="s">
        <v>876</v>
      </c>
      <c r="J185" s="10" t="s">
        <v>166</v>
      </c>
      <c r="K185" s="10">
        <v>3</v>
      </c>
      <c r="L185" s="10">
        <v>3</v>
      </c>
      <c r="M185" s="53"/>
      <c r="N185" s="14">
        <v>193</v>
      </c>
      <c r="O185" s="14"/>
      <c r="W185" s="10">
        <v>142</v>
      </c>
      <c r="Y185" s="10">
        <v>151</v>
      </c>
      <c r="AD185" s="14">
        <f t="shared" si="28"/>
        <v>0.73575129533678751</v>
      </c>
      <c r="AI185" s="14">
        <v>0.9</v>
      </c>
      <c r="AJ185" s="14"/>
      <c r="AK185" s="14"/>
      <c r="AL185"/>
      <c r="AM185"/>
      <c r="AN185"/>
      <c r="AO185"/>
      <c r="AP185"/>
      <c r="AQ185" s="10">
        <v>0</v>
      </c>
      <c r="AS185" s="10" t="s">
        <v>3</v>
      </c>
      <c r="AU185" s="10" t="s">
        <v>2</v>
      </c>
      <c r="AV185" s="10" t="s">
        <v>3</v>
      </c>
      <c r="AW185" s="10" t="s">
        <v>169</v>
      </c>
    </row>
    <row r="186" spans="1:49" s="10" customFormat="1" x14ac:dyDescent="0.3">
      <c r="A186" s="10" t="s">
        <v>165</v>
      </c>
      <c r="B186" s="10" t="s">
        <v>100</v>
      </c>
      <c r="C186" s="10" t="s">
        <v>167</v>
      </c>
      <c r="D186" s="16" t="s">
        <v>168</v>
      </c>
      <c r="E186" s="10">
        <v>2004</v>
      </c>
      <c r="F186" t="s">
        <v>2661</v>
      </c>
      <c r="G186" s="10" t="s">
        <v>34</v>
      </c>
      <c r="H186" s="10" t="s">
        <v>17</v>
      </c>
      <c r="I186" s="10" t="s">
        <v>874</v>
      </c>
      <c r="J186" s="10" t="s">
        <v>166</v>
      </c>
      <c r="K186" s="10">
        <v>3</v>
      </c>
      <c r="L186" s="10">
        <v>3</v>
      </c>
      <c r="M186" s="53"/>
      <c r="N186" s="14">
        <v>169</v>
      </c>
      <c r="O186" s="14"/>
      <c r="W186" s="10">
        <v>108</v>
      </c>
      <c r="Y186" s="10">
        <v>170</v>
      </c>
      <c r="AD186" s="14">
        <f t="shared" si="28"/>
        <v>0.63905325443786987</v>
      </c>
      <c r="AI186" s="14">
        <v>1</v>
      </c>
      <c r="AJ186" s="14"/>
      <c r="AK186" s="14"/>
      <c r="AL186"/>
      <c r="AM186"/>
      <c r="AN186"/>
      <c r="AO186"/>
      <c r="AP186"/>
      <c r="AQ186" s="10">
        <v>0</v>
      </c>
      <c r="AS186" s="10" t="s">
        <v>3</v>
      </c>
      <c r="AU186" s="10" t="s">
        <v>2</v>
      </c>
      <c r="AV186" s="10" t="s">
        <v>3</v>
      </c>
      <c r="AW186" s="10" t="s">
        <v>169</v>
      </c>
    </row>
    <row r="187" spans="1:49" s="10" customFormat="1" x14ac:dyDescent="0.3">
      <c r="A187" s="10" t="s">
        <v>165</v>
      </c>
      <c r="B187" s="10" t="s">
        <v>100</v>
      </c>
      <c r="C187" s="10" t="s">
        <v>167</v>
      </c>
      <c r="D187" s="16" t="s">
        <v>168</v>
      </c>
      <c r="E187" s="10">
        <v>2004</v>
      </c>
      <c r="F187" t="s">
        <v>2661</v>
      </c>
      <c r="G187" s="10" t="s">
        <v>34</v>
      </c>
      <c r="H187" s="10" t="s">
        <v>17</v>
      </c>
      <c r="I187" s="10" t="s">
        <v>875</v>
      </c>
      <c r="J187" s="10" t="s">
        <v>166</v>
      </c>
      <c r="K187" s="10">
        <v>3</v>
      </c>
      <c r="L187" s="10">
        <v>3</v>
      </c>
      <c r="M187" s="53"/>
      <c r="N187" s="14">
        <v>183</v>
      </c>
      <c r="O187" s="14"/>
      <c r="W187" s="10">
        <v>158</v>
      </c>
      <c r="Y187" s="10">
        <v>143</v>
      </c>
      <c r="AD187" s="14">
        <f t="shared" si="28"/>
        <v>0.86338797814207646</v>
      </c>
      <c r="AI187" s="14">
        <v>1.6</v>
      </c>
      <c r="AJ187" s="14"/>
      <c r="AK187" s="14"/>
      <c r="AL187"/>
      <c r="AM187"/>
      <c r="AN187"/>
      <c r="AO187"/>
      <c r="AP187"/>
      <c r="AQ187" s="10">
        <v>0</v>
      </c>
      <c r="AS187" s="10" t="s">
        <v>3</v>
      </c>
      <c r="AU187" s="10" t="s">
        <v>2</v>
      </c>
      <c r="AV187" s="10" t="s">
        <v>3</v>
      </c>
      <c r="AW187" s="10" t="s">
        <v>169</v>
      </c>
    </row>
    <row r="188" spans="1:49" s="10" customFormat="1" x14ac:dyDescent="0.3">
      <c r="A188" s="10" t="s">
        <v>165</v>
      </c>
      <c r="B188" s="10" t="s">
        <v>100</v>
      </c>
      <c r="C188" s="10" t="s">
        <v>167</v>
      </c>
      <c r="D188" s="16" t="s">
        <v>168</v>
      </c>
      <c r="E188" s="10">
        <v>2004</v>
      </c>
      <c r="F188" t="s">
        <v>2661</v>
      </c>
      <c r="G188" s="10" t="s">
        <v>34</v>
      </c>
      <c r="H188" s="10" t="s">
        <v>17</v>
      </c>
      <c r="I188" s="10" t="s">
        <v>876</v>
      </c>
      <c r="J188" s="10" t="s">
        <v>166</v>
      </c>
      <c r="K188" s="10">
        <v>3</v>
      </c>
      <c r="L188" s="10">
        <v>3</v>
      </c>
      <c r="M188" s="53"/>
      <c r="N188" s="14">
        <v>189</v>
      </c>
      <c r="O188" s="14"/>
      <c r="W188" s="10">
        <v>128</v>
      </c>
      <c r="Y188" s="10">
        <v>146</v>
      </c>
      <c r="AD188" s="14">
        <f t="shared" si="28"/>
        <v>0.67724867724867721</v>
      </c>
      <c r="AI188" s="14">
        <v>1.1000000000000001</v>
      </c>
      <c r="AJ188" s="14"/>
      <c r="AK188" s="14"/>
      <c r="AL188"/>
      <c r="AM188"/>
      <c r="AN188"/>
      <c r="AO188"/>
      <c r="AP188"/>
      <c r="AQ188" s="10">
        <v>0</v>
      </c>
      <c r="AS188" s="10" t="s">
        <v>3</v>
      </c>
      <c r="AU188" s="10" t="s">
        <v>2</v>
      </c>
      <c r="AV188" s="10" t="s">
        <v>3</v>
      </c>
      <c r="AW188" s="10" t="s">
        <v>169</v>
      </c>
    </row>
    <row r="189" spans="1:49" s="10" customFormat="1" x14ac:dyDescent="0.3">
      <c r="A189" s="10" t="s">
        <v>170</v>
      </c>
      <c r="B189" s="10" t="s">
        <v>131</v>
      </c>
      <c r="C189" s="10" t="s">
        <v>171</v>
      </c>
      <c r="D189" s="16" t="s">
        <v>172</v>
      </c>
      <c r="F189" t="s">
        <v>2661</v>
      </c>
      <c r="G189" s="16" t="s">
        <v>34</v>
      </c>
      <c r="H189" s="16" t="s">
        <v>17</v>
      </c>
      <c r="J189" s="10" t="s">
        <v>175</v>
      </c>
      <c r="K189" s="10">
        <v>3</v>
      </c>
      <c r="L189" s="10">
        <v>3</v>
      </c>
      <c r="M189" s="53"/>
      <c r="N189" s="10">
        <v>3.02</v>
      </c>
      <c r="W189" s="10">
        <v>3.17</v>
      </c>
      <c r="Y189" s="10">
        <v>0.74</v>
      </c>
      <c r="AD189" s="14">
        <f t="shared" si="28"/>
        <v>1.0496688741721854</v>
      </c>
      <c r="AE189" s="14"/>
      <c r="AF189" s="14"/>
      <c r="AG189" s="14"/>
      <c r="AH189" s="14"/>
      <c r="AI189" s="14">
        <f>AD189+AE189</f>
        <v>1.0496688741721854</v>
      </c>
      <c r="AJ189" s="14"/>
      <c r="AK189" s="14"/>
      <c r="AL189"/>
      <c r="AM189"/>
      <c r="AN189"/>
      <c r="AO189"/>
      <c r="AP189"/>
      <c r="AQ189" s="10">
        <v>0</v>
      </c>
      <c r="AR189" s="26"/>
      <c r="AS189" s="10" t="s">
        <v>3</v>
      </c>
      <c r="AT189" s="10" t="s">
        <v>2</v>
      </c>
      <c r="AU189" s="10" t="s">
        <v>2</v>
      </c>
      <c r="AV189" s="10" t="s">
        <v>2023</v>
      </c>
      <c r="AW189" s="10" t="s">
        <v>1315</v>
      </c>
    </row>
    <row r="190" spans="1:49" s="10" customFormat="1" x14ac:dyDescent="0.3">
      <c r="A190" s="10" t="s">
        <v>170</v>
      </c>
      <c r="B190" s="10" t="s">
        <v>131</v>
      </c>
      <c r="C190" s="10" t="s">
        <v>171</v>
      </c>
      <c r="D190" s="16" t="s">
        <v>172</v>
      </c>
      <c r="F190" t="s">
        <v>2661</v>
      </c>
      <c r="G190" s="16" t="s">
        <v>34</v>
      </c>
      <c r="H190" s="16" t="s">
        <v>17</v>
      </c>
      <c r="J190" s="10" t="s">
        <v>175</v>
      </c>
      <c r="K190" s="10">
        <v>3</v>
      </c>
      <c r="L190" s="10">
        <v>3</v>
      </c>
      <c r="M190" s="53"/>
      <c r="N190" s="14">
        <v>2.95</v>
      </c>
      <c r="O190" s="14"/>
      <c r="W190" s="10">
        <v>3.38</v>
      </c>
      <c r="Y190" s="10">
        <v>0.95</v>
      </c>
      <c r="AD190" s="14">
        <f t="shared" si="28"/>
        <v>1.1457627118644067</v>
      </c>
      <c r="AE190" s="14"/>
      <c r="AF190" s="14"/>
      <c r="AG190" s="14"/>
      <c r="AH190" s="14"/>
      <c r="AI190" s="14">
        <f t="shared" ref="AI190:AI198" si="29">AD190+AE190</f>
        <v>1.1457627118644067</v>
      </c>
      <c r="AJ190" s="14"/>
      <c r="AK190" s="14"/>
      <c r="AL190"/>
      <c r="AM190"/>
      <c r="AN190"/>
      <c r="AO190"/>
      <c r="AP190"/>
      <c r="AQ190" s="10">
        <v>0</v>
      </c>
      <c r="AR190" s="26"/>
      <c r="AS190" s="10" t="s">
        <v>3</v>
      </c>
      <c r="AT190" s="10" t="s">
        <v>2</v>
      </c>
      <c r="AU190" s="10" t="s">
        <v>2</v>
      </c>
      <c r="AV190" s="10" t="s">
        <v>2023</v>
      </c>
      <c r="AW190" s="10" t="s">
        <v>1315</v>
      </c>
    </row>
    <row r="191" spans="1:49" s="10" customFormat="1" x14ac:dyDescent="0.3">
      <c r="A191" s="10" t="s">
        <v>170</v>
      </c>
      <c r="B191" s="10" t="s">
        <v>131</v>
      </c>
      <c r="C191" s="10" t="s">
        <v>171</v>
      </c>
      <c r="D191" s="16" t="s">
        <v>172</v>
      </c>
      <c r="F191" t="s">
        <v>2661</v>
      </c>
      <c r="G191" s="16" t="s">
        <v>34</v>
      </c>
      <c r="H191" s="16" t="s">
        <v>17</v>
      </c>
      <c r="J191" s="10" t="s">
        <v>175</v>
      </c>
      <c r="K191" s="10">
        <v>3</v>
      </c>
      <c r="L191" s="10">
        <v>3</v>
      </c>
      <c r="M191" s="53"/>
      <c r="N191" s="14">
        <v>3.4</v>
      </c>
      <c r="O191" s="14"/>
      <c r="W191" s="10">
        <v>4.03</v>
      </c>
      <c r="Y191" s="10">
        <v>0.86</v>
      </c>
      <c r="AD191" s="14">
        <f t="shared" si="28"/>
        <v>1.1852941176470588</v>
      </c>
      <c r="AE191" s="14"/>
      <c r="AF191" s="14"/>
      <c r="AG191" s="14"/>
      <c r="AH191" s="14"/>
      <c r="AI191" s="14">
        <f t="shared" si="29"/>
        <v>1.1852941176470588</v>
      </c>
      <c r="AJ191" s="14"/>
      <c r="AK191" s="14"/>
      <c r="AL191"/>
      <c r="AM191"/>
      <c r="AN191"/>
      <c r="AO191"/>
      <c r="AP191"/>
      <c r="AQ191" s="10">
        <v>0</v>
      </c>
      <c r="AR191" s="26"/>
      <c r="AS191" s="10" t="s">
        <v>3</v>
      </c>
      <c r="AT191" s="10" t="s">
        <v>2</v>
      </c>
      <c r="AU191" s="10" t="s">
        <v>2</v>
      </c>
      <c r="AV191" s="10" t="s">
        <v>2023</v>
      </c>
      <c r="AW191" s="10" t="s">
        <v>1315</v>
      </c>
    </row>
    <row r="192" spans="1:49" s="10" customFormat="1" x14ac:dyDescent="0.3">
      <c r="A192" s="10" t="s">
        <v>170</v>
      </c>
      <c r="B192" s="10" t="s">
        <v>131</v>
      </c>
      <c r="C192" s="10" t="s">
        <v>171</v>
      </c>
      <c r="D192" s="16" t="s">
        <v>172</v>
      </c>
      <c r="F192" t="s">
        <v>2661</v>
      </c>
      <c r="G192" s="16" t="s">
        <v>34</v>
      </c>
      <c r="H192" s="16" t="s">
        <v>17</v>
      </c>
      <c r="J192" s="10" t="s">
        <v>175</v>
      </c>
      <c r="K192" s="10">
        <v>3</v>
      </c>
      <c r="L192" s="10">
        <v>3</v>
      </c>
      <c r="M192" s="53"/>
      <c r="N192" s="14">
        <v>2.92</v>
      </c>
      <c r="O192" s="14"/>
      <c r="W192" s="10">
        <v>3.8</v>
      </c>
      <c r="Y192" s="10">
        <v>0.76</v>
      </c>
      <c r="AD192" s="14">
        <f t="shared" si="28"/>
        <v>1.3013698630136985</v>
      </c>
      <c r="AE192" s="14"/>
      <c r="AF192" s="14"/>
      <c r="AG192" s="14"/>
      <c r="AH192" s="14"/>
      <c r="AI192" s="14">
        <f t="shared" si="29"/>
        <v>1.3013698630136985</v>
      </c>
      <c r="AJ192" s="14"/>
      <c r="AK192" s="14"/>
      <c r="AL192"/>
      <c r="AM192"/>
      <c r="AN192"/>
      <c r="AO192"/>
      <c r="AP192"/>
      <c r="AQ192" s="10">
        <v>0</v>
      </c>
      <c r="AR192" s="26"/>
      <c r="AS192" s="10" t="s">
        <v>3</v>
      </c>
      <c r="AT192" s="10" t="s">
        <v>2</v>
      </c>
      <c r="AU192" s="10" t="s">
        <v>2</v>
      </c>
      <c r="AV192" s="10" t="s">
        <v>2023</v>
      </c>
      <c r="AW192" s="10" t="s">
        <v>1315</v>
      </c>
    </row>
    <row r="193" spans="1:49" s="10" customFormat="1" x14ac:dyDescent="0.3">
      <c r="A193" s="10" t="s">
        <v>177</v>
      </c>
      <c r="B193" s="10" t="s">
        <v>100</v>
      </c>
      <c r="C193" s="10" t="s">
        <v>178</v>
      </c>
      <c r="D193" s="16" t="s">
        <v>179</v>
      </c>
      <c r="E193" s="10">
        <v>2001</v>
      </c>
      <c r="F193" t="s">
        <v>2661</v>
      </c>
      <c r="G193" s="16" t="s">
        <v>181</v>
      </c>
      <c r="H193" s="16" t="s">
        <v>17</v>
      </c>
      <c r="I193" s="10" t="s">
        <v>885</v>
      </c>
      <c r="J193" s="10" t="s">
        <v>182</v>
      </c>
      <c r="K193" s="10">
        <v>3</v>
      </c>
      <c r="L193" s="10">
        <v>3</v>
      </c>
      <c r="M193" s="53"/>
      <c r="N193" s="14">
        <v>0.316</v>
      </c>
      <c r="O193" s="14"/>
      <c r="W193" s="10">
        <v>0.52800000000000002</v>
      </c>
      <c r="AD193" s="14">
        <f t="shared" si="28"/>
        <v>1.6708860759493671</v>
      </c>
      <c r="AI193" s="14">
        <f t="shared" si="29"/>
        <v>1.6708860759493671</v>
      </c>
      <c r="AJ193" s="14"/>
      <c r="AK193" s="14"/>
      <c r="AL193"/>
      <c r="AM193"/>
      <c r="AN193"/>
      <c r="AO193"/>
      <c r="AP193"/>
      <c r="AS193" s="10" t="s">
        <v>2</v>
      </c>
      <c r="AU193" s="10" t="s">
        <v>2</v>
      </c>
      <c r="AV193" s="10" t="s">
        <v>2023</v>
      </c>
      <c r="AW193" s="10" t="s">
        <v>901</v>
      </c>
    </row>
    <row r="194" spans="1:49" s="10" customFormat="1" x14ac:dyDescent="0.3">
      <c r="A194" s="10" t="s">
        <v>177</v>
      </c>
      <c r="B194" s="10" t="s">
        <v>100</v>
      </c>
      <c r="C194" s="10" t="s">
        <v>178</v>
      </c>
      <c r="D194" s="16" t="s">
        <v>179</v>
      </c>
      <c r="E194" s="10">
        <v>2001</v>
      </c>
      <c r="F194" t="s">
        <v>2661</v>
      </c>
      <c r="G194" s="16" t="s">
        <v>181</v>
      </c>
      <c r="H194" s="16" t="s">
        <v>17</v>
      </c>
      <c r="I194" s="10" t="s">
        <v>886</v>
      </c>
      <c r="J194" s="10" t="s">
        <v>182</v>
      </c>
      <c r="K194" s="10">
        <v>3</v>
      </c>
      <c r="L194" s="10">
        <v>3</v>
      </c>
      <c r="M194" s="53"/>
      <c r="N194" s="14">
        <v>0.316</v>
      </c>
      <c r="O194" s="14"/>
      <c r="W194" s="10">
        <v>0.56499999999999995</v>
      </c>
      <c r="AD194" s="14">
        <f t="shared" si="28"/>
        <v>1.7879746835443036</v>
      </c>
      <c r="AI194" s="14">
        <f t="shared" si="29"/>
        <v>1.7879746835443036</v>
      </c>
      <c r="AJ194" s="14"/>
      <c r="AK194" s="14"/>
      <c r="AL194"/>
      <c r="AM194"/>
      <c r="AN194"/>
      <c r="AO194"/>
      <c r="AP194"/>
      <c r="AS194" s="10" t="s">
        <v>2</v>
      </c>
      <c r="AU194" s="10" t="s">
        <v>2</v>
      </c>
      <c r="AV194" s="10" t="s">
        <v>2023</v>
      </c>
      <c r="AW194" s="10" t="s">
        <v>901</v>
      </c>
    </row>
    <row r="195" spans="1:49" s="10" customFormat="1" x14ac:dyDescent="0.3">
      <c r="A195" s="10" t="s">
        <v>177</v>
      </c>
      <c r="B195" s="10" t="s">
        <v>100</v>
      </c>
      <c r="C195" s="10" t="s">
        <v>178</v>
      </c>
      <c r="D195" s="16" t="s">
        <v>179</v>
      </c>
      <c r="E195" s="10">
        <v>2001</v>
      </c>
      <c r="F195" t="s">
        <v>2661</v>
      </c>
      <c r="G195" s="16" t="s">
        <v>181</v>
      </c>
      <c r="H195" s="16" t="s">
        <v>17</v>
      </c>
      <c r="I195" s="10" t="s">
        <v>887</v>
      </c>
      <c r="J195" s="10" t="s">
        <v>182</v>
      </c>
      <c r="K195" s="10">
        <v>3</v>
      </c>
      <c r="L195" s="10">
        <v>3</v>
      </c>
      <c r="M195" s="53"/>
      <c r="N195" s="14">
        <v>0.316</v>
      </c>
      <c r="O195" s="14"/>
      <c r="W195" s="10">
        <v>0.54400000000000004</v>
      </c>
      <c r="AD195" s="14">
        <f t="shared" si="28"/>
        <v>1.7215189873417722</v>
      </c>
      <c r="AI195" s="14">
        <f t="shared" si="29"/>
        <v>1.7215189873417722</v>
      </c>
      <c r="AJ195" s="14"/>
      <c r="AK195" s="14"/>
      <c r="AL195"/>
      <c r="AM195"/>
      <c r="AN195"/>
      <c r="AO195"/>
      <c r="AP195"/>
      <c r="AS195" s="10" t="s">
        <v>2</v>
      </c>
      <c r="AU195" s="10" t="s">
        <v>2</v>
      </c>
      <c r="AV195" s="10" t="s">
        <v>2023</v>
      </c>
      <c r="AW195" s="10" t="s">
        <v>901</v>
      </c>
    </row>
    <row r="196" spans="1:49" s="10" customFormat="1" x14ac:dyDescent="0.3">
      <c r="A196" s="10" t="s">
        <v>177</v>
      </c>
      <c r="B196" s="10" t="s">
        <v>100</v>
      </c>
      <c r="C196" s="10" t="s">
        <v>178</v>
      </c>
      <c r="D196" s="16" t="s">
        <v>179</v>
      </c>
      <c r="E196" s="10">
        <v>2002</v>
      </c>
      <c r="F196" t="s">
        <v>2661</v>
      </c>
      <c r="G196" s="16" t="s">
        <v>181</v>
      </c>
      <c r="H196" s="16" t="s">
        <v>17</v>
      </c>
      <c r="I196" s="10" t="s">
        <v>885</v>
      </c>
      <c r="J196" s="10" t="s">
        <v>182</v>
      </c>
      <c r="K196" s="10">
        <v>3</v>
      </c>
      <c r="L196" s="10">
        <v>3</v>
      </c>
      <c r="M196" s="53"/>
      <c r="N196" s="14">
        <v>0.373</v>
      </c>
      <c r="O196" s="14"/>
      <c r="W196" s="10">
        <v>0.44400000000000001</v>
      </c>
      <c r="AD196" s="14">
        <f t="shared" si="28"/>
        <v>1.190348525469169</v>
      </c>
      <c r="AI196" s="14">
        <f t="shared" si="29"/>
        <v>1.190348525469169</v>
      </c>
      <c r="AJ196" s="14"/>
      <c r="AK196" s="14"/>
      <c r="AL196"/>
      <c r="AM196"/>
      <c r="AN196"/>
      <c r="AO196"/>
      <c r="AP196"/>
      <c r="AS196" s="10" t="s">
        <v>2</v>
      </c>
      <c r="AU196" s="10" t="s">
        <v>2</v>
      </c>
      <c r="AV196" s="10" t="s">
        <v>2023</v>
      </c>
      <c r="AW196" s="10" t="s">
        <v>901</v>
      </c>
    </row>
    <row r="197" spans="1:49" s="10" customFormat="1" x14ac:dyDescent="0.3">
      <c r="A197" s="10" t="s">
        <v>177</v>
      </c>
      <c r="B197" s="10" t="s">
        <v>100</v>
      </c>
      <c r="C197" s="10" t="s">
        <v>178</v>
      </c>
      <c r="D197" s="16" t="s">
        <v>179</v>
      </c>
      <c r="E197" s="10">
        <v>2002</v>
      </c>
      <c r="F197" t="s">
        <v>2661</v>
      </c>
      <c r="G197" s="16" t="s">
        <v>181</v>
      </c>
      <c r="H197" s="16" t="s">
        <v>17</v>
      </c>
      <c r="I197" s="10" t="s">
        <v>886</v>
      </c>
      <c r="J197" s="10" t="s">
        <v>182</v>
      </c>
      <c r="K197" s="10">
        <v>3</v>
      </c>
      <c r="L197" s="10">
        <v>3</v>
      </c>
      <c r="M197" s="53"/>
      <c r="N197" s="14">
        <v>0.373</v>
      </c>
      <c r="O197" s="14"/>
      <c r="W197" s="10">
        <v>0.39900000000000002</v>
      </c>
      <c r="AD197" s="14">
        <f t="shared" si="28"/>
        <v>1.0697050938337802</v>
      </c>
      <c r="AI197" s="14">
        <f t="shared" si="29"/>
        <v>1.0697050938337802</v>
      </c>
      <c r="AJ197" s="14"/>
      <c r="AK197" s="14"/>
      <c r="AL197"/>
      <c r="AM197"/>
      <c r="AN197"/>
      <c r="AO197"/>
      <c r="AP197"/>
      <c r="AS197" s="10" t="s">
        <v>2</v>
      </c>
      <c r="AU197" s="10" t="s">
        <v>2</v>
      </c>
      <c r="AV197" s="10" t="s">
        <v>2023</v>
      </c>
      <c r="AW197" s="10" t="s">
        <v>901</v>
      </c>
    </row>
    <row r="198" spans="1:49" s="10" customFormat="1" x14ac:dyDescent="0.3">
      <c r="A198" s="10" t="s">
        <v>177</v>
      </c>
      <c r="B198" s="10" t="s">
        <v>100</v>
      </c>
      <c r="C198" s="10" t="s">
        <v>178</v>
      </c>
      <c r="D198" s="16" t="s">
        <v>179</v>
      </c>
      <c r="E198" s="10">
        <v>2002</v>
      </c>
      <c r="F198" t="s">
        <v>2661</v>
      </c>
      <c r="G198" s="16" t="s">
        <v>181</v>
      </c>
      <c r="H198" s="16" t="s">
        <v>17</v>
      </c>
      <c r="I198" s="10" t="s">
        <v>887</v>
      </c>
      <c r="J198" s="10" t="s">
        <v>182</v>
      </c>
      <c r="K198" s="10">
        <v>3</v>
      </c>
      <c r="L198" s="10">
        <v>3</v>
      </c>
      <c r="M198" s="53"/>
      <c r="N198" s="14">
        <v>0.373</v>
      </c>
      <c r="O198" s="14"/>
      <c r="W198" s="10">
        <v>0.35599999999999998</v>
      </c>
      <c r="AD198" s="14">
        <f t="shared" si="28"/>
        <v>0.95442359249329756</v>
      </c>
      <c r="AI198" s="14">
        <f t="shared" si="29"/>
        <v>0.95442359249329756</v>
      </c>
      <c r="AJ198" s="14"/>
      <c r="AK198" s="14"/>
      <c r="AL198"/>
      <c r="AM198"/>
      <c r="AN198"/>
      <c r="AO198"/>
      <c r="AP198"/>
      <c r="AS198" s="10" t="s">
        <v>2</v>
      </c>
      <c r="AU198" s="10" t="s">
        <v>2</v>
      </c>
      <c r="AV198" s="10" t="s">
        <v>2023</v>
      </c>
      <c r="AW198" s="10" t="s">
        <v>901</v>
      </c>
    </row>
    <row r="199" spans="1:49" s="10" customFormat="1" x14ac:dyDescent="0.3">
      <c r="A199" s="10" t="s">
        <v>183</v>
      </c>
      <c r="B199" s="10" t="s">
        <v>185</v>
      </c>
      <c r="C199" s="10" t="s">
        <v>186</v>
      </c>
      <c r="D199" s="16" t="s">
        <v>187</v>
      </c>
      <c r="F199" t="s">
        <v>2661</v>
      </c>
      <c r="G199" s="16" t="s">
        <v>34</v>
      </c>
      <c r="H199" s="16" t="s">
        <v>17</v>
      </c>
      <c r="I199" s="10" t="s">
        <v>188</v>
      </c>
      <c r="J199" s="10" t="s">
        <v>184</v>
      </c>
      <c r="K199" s="10">
        <v>4</v>
      </c>
      <c r="L199" s="10">
        <v>4</v>
      </c>
      <c r="M199" s="53"/>
      <c r="N199" s="10">
        <v>1.05</v>
      </c>
      <c r="O199" s="10">
        <v>0.22</v>
      </c>
      <c r="W199" s="10">
        <v>1.03</v>
      </c>
      <c r="X199" s="10">
        <v>0.12</v>
      </c>
      <c r="AD199" s="14">
        <f t="shared" si="28"/>
        <v>0.98095238095238091</v>
      </c>
      <c r="AI199" s="10">
        <v>1.1399999999999999</v>
      </c>
      <c r="AL199">
        <f>(((X199*SQRT(L199))^2)/(N199^2))+((O199*SQRT(K199))^2)*(W199^2)/(N199^4)</f>
        <v>0.22121995670528222</v>
      </c>
      <c r="AM199"/>
      <c r="AN199"/>
      <c r="AO199">
        <f t="shared" ref="AO199:AO258" si="30">AL199+AM199+AN199</f>
        <v>0.22121995670528222</v>
      </c>
      <c r="AP199">
        <f>SQRT(AO199)/AI199</f>
        <v>0.41257917220131218</v>
      </c>
      <c r="AQ199" s="10">
        <v>0</v>
      </c>
      <c r="AS199" s="10" t="s">
        <v>2</v>
      </c>
      <c r="AT199" s="10" t="s">
        <v>3</v>
      </c>
      <c r="AU199" s="10" t="s">
        <v>2</v>
      </c>
      <c r="AV199" s="10" t="s">
        <v>3</v>
      </c>
    </row>
    <row r="200" spans="1:49" s="10" customFormat="1" x14ac:dyDescent="0.3">
      <c r="A200" s="10" t="s">
        <v>183</v>
      </c>
      <c r="B200" s="10" t="s">
        <v>185</v>
      </c>
      <c r="C200" s="10" t="s">
        <v>186</v>
      </c>
      <c r="D200" s="16" t="s">
        <v>187</v>
      </c>
      <c r="F200" t="s">
        <v>2661</v>
      </c>
      <c r="G200" s="16" t="s">
        <v>34</v>
      </c>
      <c r="H200" s="16" t="s">
        <v>17</v>
      </c>
      <c r="I200" s="10" t="s">
        <v>189</v>
      </c>
      <c r="J200" s="10" t="s">
        <v>184</v>
      </c>
      <c r="K200" s="10">
        <v>4</v>
      </c>
      <c r="L200" s="10">
        <v>4</v>
      </c>
      <c r="M200" s="53"/>
      <c r="N200" s="10">
        <v>1.05</v>
      </c>
      <c r="O200" s="10">
        <v>0.22</v>
      </c>
      <c r="W200" s="10">
        <v>0.91</v>
      </c>
      <c r="X200" s="10">
        <v>0.16</v>
      </c>
      <c r="AD200" s="14">
        <f t="shared" si="28"/>
        <v>0.8666666666666667</v>
      </c>
      <c r="AI200" s="10">
        <v>1.1000000000000001</v>
      </c>
      <c r="AL200">
        <f>(((X200*SQRT(L200))^2)/(N200^2))+((O200*SQRT(K200))^2)*(W200^2)/(N200^4)</f>
        <v>0.22477561098513482</v>
      </c>
      <c r="AM200"/>
      <c r="AN200"/>
      <c r="AO200">
        <f t="shared" si="30"/>
        <v>0.22477561098513482</v>
      </c>
      <c r="AP200">
        <f>SQRT(AO200)/AI200</f>
        <v>0.43100460294097759</v>
      </c>
      <c r="AQ200" s="10">
        <v>0</v>
      </c>
      <c r="AS200" s="10" t="s">
        <v>2</v>
      </c>
      <c r="AT200" s="10" t="s">
        <v>3</v>
      </c>
      <c r="AU200" s="10" t="s">
        <v>2</v>
      </c>
      <c r="AV200" s="10" t="s">
        <v>3</v>
      </c>
    </row>
    <row r="201" spans="1:49" s="10" customFormat="1" x14ac:dyDescent="0.3">
      <c r="A201" s="10" t="s">
        <v>183</v>
      </c>
      <c r="B201" s="10" t="s">
        <v>185</v>
      </c>
      <c r="C201" s="10" t="s">
        <v>186</v>
      </c>
      <c r="D201" s="16" t="s">
        <v>187</v>
      </c>
      <c r="F201" t="s">
        <v>2661</v>
      </c>
      <c r="G201" s="16" t="s">
        <v>34</v>
      </c>
      <c r="H201" s="16" t="s">
        <v>17</v>
      </c>
      <c r="I201" s="10" t="s">
        <v>190</v>
      </c>
      <c r="J201" s="10" t="s">
        <v>184</v>
      </c>
      <c r="K201" s="10">
        <v>4</v>
      </c>
      <c r="L201" s="10">
        <v>4</v>
      </c>
      <c r="M201" s="53"/>
      <c r="N201" s="10">
        <v>1.06</v>
      </c>
      <c r="O201" s="10">
        <v>0.2</v>
      </c>
      <c r="W201" s="10">
        <v>0.85</v>
      </c>
      <c r="X201" s="10">
        <v>0.06</v>
      </c>
      <c r="AD201" s="14">
        <f t="shared" si="28"/>
        <v>0.80188679245283012</v>
      </c>
      <c r="AI201" s="10">
        <v>0.94</v>
      </c>
      <c r="AL201">
        <f>(((X201*SQRT(L201))^2)/(N201^2))+((O201*SQRT(K201))^2)*(W201^2)/(N201^4)</f>
        <v>0.10438197620652022</v>
      </c>
      <c r="AM201"/>
      <c r="AN201"/>
      <c r="AO201">
        <f t="shared" si="30"/>
        <v>0.10438197620652022</v>
      </c>
      <c r="AP201">
        <f>SQRT(AO201)/AI201</f>
        <v>0.34370425117442721</v>
      </c>
      <c r="AQ201" s="10">
        <v>0</v>
      </c>
      <c r="AS201" s="10" t="s">
        <v>2</v>
      </c>
      <c r="AT201" s="10" t="s">
        <v>3</v>
      </c>
      <c r="AU201" s="10" t="s">
        <v>2</v>
      </c>
      <c r="AV201" s="10" t="s">
        <v>3</v>
      </c>
    </row>
    <row r="202" spans="1:49" x14ac:dyDescent="0.3">
      <c r="A202" s="10" t="s">
        <v>183</v>
      </c>
      <c r="B202" s="10" t="s">
        <v>185</v>
      </c>
      <c r="C202" s="10" t="s">
        <v>186</v>
      </c>
      <c r="D202" s="16" t="s">
        <v>187</v>
      </c>
      <c r="E202" s="10"/>
      <c r="F202" t="s">
        <v>2661</v>
      </c>
      <c r="G202" s="16" t="s">
        <v>34</v>
      </c>
      <c r="H202" s="16" t="s">
        <v>17</v>
      </c>
      <c r="I202" s="10" t="s">
        <v>191</v>
      </c>
      <c r="J202" s="10" t="s">
        <v>184</v>
      </c>
      <c r="K202" s="10">
        <v>4</v>
      </c>
      <c r="L202" s="10">
        <v>4</v>
      </c>
      <c r="N202" s="10">
        <v>1.06</v>
      </c>
      <c r="O202" s="10">
        <v>0.2</v>
      </c>
      <c r="W202" s="10">
        <v>0.8</v>
      </c>
      <c r="X202" s="10">
        <v>0.18</v>
      </c>
      <c r="AD202" s="14">
        <f t="shared" si="28"/>
        <v>0.75471698113207553</v>
      </c>
      <c r="AI202" s="10">
        <v>1.0900000000000001</v>
      </c>
      <c r="AJ202" s="10"/>
      <c r="AK202" s="10"/>
      <c r="AL202">
        <f>(((X202*SQRT(L202))^2)/(N202^2))+((O202*SQRT(K202))^2)*(W202^2)/(N202^4)</f>
        <v>0.19645392974141879</v>
      </c>
      <c r="AO202">
        <f t="shared" si="30"/>
        <v>0.19645392974141879</v>
      </c>
      <c r="AP202">
        <f>SQRT(AO202)/AI202</f>
        <v>0.40663416268428138</v>
      </c>
      <c r="AQ202" s="10">
        <v>0</v>
      </c>
      <c r="AR202" s="10"/>
      <c r="AS202" s="10" t="s">
        <v>2</v>
      </c>
      <c r="AT202" s="10" t="s">
        <v>3</v>
      </c>
      <c r="AU202" s="10" t="s">
        <v>2</v>
      </c>
      <c r="AV202" s="10" t="s">
        <v>3</v>
      </c>
    </row>
    <row r="203" spans="1:49" x14ac:dyDescent="0.3">
      <c r="A203" s="10" t="s">
        <v>192</v>
      </c>
      <c r="B203" s="10" t="s">
        <v>193</v>
      </c>
      <c r="C203" t="s">
        <v>194</v>
      </c>
      <c r="D203" s="4" t="s">
        <v>195</v>
      </c>
      <c r="E203" s="10">
        <v>1987</v>
      </c>
      <c r="F203" t="s">
        <v>2661</v>
      </c>
      <c r="G203" s="16" t="s">
        <v>197</v>
      </c>
      <c r="H203" s="16" t="s">
        <v>217</v>
      </c>
      <c r="I203" s="10" t="s">
        <v>888</v>
      </c>
      <c r="J203" s="10" t="s">
        <v>196</v>
      </c>
      <c r="K203" s="10">
        <v>3</v>
      </c>
      <c r="L203" s="10">
        <v>3</v>
      </c>
      <c r="P203">
        <f>80000*48/1000</f>
        <v>3840</v>
      </c>
      <c r="AI203" s="10">
        <v>1.89</v>
      </c>
      <c r="AJ203" s="10"/>
      <c r="AK203" s="10"/>
      <c r="AQ203" s="10">
        <v>60</v>
      </c>
      <c r="AR203" s="10" t="s">
        <v>14</v>
      </c>
      <c r="AS203" s="10" t="s">
        <v>2</v>
      </c>
      <c r="AT203" s="10"/>
      <c r="AU203" s="10" t="s">
        <v>2</v>
      </c>
      <c r="AV203" s="10" t="s">
        <v>3</v>
      </c>
    </row>
    <row r="204" spans="1:49" x14ac:dyDescent="0.3">
      <c r="A204" s="10" t="s">
        <v>192</v>
      </c>
      <c r="B204" s="10" t="s">
        <v>193</v>
      </c>
      <c r="C204" t="s">
        <v>194</v>
      </c>
      <c r="D204" s="4" t="s">
        <v>195</v>
      </c>
      <c r="E204" s="10">
        <v>1988</v>
      </c>
      <c r="F204" t="s">
        <v>2661</v>
      </c>
      <c r="G204" s="16" t="s">
        <v>197</v>
      </c>
      <c r="H204" s="16" t="s">
        <v>217</v>
      </c>
      <c r="I204" s="10" t="s">
        <v>889</v>
      </c>
      <c r="J204" s="10" t="s">
        <v>196</v>
      </c>
      <c r="K204" s="10">
        <v>3</v>
      </c>
      <c r="L204" s="10">
        <v>3</v>
      </c>
      <c r="P204">
        <f t="shared" ref="P204:P205" si="31">80000*48/1000</f>
        <v>3840</v>
      </c>
      <c r="AI204" s="10">
        <v>1.58</v>
      </c>
      <c r="AJ204" s="10"/>
      <c r="AK204" s="10"/>
      <c r="AQ204" s="10">
        <v>60</v>
      </c>
      <c r="AR204" s="10" t="s">
        <v>14</v>
      </c>
      <c r="AS204" s="10" t="s">
        <v>2</v>
      </c>
      <c r="AT204" s="10"/>
      <c r="AU204" s="10" t="s">
        <v>2</v>
      </c>
      <c r="AV204" s="10" t="s">
        <v>3</v>
      </c>
    </row>
    <row r="205" spans="1:49" x14ac:dyDescent="0.3">
      <c r="A205" s="10" t="s">
        <v>192</v>
      </c>
      <c r="B205" s="10" t="s">
        <v>193</v>
      </c>
      <c r="C205" t="s">
        <v>194</v>
      </c>
      <c r="D205" s="4" t="s">
        <v>195</v>
      </c>
      <c r="E205" s="10">
        <v>1988</v>
      </c>
      <c r="F205" t="s">
        <v>2661</v>
      </c>
      <c r="G205" s="16" t="s">
        <v>197</v>
      </c>
      <c r="H205" s="16" t="s">
        <v>217</v>
      </c>
      <c r="I205" s="10" t="s">
        <v>888</v>
      </c>
      <c r="J205" s="10" t="s">
        <v>196</v>
      </c>
      <c r="K205" s="10">
        <v>3</v>
      </c>
      <c r="L205" s="10">
        <v>3</v>
      </c>
      <c r="P205">
        <f t="shared" si="31"/>
        <v>3840</v>
      </c>
      <c r="AI205" s="10">
        <v>1.81</v>
      </c>
      <c r="AJ205" s="10"/>
      <c r="AK205" s="10"/>
      <c r="AQ205" s="10">
        <v>60</v>
      </c>
      <c r="AR205" s="10" t="s">
        <v>14</v>
      </c>
      <c r="AS205" s="10" t="s">
        <v>2</v>
      </c>
      <c r="AT205" s="10"/>
      <c r="AU205" s="10" t="s">
        <v>2</v>
      </c>
      <c r="AV205" s="10" t="s">
        <v>3</v>
      </c>
    </row>
    <row r="206" spans="1:49" x14ac:dyDescent="0.3">
      <c r="A206" s="10" t="s">
        <v>192</v>
      </c>
      <c r="B206" s="10" t="s">
        <v>193</v>
      </c>
      <c r="C206" t="s">
        <v>194</v>
      </c>
      <c r="D206" s="4" t="s">
        <v>195</v>
      </c>
      <c r="E206" s="10">
        <v>1988</v>
      </c>
      <c r="F206" t="s">
        <v>2661</v>
      </c>
      <c r="G206" s="16" t="s">
        <v>197</v>
      </c>
      <c r="H206" s="16" t="s">
        <v>217</v>
      </c>
      <c r="I206" s="10" t="s">
        <v>890</v>
      </c>
      <c r="J206" s="10" t="s">
        <v>196</v>
      </c>
      <c r="K206" s="10">
        <v>3</v>
      </c>
      <c r="L206" s="10">
        <v>3</v>
      </c>
      <c r="P206">
        <f>80000*47.6/1000</f>
        <v>3808</v>
      </c>
      <c r="AI206" s="10">
        <v>1.45</v>
      </c>
      <c r="AJ206" s="10"/>
      <c r="AK206" s="10"/>
      <c r="AQ206" s="10">
        <v>60</v>
      </c>
      <c r="AR206" s="10" t="s">
        <v>14</v>
      </c>
      <c r="AS206" s="10" t="s">
        <v>2</v>
      </c>
      <c r="AT206" s="10"/>
      <c r="AU206" s="10" t="s">
        <v>2</v>
      </c>
      <c r="AV206" s="10" t="s">
        <v>3</v>
      </c>
    </row>
    <row r="207" spans="1:49" x14ac:dyDescent="0.3">
      <c r="A207" s="10" t="s">
        <v>192</v>
      </c>
      <c r="B207" s="10" t="s">
        <v>193</v>
      </c>
      <c r="C207" t="s">
        <v>194</v>
      </c>
      <c r="D207" s="4" t="s">
        <v>195</v>
      </c>
      <c r="E207" s="10">
        <v>1988</v>
      </c>
      <c r="F207" t="s">
        <v>2661</v>
      </c>
      <c r="G207" s="16" t="s">
        <v>197</v>
      </c>
      <c r="H207" s="16" t="s">
        <v>217</v>
      </c>
      <c r="I207" s="10" t="s">
        <v>891</v>
      </c>
      <c r="J207" s="10" t="s">
        <v>196</v>
      </c>
      <c r="K207" s="10">
        <v>3</v>
      </c>
      <c r="L207" s="10">
        <v>3</v>
      </c>
      <c r="P207">
        <f>80000*47.6/1000</f>
        <v>3808</v>
      </c>
      <c r="AI207" s="10">
        <v>1.77</v>
      </c>
      <c r="AJ207" s="10"/>
      <c r="AK207" s="10"/>
      <c r="AQ207" s="10">
        <v>60</v>
      </c>
      <c r="AR207" s="10" t="s">
        <v>14</v>
      </c>
      <c r="AS207" s="10" t="s">
        <v>2</v>
      </c>
      <c r="AT207" s="10"/>
      <c r="AU207" s="10" t="s">
        <v>2</v>
      </c>
      <c r="AV207" s="10" t="s">
        <v>3</v>
      </c>
    </row>
    <row r="208" spans="1:49" x14ac:dyDescent="0.3">
      <c r="A208" s="10" t="s">
        <v>192</v>
      </c>
      <c r="B208" s="10" t="s">
        <v>193</v>
      </c>
      <c r="C208" t="s">
        <v>194</v>
      </c>
      <c r="D208" s="4" t="s">
        <v>195</v>
      </c>
      <c r="E208" s="10">
        <v>1987</v>
      </c>
      <c r="F208" t="s">
        <v>2661</v>
      </c>
      <c r="G208" s="16" t="s">
        <v>197</v>
      </c>
      <c r="H208" s="16" t="s">
        <v>217</v>
      </c>
      <c r="I208" s="10" t="s">
        <v>888</v>
      </c>
      <c r="J208" s="10" t="s">
        <v>196</v>
      </c>
      <c r="K208" s="10">
        <v>3</v>
      </c>
      <c r="L208" s="10">
        <v>3</v>
      </c>
      <c r="P208">
        <f>80000*68/1000</f>
        <v>5440</v>
      </c>
      <c r="AI208" s="10">
        <v>1.98</v>
      </c>
      <c r="AJ208" s="10"/>
      <c r="AK208" s="10"/>
      <c r="AQ208" s="10">
        <v>60</v>
      </c>
      <c r="AR208" s="10" t="s">
        <v>14</v>
      </c>
      <c r="AS208" s="10" t="s">
        <v>3</v>
      </c>
      <c r="AU208" s="10" t="s">
        <v>2</v>
      </c>
      <c r="AV208" s="10" t="s">
        <v>3</v>
      </c>
    </row>
    <row r="209" spans="1:49" x14ac:dyDescent="0.3">
      <c r="A209" s="10" t="s">
        <v>192</v>
      </c>
      <c r="B209" s="10" t="s">
        <v>193</v>
      </c>
      <c r="C209" t="s">
        <v>194</v>
      </c>
      <c r="D209" s="4" t="s">
        <v>195</v>
      </c>
      <c r="E209" s="10">
        <v>1988</v>
      </c>
      <c r="F209" t="s">
        <v>2661</v>
      </c>
      <c r="G209" s="16" t="s">
        <v>197</v>
      </c>
      <c r="H209" s="16" t="s">
        <v>217</v>
      </c>
      <c r="I209" s="10" t="s">
        <v>889</v>
      </c>
      <c r="J209" s="10" t="s">
        <v>196</v>
      </c>
      <c r="K209" s="10">
        <v>3</v>
      </c>
      <c r="L209" s="10">
        <v>3</v>
      </c>
      <c r="P209">
        <f t="shared" ref="P209:P210" si="32">80000*68/1000</f>
        <v>5440</v>
      </c>
      <c r="AI209" s="10">
        <v>1.54</v>
      </c>
      <c r="AJ209" s="10"/>
      <c r="AK209" s="10"/>
      <c r="AQ209" s="10">
        <v>60</v>
      </c>
      <c r="AR209" s="10" t="s">
        <v>14</v>
      </c>
      <c r="AS209" s="10" t="s">
        <v>3</v>
      </c>
      <c r="AU209" s="10" t="s">
        <v>2</v>
      </c>
      <c r="AV209" s="10" t="s">
        <v>3</v>
      </c>
    </row>
    <row r="210" spans="1:49" x14ac:dyDescent="0.3">
      <c r="A210" s="10" t="s">
        <v>192</v>
      </c>
      <c r="B210" s="10" t="s">
        <v>193</v>
      </c>
      <c r="C210" t="s">
        <v>194</v>
      </c>
      <c r="D210" s="4" t="s">
        <v>195</v>
      </c>
      <c r="E210" s="10">
        <v>1988</v>
      </c>
      <c r="F210" t="s">
        <v>2661</v>
      </c>
      <c r="G210" s="16" t="s">
        <v>197</v>
      </c>
      <c r="H210" s="16" t="s">
        <v>217</v>
      </c>
      <c r="I210" s="10" t="s">
        <v>888</v>
      </c>
      <c r="J210" s="10" t="s">
        <v>196</v>
      </c>
      <c r="K210" s="10">
        <v>3</v>
      </c>
      <c r="L210" s="10">
        <v>3</v>
      </c>
      <c r="P210">
        <f t="shared" si="32"/>
        <v>5440</v>
      </c>
      <c r="AI210" s="10">
        <v>1.89</v>
      </c>
      <c r="AJ210" s="10"/>
      <c r="AK210" s="10"/>
      <c r="AQ210" s="10">
        <v>60</v>
      </c>
      <c r="AR210" s="10" t="s">
        <v>14</v>
      </c>
      <c r="AS210" s="10" t="s">
        <v>3</v>
      </c>
      <c r="AU210" s="10" t="s">
        <v>2</v>
      </c>
      <c r="AV210" s="10" t="s">
        <v>3</v>
      </c>
    </row>
    <row r="211" spans="1:49" x14ac:dyDescent="0.3">
      <c r="A211" s="10" t="s">
        <v>192</v>
      </c>
      <c r="B211" s="10" t="s">
        <v>193</v>
      </c>
      <c r="C211" t="s">
        <v>194</v>
      </c>
      <c r="D211" s="4" t="s">
        <v>195</v>
      </c>
      <c r="E211" s="10">
        <v>1988</v>
      </c>
      <c r="F211" t="s">
        <v>2661</v>
      </c>
      <c r="G211" s="16" t="s">
        <v>197</v>
      </c>
      <c r="H211" s="16" t="s">
        <v>217</v>
      </c>
      <c r="I211" s="10" t="s">
        <v>890</v>
      </c>
      <c r="J211" s="10" t="s">
        <v>196</v>
      </c>
      <c r="K211" s="10">
        <v>3</v>
      </c>
      <c r="L211" s="10">
        <v>3</v>
      </c>
      <c r="P211">
        <f>80000*67.6/1000</f>
        <v>5408</v>
      </c>
      <c r="AI211" s="10">
        <v>1.4</v>
      </c>
      <c r="AJ211" s="10"/>
      <c r="AK211" s="10"/>
      <c r="AQ211" s="10">
        <v>60</v>
      </c>
      <c r="AR211" s="10" t="s">
        <v>14</v>
      </c>
      <c r="AS211" s="10" t="s">
        <v>3</v>
      </c>
      <c r="AU211" s="10" t="s">
        <v>2</v>
      </c>
      <c r="AV211" s="10" t="s">
        <v>3</v>
      </c>
    </row>
    <row r="212" spans="1:49" x14ac:dyDescent="0.3">
      <c r="A212" s="10" t="s">
        <v>192</v>
      </c>
      <c r="B212" s="10" t="s">
        <v>193</v>
      </c>
      <c r="C212" t="s">
        <v>194</v>
      </c>
      <c r="D212" s="4" t="s">
        <v>195</v>
      </c>
      <c r="E212" s="10">
        <v>1988</v>
      </c>
      <c r="F212" t="s">
        <v>2661</v>
      </c>
      <c r="G212" s="16" t="s">
        <v>197</v>
      </c>
      <c r="H212" s="16" t="s">
        <v>217</v>
      </c>
      <c r="I212" s="10" t="s">
        <v>891</v>
      </c>
      <c r="J212" s="10" t="s">
        <v>196</v>
      </c>
      <c r="K212" s="10">
        <v>3</v>
      </c>
      <c r="L212" s="10">
        <v>3</v>
      </c>
      <c r="P212">
        <f>80000*67.6/1000</f>
        <v>5408</v>
      </c>
      <c r="AI212" s="10">
        <v>1.88</v>
      </c>
      <c r="AJ212" s="10"/>
      <c r="AK212" s="10"/>
      <c r="AQ212" s="10">
        <v>60</v>
      </c>
      <c r="AR212" s="10" t="s">
        <v>14</v>
      </c>
      <c r="AS212" s="10" t="s">
        <v>3</v>
      </c>
      <c r="AU212" s="10" t="s">
        <v>2</v>
      </c>
      <c r="AV212" s="10" t="s">
        <v>3</v>
      </c>
    </row>
    <row r="213" spans="1:49" s="10" customFormat="1" x14ac:dyDescent="0.3">
      <c r="A213" s="10" t="s">
        <v>198</v>
      </c>
      <c r="B213" s="10" t="s">
        <v>143</v>
      </c>
      <c r="D213" s="16" t="s">
        <v>199</v>
      </c>
      <c r="F213" t="s">
        <v>2661</v>
      </c>
      <c r="I213" s="10" t="s">
        <v>203</v>
      </c>
      <c r="J213" s="10" t="s">
        <v>200</v>
      </c>
      <c r="K213" s="10">
        <v>5</v>
      </c>
      <c r="L213" s="10">
        <v>5</v>
      </c>
      <c r="M213" s="53"/>
      <c r="N213" s="10">
        <v>2.4820000000000002</v>
      </c>
      <c r="W213" s="10">
        <v>2.633</v>
      </c>
      <c r="AD213" s="14">
        <f t="shared" ref="AD213:AD244" si="33">W213/N213</f>
        <v>1.0608380338436745</v>
      </c>
      <c r="AE213" s="14"/>
      <c r="AF213" s="14"/>
      <c r="AG213" s="14"/>
      <c r="AH213" s="14"/>
      <c r="AI213" s="14">
        <f>AD213+AE213</f>
        <v>1.0608380338436745</v>
      </c>
      <c r="AJ213" s="14"/>
      <c r="AK213" s="14"/>
      <c r="AL213"/>
      <c r="AM213"/>
      <c r="AN213"/>
      <c r="AO213"/>
      <c r="AP213"/>
      <c r="AS213" s="10" t="s">
        <v>2</v>
      </c>
      <c r="AU213" s="10" t="s">
        <v>2</v>
      </c>
      <c r="AV213" s="10" t="s">
        <v>2023</v>
      </c>
      <c r="AW213" s="10" t="s">
        <v>2398</v>
      </c>
    </row>
    <row r="214" spans="1:49" s="10" customFormat="1" x14ac:dyDescent="0.3">
      <c r="A214" s="10" t="s">
        <v>198</v>
      </c>
      <c r="B214" s="10" t="s">
        <v>143</v>
      </c>
      <c r="D214" s="16" t="s">
        <v>199</v>
      </c>
      <c r="F214" t="s">
        <v>2661</v>
      </c>
      <c r="I214" s="10" t="s">
        <v>203</v>
      </c>
      <c r="J214" s="10" t="s">
        <v>201</v>
      </c>
      <c r="K214" s="10">
        <v>5</v>
      </c>
      <c r="L214" s="10">
        <v>5</v>
      </c>
      <c r="M214" s="53"/>
      <c r="N214" s="10">
        <v>2.4820000000000002</v>
      </c>
      <c r="W214" s="10">
        <v>2.8279999999999998</v>
      </c>
      <c r="AD214" s="14">
        <f t="shared" si="33"/>
        <v>1.1394037066881546</v>
      </c>
      <c r="AE214" s="14"/>
      <c r="AF214" s="14"/>
      <c r="AG214" s="14"/>
      <c r="AH214" s="14"/>
      <c r="AI214" s="14">
        <f t="shared" ref="AI214:AI224" si="34">AD214+AE214</f>
        <v>1.1394037066881546</v>
      </c>
      <c r="AJ214" s="14"/>
      <c r="AK214" s="14"/>
      <c r="AL214"/>
      <c r="AM214"/>
      <c r="AN214"/>
      <c r="AO214"/>
      <c r="AP214"/>
      <c r="AS214" s="10" t="s">
        <v>2</v>
      </c>
      <c r="AU214" s="10" t="s">
        <v>2</v>
      </c>
      <c r="AV214" s="10" t="s">
        <v>2023</v>
      </c>
      <c r="AW214" s="10" t="s">
        <v>2398</v>
      </c>
    </row>
    <row r="215" spans="1:49" s="10" customFormat="1" x14ac:dyDescent="0.3">
      <c r="A215" s="10" t="s">
        <v>198</v>
      </c>
      <c r="B215" s="10" t="s">
        <v>143</v>
      </c>
      <c r="D215" s="16" t="s">
        <v>199</v>
      </c>
      <c r="F215" t="s">
        <v>2661</v>
      </c>
      <c r="I215" s="10" t="s">
        <v>203</v>
      </c>
      <c r="J215" s="10" t="s">
        <v>202</v>
      </c>
      <c r="K215" s="10">
        <v>5</v>
      </c>
      <c r="L215" s="10">
        <v>5</v>
      </c>
      <c r="M215" s="53"/>
      <c r="N215" s="10">
        <v>2.4820000000000002</v>
      </c>
      <c r="W215" s="10">
        <v>2.4079999999999999</v>
      </c>
      <c r="AD215" s="14">
        <f t="shared" si="33"/>
        <v>0.97018533440773558</v>
      </c>
      <c r="AE215" s="14"/>
      <c r="AF215" s="14"/>
      <c r="AG215" s="14"/>
      <c r="AH215" s="14"/>
      <c r="AI215" s="14">
        <f t="shared" si="34"/>
        <v>0.97018533440773558</v>
      </c>
      <c r="AJ215" s="14"/>
      <c r="AK215" s="14"/>
      <c r="AL215"/>
      <c r="AM215"/>
      <c r="AN215"/>
      <c r="AO215"/>
      <c r="AP215"/>
      <c r="AS215" s="10" t="s">
        <v>2</v>
      </c>
      <c r="AU215" s="10" t="s">
        <v>2</v>
      </c>
      <c r="AV215" s="10" t="s">
        <v>2023</v>
      </c>
      <c r="AW215" s="10" t="s">
        <v>2398</v>
      </c>
    </row>
    <row r="216" spans="1:49" s="10" customFormat="1" x14ac:dyDescent="0.3">
      <c r="A216" s="10" t="s">
        <v>198</v>
      </c>
      <c r="B216" s="10" t="s">
        <v>143</v>
      </c>
      <c r="D216" s="16" t="s">
        <v>199</v>
      </c>
      <c r="F216" t="s">
        <v>2661</v>
      </c>
      <c r="I216" s="10" t="s">
        <v>204</v>
      </c>
      <c r="J216" s="10" t="s">
        <v>200</v>
      </c>
      <c r="K216" s="10">
        <v>5</v>
      </c>
      <c r="L216" s="10">
        <v>5</v>
      </c>
      <c r="M216" s="53"/>
      <c r="N216" s="10">
        <v>3.27</v>
      </c>
      <c r="W216" s="10">
        <v>3.0910000000000002</v>
      </c>
      <c r="AD216" s="14">
        <f t="shared" si="33"/>
        <v>0.94525993883792059</v>
      </c>
      <c r="AE216" s="14"/>
      <c r="AF216" s="14"/>
      <c r="AG216" s="14"/>
      <c r="AH216" s="14"/>
      <c r="AI216" s="14">
        <f t="shared" si="34"/>
        <v>0.94525993883792059</v>
      </c>
      <c r="AJ216" s="14"/>
      <c r="AK216" s="14"/>
      <c r="AL216"/>
      <c r="AM216"/>
      <c r="AN216"/>
      <c r="AO216"/>
      <c r="AP216"/>
      <c r="AS216" s="10" t="s">
        <v>3</v>
      </c>
      <c r="AU216" s="10" t="s">
        <v>2</v>
      </c>
      <c r="AV216" s="10" t="s">
        <v>2023</v>
      </c>
      <c r="AW216" s="10" t="s">
        <v>2398</v>
      </c>
    </row>
    <row r="217" spans="1:49" s="10" customFormat="1" x14ac:dyDescent="0.3">
      <c r="A217" s="10" t="s">
        <v>198</v>
      </c>
      <c r="B217" s="10" t="s">
        <v>143</v>
      </c>
      <c r="D217" s="16" t="s">
        <v>199</v>
      </c>
      <c r="F217" t="s">
        <v>2661</v>
      </c>
      <c r="I217" s="10" t="s">
        <v>204</v>
      </c>
      <c r="J217" s="10" t="s">
        <v>201</v>
      </c>
      <c r="K217" s="10">
        <v>5</v>
      </c>
      <c r="L217" s="10">
        <v>5</v>
      </c>
      <c r="M217" s="53"/>
      <c r="N217" s="10">
        <v>3.27</v>
      </c>
      <c r="W217" s="10">
        <v>3.286</v>
      </c>
      <c r="AD217" s="14">
        <f t="shared" si="33"/>
        <v>1.0048929663608563</v>
      </c>
      <c r="AE217" s="14"/>
      <c r="AF217" s="14"/>
      <c r="AG217" s="14"/>
      <c r="AH217" s="14"/>
      <c r="AI217" s="14">
        <f t="shared" si="34"/>
        <v>1.0048929663608563</v>
      </c>
      <c r="AJ217" s="14"/>
      <c r="AK217" s="14"/>
      <c r="AL217"/>
      <c r="AM217"/>
      <c r="AN217"/>
      <c r="AO217"/>
      <c r="AP217"/>
      <c r="AS217" s="10" t="s">
        <v>3</v>
      </c>
      <c r="AU217" s="10" t="s">
        <v>2</v>
      </c>
      <c r="AV217" s="10" t="s">
        <v>2023</v>
      </c>
      <c r="AW217" s="10" t="s">
        <v>2398</v>
      </c>
    </row>
    <row r="218" spans="1:49" s="10" customFormat="1" x14ac:dyDescent="0.3">
      <c r="A218" s="10" t="s">
        <v>198</v>
      </c>
      <c r="B218" s="10" t="s">
        <v>143</v>
      </c>
      <c r="D218" s="16" t="s">
        <v>199</v>
      </c>
      <c r="F218" t="s">
        <v>2661</v>
      </c>
      <c r="I218" s="10" t="s">
        <v>204</v>
      </c>
      <c r="J218" s="10" t="s">
        <v>202</v>
      </c>
      <c r="K218" s="10">
        <v>5</v>
      </c>
      <c r="L218" s="10">
        <v>5</v>
      </c>
      <c r="M218" s="53"/>
      <c r="N218" s="10">
        <v>3.27</v>
      </c>
      <c r="W218" s="10">
        <v>2.9329999999999998</v>
      </c>
      <c r="AD218" s="14">
        <f t="shared" si="33"/>
        <v>0.89694189602446472</v>
      </c>
      <c r="AE218" s="14"/>
      <c r="AF218" s="14"/>
      <c r="AG218" s="14"/>
      <c r="AH218" s="14"/>
      <c r="AI218" s="14">
        <f t="shared" si="34"/>
        <v>0.89694189602446472</v>
      </c>
      <c r="AJ218" s="14"/>
      <c r="AK218" s="14"/>
      <c r="AL218"/>
      <c r="AM218"/>
      <c r="AN218"/>
      <c r="AO218"/>
      <c r="AP218"/>
      <c r="AS218" s="10" t="s">
        <v>3</v>
      </c>
      <c r="AU218" s="10" t="s">
        <v>2</v>
      </c>
      <c r="AV218" s="10" t="s">
        <v>2023</v>
      </c>
      <c r="AW218" s="10" t="s">
        <v>2398</v>
      </c>
    </row>
    <row r="219" spans="1:49" s="10" customFormat="1" x14ac:dyDescent="0.3">
      <c r="A219" s="10" t="s">
        <v>198</v>
      </c>
      <c r="B219" s="10" t="s">
        <v>143</v>
      </c>
      <c r="D219" s="16" t="s">
        <v>199</v>
      </c>
      <c r="F219" t="s">
        <v>2661</v>
      </c>
      <c r="I219" s="10" t="s">
        <v>205</v>
      </c>
      <c r="J219" s="10" t="s">
        <v>200</v>
      </c>
      <c r="K219" s="10">
        <v>5</v>
      </c>
      <c r="L219" s="10">
        <v>5</v>
      </c>
      <c r="M219" s="53"/>
      <c r="N219" s="10">
        <v>2.141</v>
      </c>
      <c r="W219" s="10">
        <v>2.2690000000000001</v>
      </c>
      <c r="AD219" s="14">
        <f t="shared" si="33"/>
        <v>1.0597851471275106</v>
      </c>
      <c r="AE219" s="14"/>
      <c r="AF219" s="14"/>
      <c r="AG219" s="14"/>
      <c r="AH219" s="14"/>
      <c r="AI219" s="14">
        <f t="shared" si="34"/>
        <v>1.0597851471275106</v>
      </c>
      <c r="AJ219" s="14"/>
      <c r="AK219" s="14"/>
      <c r="AL219"/>
      <c r="AM219"/>
      <c r="AN219"/>
      <c r="AO219"/>
      <c r="AP219"/>
      <c r="AS219" s="10" t="s">
        <v>2</v>
      </c>
      <c r="AU219" s="10" t="s">
        <v>2</v>
      </c>
      <c r="AV219" s="10" t="s">
        <v>2023</v>
      </c>
      <c r="AW219" s="10" t="s">
        <v>2398</v>
      </c>
    </row>
    <row r="220" spans="1:49" s="10" customFormat="1" x14ac:dyDescent="0.3">
      <c r="A220" s="10" t="s">
        <v>198</v>
      </c>
      <c r="B220" s="10" t="s">
        <v>143</v>
      </c>
      <c r="D220" s="16" t="s">
        <v>199</v>
      </c>
      <c r="F220" t="s">
        <v>2661</v>
      </c>
      <c r="I220" s="10" t="s">
        <v>205</v>
      </c>
      <c r="J220" s="10" t="s">
        <v>201</v>
      </c>
      <c r="K220" s="10">
        <v>5</v>
      </c>
      <c r="L220" s="10">
        <v>5</v>
      </c>
      <c r="M220" s="53"/>
      <c r="N220" s="10">
        <v>2.141</v>
      </c>
      <c r="W220" s="10">
        <v>2.5579999999999998</v>
      </c>
      <c r="AD220" s="14">
        <f t="shared" si="33"/>
        <v>1.1947687996263427</v>
      </c>
      <c r="AE220" s="14"/>
      <c r="AF220" s="14"/>
      <c r="AG220" s="14"/>
      <c r="AH220" s="14"/>
      <c r="AI220" s="14">
        <f t="shared" si="34"/>
        <v>1.1947687996263427</v>
      </c>
      <c r="AJ220" s="14"/>
      <c r="AK220" s="14"/>
      <c r="AL220"/>
      <c r="AM220"/>
      <c r="AN220"/>
      <c r="AO220"/>
      <c r="AP220"/>
      <c r="AS220" s="10" t="s">
        <v>2</v>
      </c>
      <c r="AU220" s="10" t="s">
        <v>2</v>
      </c>
      <c r="AV220" s="10" t="s">
        <v>2023</v>
      </c>
      <c r="AW220" s="10" t="s">
        <v>2398</v>
      </c>
    </row>
    <row r="221" spans="1:49" s="10" customFormat="1" x14ac:dyDescent="0.3">
      <c r="A221" s="10" t="s">
        <v>198</v>
      </c>
      <c r="B221" s="10" t="s">
        <v>143</v>
      </c>
      <c r="D221" s="16" t="s">
        <v>199</v>
      </c>
      <c r="F221" t="s">
        <v>2661</v>
      </c>
      <c r="I221" s="10" t="s">
        <v>205</v>
      </c>
      <c r="J221" s="10" t="s">
        <v>202</v>
      </c>
      <c r="K221" s="10">
        <v>5</v>
      </c>
      <c r="L221" s="10">
        <v>5</v>
      </c>
      <c r="M221" s="53"/>
      <c r="N221" s="10">
        <v>2.141</v>
      </c>
      <c r="W221" s="10">
        <v>2.0339999999999998</v>
      </c>
      <c r="AD221" s="14">
        <f t="shared" si="33"/>
        <v>0.95002335357309664</v>
      </c>
      <c r="AE221" s="14"/>
      <c r="AF221" s="14"/>
      <c r="AG221" s="14"/>
      <c r="AH221" s="14"/>
      <c r="AI221" s="14">
        <f t="shared" si="34"/>
        <v>0.95002335357309664</v>
      </c>
      <c r="AJ221" s="14"/>
      <c r="AK221" s="14"/>
      <c r="AL221"/>
      <c r="AM221"/>
      <c r="AN221"/>
      <c r="AO221"/>
      <c r="AP221"/>
      <c r="AS221" s="10" t="s">
        <v>2</v>
      </c>
      <c r="AU221" s="10" t="s">
        <v>2</v>
      </c>
      <c r="AV221" s="10" t="s">
        <v>2023</v>
      </c>
      <c r="AW221" s="10" t="s">
        <v>2398</v>
      </c>
    </row>
    <row r="222" spans="1:49" s="10" customFormat="1" x14ac:dyDescent="0.3">
      <c r="A222" s="10" t="s">
        <v>198</v>
      </c>
      <c r="B222" s="10" t="s">
        <v>143</v>
      </c>
      <c r="D222" s="16" t="s">
        <v>199</v>
      </c>
      <c r="F222" t="s">
        <v>2661</v>
      </c>
      <c r="I222" s="10" t="s">
        <v>206</v>
      </c>
      <c r="J222" s="10" t="s">
        <v>200</v>
      </c>
      <c r="K222" s="10">
        <v>5</v>
      </c>
      <c r="L222" s="10">
        <v>5</v>
      </c>
      <c r="M222" s="53"/>
      <c r="N222" s="10">
        <v>2.78</v>
      </c>
      <c r="W222" s="10">
        <v>2.4169999999999998</v>
      </c>
      <c r="AD222" s="14">
        <f t="shared" si="33"/>
        <v>0.86942446043165467</v>
      </c>
      <c r="AE222" s="14"/>
      <c r="AF222" s="14"/>
      <c r="AG222" s="14"/>
      <c r="AH222" s="14"/>
      <c r="AI222" s="14">
        <f t="shared" si="34"/>
        <v>0.86942446043165467</v>
      </c>
      <c r="AJ222" s="14"/>
      <c r="AK222" s="14"/>
      <c r="AL222"/>
      <c r="AM222"/>
      <c r="AN222"/>
      <c r="AO222"/>
      <c r="AP222"/>
      <c r="AS222" s="10" t="s">
        <v>3</v>
      </c>
      <c r="AU222" s="10" t="s">
        <v>2</v>
      </c>
      <c r="AV222" s="10" t="s">
        <v>2023</v>
      </c>
      <c r="AW222" s="10" t="s">
        <v>2398</v>
      </c>
    </row>
    <row r="223" spans="1:49" s="10" customFormat="1" x14ac:dyDescent="0.3">
      <c r="A223" s="10" t="s">
        <v>198</v>
      </c>
      <c r="B223" s="10" t="s">
        <v>143</v>
      </c>
      <c r="D223" s="16" t="s">
        <v>199</v>
      </c>
      <c r="F223" t="s">
        <v>2661</v>
      </c>
      <c r="I223" s="10" t="s">
        <v>206</v>
      </c>
      <c r="J223" s="10" t="s">
        <v>201</v>
      </c>
      <c r="K223" s="10">
        <v>5</v>
      </c>
      <c r="L223" s="10">
        <v>5</v>
      </c>
      <c r="M223" s="53"/>
      <c r="N223" s="10">
        <v>2.78</v>
      </c>
      <c r="W223" s="10">
        <v>2.8</v>
      </c>
      <c r="AD223" s="14">
        <f t="shared" si="33"/>
        <v>1.0071942446043165</v>
      </c>
      <c r="AE223" s="14"/>
      <c r="AF223" s="14"/>
      <c r="AG223" s="14"/>
      <c r="AH223" s="14"/>
      <c r="AI223" s="14">
        <f t="shared" si="34"/>
        <v>1.0071942446043165</v>
      </c>
      <c r="AJ223" s="14"/>
      <c r="AK223" s="14"/>
      <c r="AL223"/>
      <c r="AM223"/>
      <c r="AN223"/>
      <c r="AO223"/>
      <c r="AP223"/>
      <c r="AS223" s="10" t="s">
        <v>3</v>
      </c>
      <c r="AU223" s="10" t="s">
        <v>2</v>
      </c>
      <c r="AV223" s="10" t="s">
        <v>2023</v>
      </c>
      <c r="AW223" s="10" t="s">
        <v>2398</v>
      </c>
    </row>
    <row r="224" spans="1:49" s="10" customFormat="1" x14ac:dyDescent="0.3">
      <c r="A224" s="10" t="s">
        <v>198</v>
      </c>
      <c r="B224" s="10" t="s">
        <v>143</v>
      </c>
      <c r="D224" s="16" t="s">
        <v>199</v>
      </c>
      <c r="F224" t="s">
        <v>2661</v>
      </c>
      <c r="I224" s="10" t="s">
        <v>206</v>
      </c>
      <c r="J224" s="10" t="s">
        <v>202</v>
      </c>
      <c r="K224" s="10">
        <v>5</v>
      </c>
      <c r="L224" s="10">
        <v>5</v>
      </c>
      <c r="M224" s="53"/>
      <c r="N224" s="10">
        <v>2.78</v>
      </c>
      <c r="W224" s="10">
        <v>2.282</v>
      </c>
      <c r="AD224" s="14">
        <f t="shared" si="33"/>
        <v>0.82086330935251806</v>
      </c>
      <c r="AE224" s="14"/>
      <c r="AF224" s="14"/>
      <c r="AG224" s="14"/>
      <c r="AH224" s="14"/>
      <c r="AI224" s="14">
        <f t="shared" si="34"/>
        <v>0.82086330935251806</v>
      </c>
      <c r="AJ224" s="14"/>
      <c r="AK224" s="14"/>
      <c r="AL224"/>
      <c r="AM224"/>
      <c r="AN224"/>
      <c r="AO224"/>
      <c r="AP224"/>
      <c r="AS224" s="10" t="s">
        <v>3</v>
      </c>
      <c r="AU224" s="10" t="s">
        <v>2</v>
      </c>
      <c r="AV224" s="10" t="s">
        <v>2023</v>
      </c>
      <c r="AW224" s="10" t="s">
        <v>2398</v>
      </c>
    </row>
    <row r="225" spans="1:50" x14ac:dyDescent="0.3">
      <c r="A225" t="s">
        <v>212</v>
      </c>
      <c r="B225" t="s">
        <v>29</v>
      </c>
      <c r="C225" t="s">
        <v>208</v>
      </c>
      <c r="D225" s="4" t="s">
        <v>207</v>
      </c>
      <c r="E225" s="10">
        <v>2001</v>
      </c>
      <c r="F225" t="s">
        <v>2661</v>
      </c>
      <c r="G225" t="s">
        <v>34</v>
      </c>
      <c r="H225" t="s">
        <v>17</v>
      </c>
      <c r="I225" t="s">
        <v>892</v>
      </c>
      <c r="J225" s="10" t="s">
        <v>211</v>
      </c>
      <c r="K225" s="10">
        <v>3</v>
      </c>
      <c r="L225" s="10">
        <v>3</v>
      </c>
      <c r="N225" s="10">
        <v>6.298</v>
      </c>
      <c r="O225" s="10">
        <v>0.38300000000000001</v>
      </c>
      <c r="P225" s="10">
        <v>3.7490000000000001</v>
      </c>
      <c r="Q225" s="10">
        <v>0.16300000000000001</v>
      </c>
      <c r="R225" s="10"/>
      <c r="S225" s="10"/>
      <c r="T225" s="10"/>
      <c r="U225" s="10"/>
      <c r="V225" s="10"/>
      <c r="W225" s="10">
        <v>1.2609999999999999</v>
      </c>
      <c r="X225" s="10">
        <v>7.2999999999999995E-2</v>
      </c>
      <c r="Y225" s="10">
        <v>2.948</v>
      </c>
      <c r="Z225" s="10">
        <v>8.3000000000000004E-2</v>
      </c>
      <c r="AA225" s="10"/>
      <c r="AD225" s="14">
        <f t="shared" si="33"/>
        <v>0.20022229279136233</v>
      </c>
      <c r="AE225" s="14">
        <f>Y225/P225</f>
        <v>0.78634302480661511</v>
      </c>
      <c r="AI225">
        <v>0.99</v>
      </c>
      <c r="AL225">
        <f>(((X225*SQRT(L225))^2)/(N225^2))+((O225*SQRT(K225))^2)*(W225^2)/(N225^4)</f>
        <v>8.4782547354160021E-4</v>
      </c>
      <c r="AM225">
        <f>(((Z225*SQRT($L225))^2)/(P225^2))+((Q225*SQRT(L225))^2)*(Y225^2)/(P225^4)</f>
        <v>4.9770651709403202E-3</v>
      </c>
      <c r="AO225">
        <f t="shared" si="30"/>
        <v>5.8248906444819202E-3</v>
      </c>
      <c r="AP225">
        <f>SQRT(AO225)/AI225</f>
        <v>7.7091890098169163E-2</v>
      </c>
      <c r="AQ225" s="10">
        <v>0</v>
      </c>
      <c r="AR225" s="10"/>
      <c r="AS225" s="10" t="s">
        <v>2</v>
      </c>
      <c r="AT225" s="10" t="s">
        <v>2</v>
      </c>
      <c r="AU225" s="10" t="s">
        <v>2</v>
      </c>
      <c r="AV225" s="10" t="s">
        <v>3</v>
      </c>
    </row>
    <row r="226" spans="1:50" x14ac:dyDescent="0.3">
      <c r="A226" t="s">
        <v>212</v>
      </c>
      <c r="B226" t="s">
        <v>29</v>
      </c>
      <c r="C226" t="s">
        <v>208</v>
      </c>
      <c r="D226" s="4" t="s">
        <v>207</v>
      </c>
      <c r="E226" s="10">
        <v>2002</v>
      </c>
      <c r="F226" t="s">
        <v>2661</v>
      </c>
      <c r="G226" t="s">
        <v>34</v>
      </c>
      <c r="H226" t="s">
        <v>17</v>
      </c>
      <c r="I226" t="s">
        <v>892</v>
      </c>
      <c r="J226" s="10" t="s">
        <v>211</v>
      </c>
      <c r="K226" s="10">
        <v>3</v>
      </c>
      <c r="L226" s="10">
        <v>3</v>
      </c>
      <c r="N226" s="10">
        <v>4.9779999999999998</v>
      </c>
      <c r="O226" s="10">
        <v>0.71499999999999997</v>
      </c>
      <c r="P226" s="10">
        <v>2.1070000000000002</v>
      </c>
      <c r="Q226" s="10">
        <v>0.22900000000000001</v>
      </c>
      <c r="R226" s="10"/>
      <c r="S226" s="10"/>
      <c r="T226" s="10"/>
      <c r="U226" s="10"/>
      <c r="V226" s="10"/>
      <c r="W226" s="10">
        <v>2.379</v>
      </c>
      <c r="X226" s="10">
        <v>0.10299999999999999</v>
      </c>
      <c r="Y226" s="10">
        <v>1.286</v>
      </c>
      <c r="Z226" s="10">
        <v>9.7000000000000003E-2</v>
      </c>
      <c r="AA226" s="10"/>
      <c r="AD226" s="14">
        <f t="shared" si="33"/>
        <v>0.47790277219766975</v>
      </c>
      <c r="AE226" s="14">
        <f>Y226/P226</f>
        <v>0.61034646416706217</v>
      </c>
      <c r="AI226">
        <v>1.0900000000000001</v>
      </c>
      <c r="AL226">
        <f>(((X226*SQRT(L226))^2)/(N226^2))+((O226*SQRT(K226))^2)*(W226^2)/(N226^4)</f>
        <v>1.5419580119817516E-2</v>
      </c>
      <c r="AM226">
        <f t="shared" ref="AM226:AM228" si="35">(((Z226*SQRT($L226))^2)/(P226^2))+((Q226*SQRT(L226))^2)*(Y226^2)/(P226^4)</f>
        <v>1.9559500617954077E-2</v>
      </c>
      <c r="AO226">
        <f t="shared" si="30"/>
        <v>3.497908073777159E-2</v>
      </c>
      <c r="AP226">
        <f>SQRT(AO226)/AI226</f>
        <v>0.17158435954316481</v>
      </c>
      <c r="AQ226" s="10">
        <v>0</v>
      </c>
      <c r="AR226" s="10"/>
      <c r="AS226" s="10" t="s">
        <v>2</v>
      </c>
      <c r="AT226" s="10" t="s">
        <v>2</v>
      </c>
      <c r="AU226" s="10" t="s">
        <v>2</v>
      </c>
      <c r="AV226" s="10" t="s">
        <v>3</v>
      </c>
    </row>
    <row r="227" spans="1:50" x14ac:dyDescent="0.3">
      <c r="A227" t="s">
        <v>212</v>
      </c>
      <c r="B227" t="s">
        <v>29</v>
      </c>
      <c r="C227" t="s">
        <v>208</v>
      </c>
      <c r="D227" s="4" t="s">
        <v>207</v>
      </c>
      <c r="E227" s="10">
        <v>2001</v>
      </c>
      <c r="F227" t="s">
        <v>2661</v>
      </c>
      <c r="G227" t="s">
        <v>34</v>
      </c>
      <c r="H227" t="s">
        <v>17</v>
      </c>
      <c r="I227" t="s">
        <v>209</v>
      </c>
      <c r="J227" s="10" t="s">
        <v>211</v>
      </c>
      <c r="K227" s="10">
        <v>3</v>
      </c>
      <c r="L227" s="10">
        <v>3</v>
      </c>
      <c r="N227" s="10">
        <v>6.298</v>
      </c>
      <c r="O227" s="10">
        <v>0.38300000000000001</v>
      </c>
      <c r="P227" s="10">
        <v>3.7490000000000001</v>
      </c>
      <c r="Q227" s="10">
        <v>0.16300000000000001</v>
      </c>
      <c r="R227" s="10"/>
      <c r="S227" s="10"/>
      <c r="T227" s="10"/>
      <c r="U227" s="10"/>
      <c r="V227" s="10"/>
      <c r="W227" s="10">
        <v>1.847</v>
      </c>
      <c r="X227" s="10">
        <v>0.19700000000000001</v>
      </c>
      <c r="Y227" s="10">
        <v>1.4970000000000001</v>
      </c>
      <c r="Z227" s="10">
        <v>0.127</v>
      </c>
      <c r="AA227" s="10"/>
      <c r="AD227" s="14">
        <f t="shared" si="33"/>
        <v>0.29326770403302638</v>
      </c>
      <c r="AE227" s="14">
        <f>Y227/P227</f>
        <v>0.39930648172846095</v>
      </c>
      <c r="AI227">
        <v>0.69</v>
      </c>
      <c r="AL227">
        <f>(((X227*SQRT(L227))^2)/(N227^2))+((O227*SQRT(K227))^2)*(W227^2)/(N227^4)</f>
        <v>3.8894779043675723E-3</v>
      </c>
      <c r="AM227">
        <f t="shared" si="35"/>
        <v>4.3469179210864715E-3</v>
      </c>
      <c r="AO227">
        <f t="shared" si="30"/>
        <v>8.2363958254540442E-3</v>
      </c>
      <c r="AP227">
        <f>SQRT(AO227)/AI227</f>
        <v>0.13152839305605341</v>
      </c>
      <c r="AQ227" s="10">
        <v>0</v>
      </c>
      <c r="AR227" s="10"/>
      <c r="AS227" s="10" t="s">
        <v>2</v>
      </c>
      <c r="AT227" s="10" t="s">
        <v>2</v>
      </c>
      <c r="AU227" s="10" t="s">
        <v>2</v>
      </c>
      <c r="AV227" s="10" t="s">
        <v>3</v>
      </c>
    </row>
    <row r="228" spans="1:50" x14ac:dyDescent="0.3">
      <c r="A228" t="s">
        <v>212</v>
      </c>
      <c r="B228" t="s">
        <v>29</v>
      </c>
      <c r="C228" t="s">
        <v>208</v>
      </c>
      <c r="D228" s="4" t="s">
        <v>207</v>
      </c>
      <c r="E228" s="10">
        <v>2002</v>
      </c>
      <c r="F228" t="s">
        <v>2661</v>
      </c>
      <c r="G228" t="s">
        <v>34</v>
      </c>
      <c r="H228" t="s">
        <v>17</v>
      </c>
      <c r="I228" t="s">
        <v>209</v>
      </c>
      <c r="J228" s="10" t="s">
        <v>211</v>
      </c>
      <c r="K228" s="10">
        <v>3</v>
      </c>
      <c r="L228" s="10">
        <v>3</v>
      </c>
      <c r="N228" s="10">
        <v>4.9779999999999998</v>
      </c>
      <c r="O228" s="10">
        <v>0.71499999999999997</v>
      </c>
      <c r="P228" s="10">
        <v>2.1070000000000002</v>
      </c>
      <c r="Q228" s="10">
        <v>0.22900000000000001</v>
      </c>
      <c r="R228" s="10"/>
      <c r="S228" s="10"/>
      <c r="T228" s="10"/>
      <c r="U228" s="10"/>
      <c r="V228" s="10"/>
      <c r="W228" s="10">
        <v>2.121</v>
      </c>
      <c r="X228" s="10">
        <v>0.316</v>
      </c>
      <c r="Y228" s="10">
        <v>0.46</v>
      </c>
      <c r="Z228" s="10">
        <v>9.1999999999999998E-2</v>
      </c>
      <c r="AA228" s="10"/>
      <c r="AD228" s="14">
        <f t="shared" si="33"/>
        <v>0.42607472880674974</v>
      </c>
      <c r="AE228" s="14">
        <f>Y228/P228</f>
        <v>0.21831988609397246</v>
      </c>
      <c r="AI228">
        <v>0.65</v>
      </c>
      <c r="AL228">
        <f>(((X228*SQRT(L228))^2)/(N228^2))+((O228*SQRT(K228))^2)*(W228^2)/(N228^4)</f>
        <v>2.3324437905705948E-2</v>
      </c>
      <c r="AM228">
        <f t="shared" si="35"/>
        <v>7.4087068557904048E-3</v>
      </c>
      <c r="AO228">
        <f t="shared" si="30"/>
        <v>3.0733144761496353E-2</v>
      </c>
      <c r="AP228">
        <f>SQRT(AO228)/AI228</f>
        <v>0.26970571190304343</v>
      </c>
      <c r="AQ228" s="10">
        <v>0</v>
      </c>
      <c r="AR228" s="10"/>
      <c r="AS228" s="10" t="s">
        <v>2</v>
      </c>
      <c r="AT228" s="10" t="s">
        <v>2</v>
      </c>
      <c r="AU228" s="10" t="s">
        <v>2</v>
      </c>
      <c r="AV228" s="10" t="s">
        <v>3</v>
      </c>
    </row>
    <row r="229" spans="1:50" s="10" customFormat="1" x14ac:dyDescent="0.3">
      <c r="A229" s="10" t="s">
        <v>214</v>
      </c>
      <c r="B229" s="10" t="s">
        <v>131</v>
      </c>
      <c r="C229" s="16" t="s">
        <v>213</v>
      </c>
      <c r="D229" s="16" t="s">
        <v>215</v>
      </c>
      <c r="E229" s="10">
        <v>2003</v>
      </c>
      <c r="F229" t="s">
        <v>2661</v>
      </c>
      <c r="G229" s="10" t="s">
        <v>34</v>
      </c>
      <c r="H229" s="10" t="s">
        <v>217</v>
      </c>
      <c r="I229" s="10" t="s">
        <v>833</v>
      </c>
      <c r="J229" s="10" t="s">
        <v>218</v>
      </c>
      <c r="K229" s="10">
        <v>3</v>
      </c>
      <c r="L229" s="10">
        <v>3</v>
      </c>
      <c r="M229" s="53"/>
      <c r="N229" s="10">
        <v>0.37</v>
      </c>
      <c r="P229" s="10">
        <v>1</v>
      </c>
      <c r="W229" s="10">
        <v>0.24</v>
      </c>
      <c r="Y229" s="26"/>
      <c r="Z229" s="26"/>
      <c r="AA229" s="26"/>
      <c r="AB229" s="26"/>
      <c r="AC229" s="26"/>
      <c r="AD229" s="14">
        <f t="shared" si="33"/>
        <v>0.64864864864864868</v>
      </c>
      <c r="AE229" s="14"/>
      <c r="AF229" s="14"/>
      <c r="AG229" s="14"/>
      <c r="AH229" s="14"/>
      <c r="AI229" s="10">
        <v>0.65</v>
      </c>
      <c r="AL229"/>
      <c r="AM229"/>
      <c r="AN229"/>
      <c r="AO229"/>
      <c r="AP229"/>
      <c r="AT229" s="10" t="s">
        <v>2</v>
      </c>
      <c r="AU229" s="10" t="s">
        <v>2</v>
      </c>
      <c r="AV229" s="10" t="s">
        <v>2023</v>
      </c>
      <c r="AW229" s="10" t="s">
        <v>901</v>
      </c>
    </row>
    <row r="230" spans="1:50" s="10" customFormat="1" x14ac:dyDescent="0.3">
      <c r="A230" s="10" t="s">
        <v>214</v>
      </c>
      <c r="B230" s="10" t="s">
        <v>131</v>
      </c>
      <c r="C230" s="16" t="s">
        <v>213</v>
      </c>
      <c r="D230" s="16" t="s">
        <v>215</v>
      </c>
      <c r="E230" s="10">
        <v>2004</v>
      </c>
      <c r="F230" t="s">
        <v>2661</v>
      </c>
      <c r="G230" s="10" t="s">
        <v>34</v>
      </c>
      <c r="H230" s="10" t="s">
        <v>217</v>
      </c>
      <c r="I230" s="10" t="s">
        <v>834</v>
      </c>
      <c r="J230" s="10" t="s">
        <v>218</v>
      </c>
      <c r="K230" s="10">
        <v>3</v>
      </c>
      <c r="L230" s="10">
        <v>3</v>
      </c>
      <c r="M230" s="53"/>
      <c r="N230" s="10">
        <v>1.65</v>
      </c>
      <c r="P230" s="10">
        <v>2.2599999999999998</v>
      </c>
      <c r="W230" s="10">
        <v>2.65</v>
      </c>
      <c r="Y230" s="26"/>
      <c r="Z230" s="26"/>
      <c r="AA230" s="26"/>
      <c r="AB230" s="26"/>
      <c r="AC230" s="26"/>
      <c r="AD230" s="14">
        <f t="shared" si="33"/>
        <v>1.6060606060606062</v>
      </c>
      <c r="AE230" s="14"/>
      <c r="AF230" s="14"/>
      <c r="AG230" s="14"/>
      <c r="AH230" s="14"/>
      <c r="AI230" s="10">
        <v>1.61</v>
      </c>
      <c r="AL230"/>
      <c r="AM230"/>
      <c r="AN230"/>
      <c r="AO230"/>
      <c r="AP230"/>
      <c r="AT230" s="10" t="s">
        <v>2</v>
      </c>
      <c r="AU230" s="10" t="s">
        <v>2</v>
      </c>
      <c r="AV230" s="10" t="s">
        <v>2023</v>
      </c>
      <c r="AW230" s="10" t="s">
        <v>901</v>
      </c>
    </row>
    <row r="231" spans="1:50" s="10" customFormat="1" x14ac:dyDescent="0.3">
      <c r="A231" s="10" t="s">
        <v>214</v>
      </c>
      <c r="B231" s="10" t="s">
        <v>131</v>
      </c>
      <c r="C231" s="16" t="s">
        <v>213</v>
      </c>
      <c r="D231" s="16" t="s">
        <v>215</v>
      </c>
      <c r="E231" s="10">
        <v>2004</v>
      </c>
      <c r="F231" t="s">
        <v>2661</v>
      </c>
      <c r="G231" s="10" t="s">
        <v>34</v>
      </c>
      <c r="H231" s="10" t="s">
        <v>217</v>
      </c>
      <c r="I231" s="10" t="s">
        <v>833</v>
      </c>
      <c r="J231" s="10" t="s">
        <v>218</v>
      </c>
      <c r="K231" s="10">
        <v>3</v>
      </c>
      <c r="L231" s="10">
        <v>3</v>
      </c>
      <c r="M231" s="53"/>
      <c r="N231" s="10">
        <v>1.83</v>
      </c>
      <c r="P231" s="10">
        <v>1.48</v>
      </c>
      <c r="W231" s="10">
        <v>1.67</v>
      </c>
      <c r="Y231" s="26"/>
      <c r="Z231" s="26"/>
      <c r="AA231" s="26"/>
      <c r="AB231" s="26"/>
      <c r="AC231" s="26"/>
      <c r="AD231" s="14">
        <f t="shared" si="33"/>
        <v>0.91256830601092886</v>
      </c>
      <c r="AE231" s="14"/>
      <c r="AF231" s="14"/>
      <c r="AG231" s="14"/>
      <c r="AH231" s="14"/>
      <c r="AI231" s="10">
        <v>0.91</v>
      </c>
      <c r="AL231"/>
      <c r="AM231"/>
      <c r="AN231"/>
      <c r="AO231"/>
      <c r="AP231"/>
      <c r="AT231" s="10" t="s">
        <v>2</v>
      </c>
      <c r="AU231" s="10" t="s">
        <v>2</v>
      </c>
      <c r="AV231" s="10" t="s">
        <v>2023</v>
      </c>
      <c r="AW231" s="10" t="s">
        <v>901</v>
      </c>
    </row>
    <row r="232" spans="1:50" s="10" customFormat="1" x14ac:dyDescent="0.3">
      <c r="A232" s="10" t="s">
        <v>214</v>
      </c>
      <c r="B232" s="10" t="s">
        <v>131</v>
      </c>
      <c r="C232" s="16" t="s">
        <v>213</v>
      </c>
      <c r="D232" s="16" t="s">
        <v>215</v>
      </c>
      <c r="E232" s="10">
        <v>2005</v>
      </c>
      <c r="F232" t="s">
        <v>2661</v>
      </c>
      <c r="G232" s="10" t="s">
        <v>34</v>
      </c>
      <c r="H232" s="10" t="s">
        <v>217</v>
      </c>
      <c r="I232" s="10" t="s">
        <v>834</v>
      </c>
      <c r="J232" s="10" t="s">
        <v>218</v>
      </c>
      <c r="K232" s="10">
        <v>3</v>
      </c>
      <c r="L232" s="10">
        <v>3</v>
      </c>
      <c r="M232" s="53"/>
      <c r="N232" s="10">
        <v>2.68</v>
      </c>
      <c r="P232" s="10">
        <v>2.13</v>
      </c>
      <c r="W232" s="10">
        <v>2.4700000000000002</v>
      </c>
      <c r="Y232" s="26"/>
      <c r="Z232" s="26"/>
      <c r="AA232" s="26"/>
      <c r="AB232" s="26"/>
      <c r="AC232" s="26"/>
      <c r="AD232" s="14">
        <f t="shared" si="33"/>
        <v>0.92164179104477617</v>
      </c>
      <c r="AE232" s="14"/>
      <c r="AF232" s="14"/>
      <c r="AG232" s="14"/>
      <c r="AH232" s="14"/>
      <c r="AI232" s="10">
        <v>0.92</v>
      </c>
      <c r="AL232"/>
      <c r="AM232"/>
      <c r="AN232"/>
      <c r="AO232"/>
      <c r="AP232"/>
      <c r="AT232" s="10" t="s">
        <v>2</v>
      </c>
      <c r="AU232" s="10" t="s">
        <v>2</v>
      </c>
      <c r="AV232" s="10" t="s">
        <v>2023</v>
      </c>
      <c r="AW232" s="10" t="s">
        <v>901</v>
      </c>
    </row>
    <row r="233" spans="1:50" s="10" customFormat="1" x14ac:dyDescent="0.3">
      <c r="A233" s="10" t="s">
        <v>214</v>
      </c>
      <c r="B233" s="10" t="s">
        <v>131</v>
      </c>
      <c r="C233" s="16" t="s">
        <v>213</v>
      </c>
      <c r="D233" s="16" t="s">
        <v>215</v>
      </c>
      <c r="E233" s="10">
        <v>2005</v>
      </c>
      <c r="F233" t="s">
        <v>2661</v>
      </c>
      <c r="G233" s="10" t="s">
        <v>34</v>
      </c>
      <c r="H233" s="10" t="s">
        <v>217</v>
      </c>
      <c r="I233" s="10" t="s">
        <v>834</v>
      </c>
      <c r="J233" s="10" t="s">
        <v>119</v>
      </c>
      <c r="K233" s="10">
        <v>3</v>
      </c>
      <c r="L233" s="10">
        <v>3</v>
      </c>
      <c r="M233" s="53"/>
      <c r="N233" s="10">
        <v>2.68</v>
      </c>
      <c r="P233" s="10">
        <v>0.76</v>
      </c>
      <c r="W233" s="10">
        <v>3.8</v>
      </c>
      <c r="Y233" s="10">
        <v>0.26</v>
      </c>
      <c r="AD233" s="14">
        <f t="shared" si="33"/>
        <v>1.4179104477611939</v>
      </c>
      <c r="AE233" s="14">
        <f t="shared" ref="AE233:AE242" si="36">Y233/P233</f>
        <v>0.34210526315789475</v>
      </c>
      <c r="AF233" s="14"/>
      <c r="AG233" s="14"/>
      <c r="AH233" s="14"/>
      <c r="AI233" s="10">
        <v>1.76</v>
      </c>
      <c r="AL233"/>
      <c r="AM233"/>
      <c r="AN233"/>
      <c r="AO233"/>
      <c r="AP233"/>
      <c r="AT233" s="10" t="s">
        <v>2</v>
      </c>
      <c r="AU233" s="10" t="s">
        <v>2</v>
      </c>
      <c r="AV233" s="10" t="s">
        <v>3</v>
      </c>
      <c r="AW233" s="14"/>
    </row>
    <row r="234" spans="1:50" s="10" customFormat="1" x14ac:dyDescent="0.3">
      <c r="A234" s="10" t="s">
        <v>214</v>
      </c>
      <c r="B234" s="10" t="s">
        <v>131</v>
      </c>
      <c r="C234" s="16" t="s">
        <v>213</v>
      </c>
      <c r="D234" s="16" t="s">
        <v>215</v>
      </c>
      <c r="E234" s="10">
        <v>2003</v>
      </c>
      <c r="F234" t="s">
        <v>2661</v>
      </c>
      <c r="G234" s="10" t="s">
        <v>34</v>
      </c>
      <c r="H234" s="10" t="s">
        <v>217</v>
      </c>
      <c r="I234" s="10" t="s">
        <v>833</v>
      </c>
      <c r="J234" s="10" t="s">
        <v>219</v>
      </c>
      <c r="K234" s="10">
        <v>3</v>
      </c>
      <c r="L234" s="10">
        <v>3</v>
      </c>
      <c r="M234" s="53"/>
      <c r="N234" s="10">
        <v>0.37</v>
      </c>
      <c r="P234" s="10">
        <v>0.66</v>
      </c>
      <c r="W234" s="10">
        <v>0</v>
      </c>
      <c r="Y234" s="10">
        <v>0.04</v>
      </c>
      <c r="AD234" s="14">
        <f t="shared" si="33"/>
        <v>0</v>
      </c>
      <c r="AE234" s="14">
        <f t="shared" si="36"/>
        <v>6.0606060606060608E-2</v>
      </c>
      <c r="AF234" s="14"/>
      <c r="AG234" s="14"/>
      <c r="AH234" s="14"/>
      <c r="AI234" s="10">
        <v>0.06</v>
      </c>
      <c r="AL234"/>
      <c r="AM234"/>
      <c r="AN234"/>
      <c r="AO234"/>
      <c r="AP234"/>
      <c r="AT234" s="10" t="s">
        <v>2</v>
      </c>
      <c r="AU234" s="10" t="s">
        <v>2</v>
      </c>
      <c r="AV234" s="10" t="s">
        <v>3</v>
      </c>
      <c r="AW234" s="14"/>
    </row>
    <row r="235" spans="1:50" s="10" customFormat="1" x14ac:dyDescent="0.3">
      <c r="A235" s="10" t="s">
        <v>214</v>
      </c>
      <c r="B235" s="10" t="s">
        <v>131</v>
      </c>
      <c r="C235" s="16" t="s">
        <v>213</v>
      </c>
      <c r="D235" s="16" t="s">
        <v>215</v>
      </c>
      <c r="E235" s="10">
        <v>2004</v>
      </c>
      <c r="F235" t="s">
        <v>2661</v>
      </c>
      <c r="G235" s="10" t="s">
        <v>34</v>
      </c>
      <c r="H235" s="10" t="s">
        <v>217</v>
      </c>
      <c r="I235" s="10" t="s">
        <v>834</v>
      </c>
      <c r="J235" s="10" t="s">
        <v>219</v>
      </c>
      <c r="K235" s="10">
        <v>3</v>
      </c>
      <c r="L235" s="10">
        <v>3</v>
      </c>
      <c r="M235" s="53"/>
      <c r="N235" s="10">
        <v>1.65</v>
      </c>
      <c r="P235" s="10">
        <v>0.52</v>
      </c>
      <c r="W235" s="10">
        <v>0.67</v>
      </c>
      <c r="Y235" s="10">
        <v>0.12</v>
      </c>
      <c r="AD235" s="14">
        <f t="shared" si="33"/>
        <v>0.40606060606060612</v>
      </c>
      <c r="AE235" s="14">
        <f t="shared" si="36"/>
        <v>0.23076923076923075</v>
      </c>
      <c r="AF235" s="14"/>
      <c r="AG235" s="14"/>
      <c r="AH235" s="14"/>
      <c r="AI235" s="10">
        <v>0.64</v>
      </c>
      <c r="AL235"/>
      <c r="AM235"/>
      <c r="AN235"/>
      <c r="AO235"/>
      <c r="AP235"/>
      <c r="AT235" s="10" t="s">
        <v>2</v>
      </c>
      <c r="AU235" s="10" t="s">
        <v>2</v>
      </c>
      <c r="AV235" s="10" t="s">
        <v>3</v>
      </c>
      <c r="AW235" s="14"/>
    </row>
    <row r="236" spans="1:50" s="10" customFormat="1" x14ac:dyDescent="0.3">
      <c r="A236" s="10" t="s">
        <v>214</v>
      </c>
      <c r="B236" s="10" t="s">
        <v>131</v>
      </c>
      <c r="C236" s="16" t="s">
        <v>213</v>
      </c>
      <c r="D236" s="16" t="s">
        <v>215</v>
      </c>
      <c r="E236" s="10">
        <v>2004</v>
      </c>
      <c r="F236" t="s">
        <v>2661</v>
      </c>
      <c r="G236" s="10" t="s">
        <v>34</v>
      </c>
      <c r="H236" s="10" t="s">
        <v>217</v>
      </c>
      <c r="I236" s="10" t="s">
        <v>833</v>
      </c>
      <c r="J236" s="10" t="s">
        <v>219</v>
      </c>
      <c r="K236" s="10">
        <v>3</v>
      </c>
      <c r="L236" s="10">
        <v>3</v>
      </c>
      <c r="M236" s="53"/>
      <c r="N236" s="10">
        <v>1.83</v>
      </c>
      <c r="P236" s="10">
        <v>0.56999999999999995</v>
      </c>
      <c r="W236" s="10">
        <v>0.98</v>
      </c>
      <c r="Y236" s="10">
        <v>0.16</v>
      </c>
      <c r="AD236" s="14">
        <f t="shared" si="33"/>
        <v>0.53551912568306004</v>
      </c>
      <c r="AE236" s="14">
        <f t="shared" si="36"/>
        <v>0.28070175438596495</v>
      </c>
      <c r="AF236" s="14"/>
      <c r="AG236" s="14"/>
      <c r="AH236" s="14"/>
      <c r="AI236" s="10">
        <v>0.82</v>
      </c>
      <c r="AL236"/>
      <c r="AM236"/>
      <c r="AN236"/>
      <c r="AO236"/>
      <c r="AP236"/>
      <c r="AT236" s="10" t="s">
        <v>2</v>
      </c>
      <c r="AU236" s="10" t="s">
        <v>2</v>
      </c>
      <c r="AV236" s="10" t="s">
        <v>3</v>
      </c>
      <c r="AW236" s="14"/>
    </row>
    <row r="237" spans="1:50" s="10" customFormat="1" x14ac:dyDescent="0.3">
      <c r="A237" s="10" t="s">
        <v>214</v>
      </c>
      <c r="B237" s="10" t="s">
        <v>131</v>
      </c>
      <c r="C237" s="16" t="s">
        <v>213</v>
      </c>
      <c r="D237" s="16" t="s">
        <v>215</v>
      </c>
      <c r="E237" s="10">
        <v>2005</v>
      </c>
      <c r="F237" t="s">
        <v>2661</v>
      </c>
      <c r="G237" s="10" t="s">
        <v>34</v>
      </c>
      <c r="H237" s="10" t="s">
        <v>217</v>
      </c>
      <c r="I237" s="10" t="s">
        <v>834</v>
      </c>
      <c r="J237" s="10" t="s">
        <v>219</v>
      </c>
      <c r="K237" s="10">
        <v>3</v>
      </c>
      <c r="L237" s="10">
        <v>3</v>
      </c>
      <c r="M237" s="53"/>
      <c r="N237" s="10">
        <v>2.68</v>
      </c>
      <c r="P237" s="10">
        <v>1.69</v>
      </c>
      <c r="W237" s="10">
        <v>1.35</v>
      </c>
      <c r="Y237" s="10">
        <v>0.26</v>
      </c>
      <c r="AD237" s="14">
        <f t="shared" si="33"/>
        <v>0.50373134328358204</v>
      </c>
      <c r="AE237" s="14">
        <f t="shared" si="36"/>
        <v>0.15384615384615385</v>
      </c>
      <c r="AF237" s="14"/>
      <c r="AG237" s="14"/>
      <c r="AH237" s="14"/>
      <c r="AI237" s="10">
        <v>0.66</v>
      </c>
      <c r="AL237"/>
      <c r="AM237"/>
      <c r="AN237"/>
      <c r="AO237"/>
      <c r="AP237"/>
      <c r="AT237" s="10" t="s">
        <v>2</v>
      </c>
      <c r="AU237" s="10" t="s">
        <v>2</v>
      </c>
      <c r="AV237" s="10" t="s">
        <v>3</v>
      </c>
      <c r="AW237" s="14"/>
    </row>
    <row r="238" spans="1:50" s="10" customFormat="1" x14ac:dyDescent="0.3">
      <c r="A238" s="10" t="s">
        <v>214</v>
      </c>
      <c r="B238" s="10" t="s">
        <v>131</v>
      </c>
      <c r="C238" s="16" t="s">
        <v>213</v>
      </c>
      <c r="D238" s="16" t="s">
        <v>215</v>
      </c>
      <c r="E238" s="10">
        <v>2004</v>
      </c>
      <c r="F238" t="s">
        <v>2661</v>
      </c>
      <c r="G238" s="10" t="s">
        <v>34</v>
      </c>
      <c r="H238" s="10" t="s">
        <v>217</v>
      </c>
      <c r="I238" s="10" t="s">
        <v>833</v>
      </c>
      <c r="J238" s="10" t="s">
        <v>220</v>
      </c>
      <c r="K238" s="10">
        <v>3</v>
      </c>
      <c r="L238" s="10">
        <v>3</v>
      </c>
      <c r="M238" s="53"/>
      <c r="N238" s="10">
        <v>1.83</v>
      </c>
      <c r="P238" s="10">
        <v>0.56999999999999995</v>
      </c>
      <c r="R238" s="10">
        <v>0.95</v>
      </c>
      <c r="W238" s="10">
        <v>0.57999999999999996</v>
      </c>
      <c r="Y238" s="10">
        <v>0.04</v>
      </c>
      <c r="AA238" s="10">
        <v>0.19</v>
      </c>
      <c r="AD238" s="14">
        <f t="shared" si="33"/>
        <v>0.31693989071038248</v>
      </c>
      <c r="AE238" s="14">
        <f t="shared" si="36"/>
        <v>7.0175438596491238E-2</v>
      </c>
      <c r="AF238" s="14">
        <f>AA238/R238</f>
        <v>0.2</v>
      </c>
      <c r="AG238" s="14"/>
      <c r="AH238" s="14"/>
      <c r="AI238" s="10">
        <v>0.59</v>
      </c>
      <c r="AL238"/>
      <c r="AM238"/>
      <c r="AN238"/>
      <c r="AO238"/>
      <c r="AP238"/>
      <c r="AT238" s="10" t="s">
        <v>2</v>
      </c>
      <c r="AU238" s="10" t="s">
        <v>2</v>
      </c>
      <c r="AV238" s="10" t="s">
        <v>3</v>
      </c>
      <c r="AW238" s="20"/>
    </row>
    <row r="239" spans="1:50" s="10" customFormat="1" x14ac:dyDescent="0.3">
      <c r="A239" s="10" t="s">
        <v>214</v>
      </c>
      <c r="B239" s="10" t="s">
        <v>131</v>
      </c>
      <c r="C239" s="16" t="s">
        <v>213</v>
      </c>
      <c r="D239" s="16" t="s">
        <v>215</v>
      </c>
      <c r="E239" s="10">
        <v>2005</v>
      </c>
      <c r="F239" t="s">
        <v>2661</v>
      </c>
      <c r="G239" s="10" t="s">
        <v>34</v>
      </c>
      <c r="H239" s="10" t="s">
        <v>217</v>
      </c>
      <c r="I239" s="10" t="s">
        <v>834</v>
      </c>
      <c r="J239" s="10" t="s">
        <v>220</v>
      </c>
      <c r="K239" s="10">
        <v>3</v>
      </c>
      <c r="L239" s="10">
        <v>3</v>
      </c>
      <c r="M239" s="53"/>
      <c r="N239" s="10">
        <v>2.68</v>
      </c>
      <c r="P239" s="10">
        <v>1.69</v>
      </c>
      <c r="R239" s="10">
        <v>0.76</v>
      </c>
      <c r="W239" s="10">
        <v>0.66</v>
      </c>
      <c r="Y239" s="10">
        <v>0.09</v>
      </c>
      <c r="AA239" s="10">
        <v>0.28999999999999998</v>
      </c>
      <c r="AD239" s="14">
        <f t="shared" si="33"/>
        <v>0.2462686567164179</v>
      </c>
      <c r="AE239" s="14">
        <f t="shared" si="36"/>
        <v>5.3254437869822487E-2</v>
      </c>
      <c r="AF239" s="14">
        <f>AA239/R239</f>
        <v>0.38157894736842102</v>
      </c>
      <c r="AG239" s="14"/>
      <c r="AH239" s="14"/>
      <c r="AI239" s="10">
        <v>0.7</v>
      </c>
      <c r="AL239"/>
      <c r="AM239"/>
      <c r="AN239"/>
      <c r="AO239"/>
      <c r="AP239"/>
      <c r="AT239" s="10" t="s">
        <v>2</v>
      </c>
      <c r="AU239" s="10" t="s">
        <v>2</v>
      </c>
      <c r="AV239" s="10" t="s">
        <v>3</v>
      </c>
      <c r="AW239" s="20"/>
    </row>
    <row r="240" spans="1:50" s="10" customFormat="1" x14ac:dyDescent="0.3">
      <c r="A240" s="26" t="s">
        <v>214</v>
      </c>
      <c r="B240" s="26" t="s">
        <v>131</v>
      </c>
      <c r="C240" s="34" t="s">
        <v>213</v>
      </c>
      <c r="D240" s="34" t="s">
        <v>215</v>
      </c>
      <c r="E240" s="10">
        <v>2003</v>
      </c>
      <c r="F240" t="s">
        <v>2661</v>
      </c>
      <c r="G240" s="26" t="s">
        <v>34</v>
      </c>
      <c r="H240" s="26" t="s">
        <v>217</v>
      </c>
      <c r="I240" s="10" t="s">
        <v>833</v>
      </c>
      <c r="J240" s="26" t="s">
        <v>221</v>
      </c>
      <c r="K240" s="26">
        <v>3</v>
      </c>
      <c r="L240" s="26">
        <v>3</v>
      </c>
      <c r="M240" s="53"/>
      <c r="N240" s="26">
        <v>0.37</v>
      </c>
      <c r="O240" s="26"/>
      <c r="P240" s="26">
        <v>0.66</v>
      </c>
      <c r="Q240" s="26"/>
      <c r="R240" s="26">
        <v>1</v>
      </c>
      <c r="S240" s="26"/>
      <c r="U240" s="26"/>
      <c r="V240" s="26"/>
      <c r="W240" s="26">
        <v>0.02</v>
      </c>
      <c r="X240" s="26"/>
      <c r="Y240" s="26">
        <v>0.03</v>
      </c>
      <c r="Z240" s="26"/>
      <c r="AA240" s="26">
        <v>0.03</v>
      </c>
      <c r="AB240" s="26"/>
      <c r="AC240" s="26"/>
      <c r="AD240" s="20">
        <f t="shared" si="33"/>
        <v>5.4054054054054057E-2</v>
      </c>
      <c r="AE240" s="20">
        <f t="shared" si="36"/>
        <v>4.5454545454545449E-2</v>
      </c>
      <c r="AF240" s="14">
        <f>AA240/R240</f>
        <v>0.03</v>
      </c>
      <c r="AG240" s="14"/>
      <c r="AH240" s="14"/>
      <c r="AI240" s="26">
        <v>0.13</v>
      </c>
      <c r="AJ240" s="26"/>
      <c r="AK240" s="26"/>
      <c r="AL240"/>
      <c r="AM240"/>
      <c r="AN240"/>
      <c r="AO240"/>
      <c r="AP240"/>
      <c r="AQ240" s="26"/>
      <c r="AR240" s="26"/>
      <c r="AS240" s="26"/>
      <c r="AT240" s="10" t="s">
        <v>2</v>
      </c>
      <c r="AU240" s="10" t="s">
        <v>2</v>
      </c>
      <c r="AV240" s="10" t="s">
        <v>3</v>
      </c>
      <c r="AW240" s="10" t="s">
        <v>2399</v>
      </c>
      <c r="AX240" s="26"/>
    </row>
    <row r="241" spans="1:50" s="26" customFormat="1" x14ac:dyDescent="0.3">
      <c r="A241" s="26" t="s">
        <v>214</v>
      </c>
      <c r="B241" s="26" t="s">
        <v>131</v>
      </c>
      <c r="C241" s="34" t="s">
        <v>213</v>
      </c>
      <c r="D241" s="34" t="s">
        <v>215</v>
      </c>
      <c r="E241" s="10">
        <v>2004</v>
      </c>
      <c r="F241" t="s">
        <v>2661</v>
      </c>
      <c r="G241" s="26" t="s">
        <v>34</v>
      </c>
      <c r="H241" s="26" t="s">
        <v>217</v>
      </c>
      <c r="I241" s="10" t="s">
        <v>833</v>
      </c>
      <c r="J241" s="26" t="s">
        <v>221</v>
      </c>
      <c r="K241" s="26">
        <v>3</v>
      </c>
      <c r="L241" s="26">
        <v>3</v>
      </c>
      <c r="M241" s="53"/>
      <c r="N241" s="26">
        <v>1.83</v>
      </c>
      <c r="P241" s="26">
        <v>0.56999999999999995</v>
      </c>
      <c r="R241" s="26">
        <v>0.95</v>
      </c>
      <c r="T241" s="26">
        <v>1.48</v>
      </c>
      <c r="W241" s="26">
        <v>0.38</v>
      </c>
      <c r="Y241" s="26">
        <v>0.05</v>
      </c>
      <c r="AA241" s="26">
        <v>0.32</v>
      </c>
      <c r="AD241" s="20">
        <f t="shared" si="33"/>
        <v>0.2076502732240437</v>
      </c>
      <c r="AE241" s="20">
        <f t="shared" si="36"/>
        <v>8.7719298245614044E-2</v>
      </c>
      <c r="AF241" s="14">
        <f>AA241/R241</f>
        <v>0.33684210526315794</v>
      </c>
      <c r="AG241" s="14"/>
      <c r="AH241" s="14"/>
      <c r="AI241" s="26">
        <v>0.63</v>
      </c>
      <c r="AL241"/>
      <c r="AM241"/>
      <c r="AN241"/>
      <c r="AO241"/>
      <c r="AP241"/>
      <c r="AT241" s="10" t="s">
        <v>2</v>
      </c>
      <c r="AU241" s="10" t="s">
        <v>2</v>
      </c>
      <c r="AV241" s="10" t="s">
        <v>3</v>
      </c>
      <c r="AW241" s="10" t="s">
        <v>2400</v>
      </c>
      <c r="AX241" s="20"/>
    </row>
    <row r="242" spans="1:50" s="26" customFormat="1" x14ac:dyDescent="0.3">
      <c r="A242" s="26" t="s">
        <v>214</v>
      </c>
      <c r="B242" s="26" t="s">
        <v>131</v>
      </c>
      <c r="C242" s="34" t="s">
        <v>213</v>
      </c>
      <c r="D242" s="34" t="s">
        <v>215</v>
      </c>
      <c r="E242" s="10">
        <v>2005</v>
      </c>
      <c r="F242" t="s">
        <v>2661</v>
      </c>
      <c r="G242" s="26" t="s">
        <v>34</v>
      </c>
      <c r="H242" s="26" t="s">
        <v>217</v>
      </c>
      <c r="I242" s="10" t="s">
        <v>834</v>
      </c>
      <c r="J242" s="26" t="s">
        <v>221</v>
      </c>
      <c r="K242" s="26">
        <v>3</v>
      </c>
      <c r="L242" s="26">
        <v>3</v>
      </c>
      <c r="M242" s="53"/>
      <c r="N242" s="26">
        <v>2.68</v>
      </c>
      <c r="P242" s="26">
        <v>1.69</v>
      </c>
      <c r="R242" s="26">
        <v>0.76</v>
      </c>
      <c r="T242" s="26">
        <v>2.13</v>
      </c>
      <c r="W242" s="26">
        <v>0.55000000000000004</v>
      </c>
      <c r="Y242" s="26">
        <v>0.12</v>
      </c>
      <c r="AA242" s="26">
        <v>0.13</v>
      </c>
      <c r="AD242" s="20">
        <f t="shared" si="33"/>
        <v>0.20522388059701493</v>
      </c>
      <c r="AE242" s="20">
        <f t="shared" si="36"/>
        <v>7.1005917159763315E-2</v>
      </c>
      <c r="AF242" s="14">
        <f>AA242/R242</f>
        <v>0.17105263157894737</v>
      </c>
      <c r="AG242" s="14"/>
      <c r="AH242" s="14"/>
      <c r="AI242" s="26">
        <v>0.45</v>
      </c>
      <c r="AL242"/>
      <c r="AM242"/>
      <c r="AN242"/>
      <c r="AO242"/>
      <c r="AP242"/>
      <c r="AT242" s="10" t="s">
        <v>2</v>
      </c>
      <c r="AU242" s="10" t="s">
        <v>2</v>
      </c>
      <c r="AV242" s="10" t="s">
        <v>3</v>
      </c>
      <c r="AW242" s="10" t="s">
        <v>2400</v>
      </c>
      <c r="AX242" s="20"/>
    </row>
    <row r="243" spans="1:50" s="10" customFormat="1" x14ac:dyDescent="0.3">
      <c r="A243" s="10" t="s">
        <v>214</v>
      </c>
      <c r="B243" s="10" t="s">
        <v>131</v>
      </c>
      <c r="C243" s="16" t="s">
        <v>213</v>
      </c>
      <c r="D243" s="16" t="s">
        <v>216</v>
      </c>
      <c r="E243" s="10">
        <v>2003</v>
      </c>
      <c r="F243" t="s">
        <v>2661</v>
      </c>
      <c r="G243" s="10" t="s">
        <v>34</v>
      </c>
      <c r="H243" s="10" t="s">
        <v>217</v>
      </c>
      <c r="I243" s="10" t="s">
        <v>833</v>
      </c>
      <c r="J243" s="10" t="s">
        <v>218</v>
      </c>
      <c r="K243" s="10">
        <v>3</v>
      </c>
      <c r="L243" s="10">
        <v>3</v>
      </c>
      <c r="M243" s="53"/>
      <c r="N243" s="10">
        <v>2.2999999999999998</v>
      </c>
      <c r="P243" s="10">
        <v>2.33</v>
      </c>
      <c r="W243" s="10">
        <v>2.2799999999999998</v>
      </c>
      <c r="Y243" s="26"/>
      <c r="Z243" s="26"/>
      <c r="AD243" s="33">
        <f t="shared" si="33"/>
        <v>0.9913043478260869</v>
      </c>
      <c r="AE243" s="20"/>
      <c r="AF243" s="14"/>
      <c r="AG243" s="14"/>
      <c r="AH243" s="14"/>
      <c r="AI243" s="10">
        <v>0.99</v>
      </c>
      <c r="AL243"/>
      <c r="AM243"/>
      <c r="AN243"/>
      <c r="AO243"/>
      <c r="AP243"/>
      <c r="AT243" s="10" t="s">
        <v>2</v>
      </c>
      <c r="AU243" s="10" t="s">
        <v>2</v>
      </c>
      <c r="AV243" s="10" t="s">
        <v>2023</v>
      </c>
      <c r="AW243" s="10" t="s">
        <v>2400</v>
      </c>
      <c r="AX243" s="20"/>
    </row>
    <row r="244" spans="1:50" s="10" customFormat="1" x14ac:dyDescent="0.3">
      <c r="A244" s="10" t="s">
        <v>214</v>
      </c>
      <c r="B244" s="10" t="s">
        <v>131</v>
      </c>
      <c r="C244" s="16" t="s">
        <v>213</v>
      </c>
      <c r="D244" s="16" t="s">
        <v>216</v>
      </c>
      <c r="E244" s="10">
        <v>2004</v>
      </c>
      <c r="F244" t="s">
        <v>2661</v>
      </c>
      <c r="G244" s="10" t="s">
        <v>34</v>
      </c>
      <c r="H244" s="10" t="s">
        <v>217</v>
      </c>
      <c r="I244" s="10" t="s">
        <v>833</v>
      </c>
      <c r="J244" s="10" t="s">
        <v>218</v>
      </c>
      <c r="K244" s="10">
        <v>3</v>
      </c>
      <c r="L244" s="10">
        <v>3</v>
      </c>
      <c r="M244" s="53"/>
      <c r="N244" s="10">
        <v>2.41</v>
      </c>
      <c r="P244" s="10">
        <v>4.3099999999999996</v>
      </c>
      <c r="W244" s="10">
        <v>3.04</v>
      </c>
      <c r="Y244" s="26"/>
      <c r="Z244" s="26"/>
      <c r="AD244" s="33">
        <f t="shared" si="33"/>
        <v>1.2614107883817427</v>
      </c>
      <c r="AE244" s="20"/>
      <c r="AF244" s="14"/>
      <c r="AG244" s="14"/>
      <c r="AH244" s="14"/>
      <c r="AI244" s="10">
        <v>1.26</v>
      </c>
      <c r="AL244"/>
      <c r="AM244"/>
      <c r="AN244"/>
      <c r="AO244"/>
      <c r="AP244"/>
      <c r="AT244" s="10" t="s">
        <v>2</v>
      </c>
      <c r="AU244" s="10" t="s">
        <v>2</v>
      </c>
      <c r="AV244" s="10" t="s">
        <v>2023</v>
      </c>
      <c r="AW244" s="10" t="s">
        <v>901</v>
      </c>
    </row>
    <row r="245" spans="1:50" s="10" customFormat="1" x14ac:dyDescent="0.3">
      <c r="A245" s="10" t="s">
        <v>214</v>
      </c>
      <c r="B245" s="10" t="s">
        <v>131</v>
      </c>
      <c r="C245" s="16" t="s">
        <v>213</v>
      </c>
      <c r="D245" s="16" t="s">
        <v>216</v>
      </c>
      <c r="E245" s="10">
        <v>2005</v>
      </c>
      <c r="F245" t="s">
        <v>2661</v>
      </c>
      <c r="G245" s="10" t="s">
        <v>34</v>
      </c>
      <c r="H245" s="10" t="s">
        <v>217</v>
      </c>
      <c r="I245" s="10" t="s">
        <v>834</v>
      </c>
      <c r="J245" s="10" t="s">
        <v>218</v>
      </c>
      <c r="K245" s="10">
        <v>3</v>
      </c>
      <c r="L245" s="10">
        <v>3</v>
      </c>
      <c r="M245" s="53"/>
      <c r="N245" s="10">
        <v>2.57</v>
      </c>
      <c r="P245" s="10">
        <v>3.46</v>
      </c>
      <c r="W245" s="10">
        <v>2.82</v>
      </c>
      <c r="Y245" s="26"/>
      <c r="Z245" s="26"/>
      <c r="AD245" s="33">
        <f t="shared" ref="AD245:AD263" si="37">W245/N245</f>
        <v>1.0972762645914398</v>
      </c>
      <c r="AE245" s="20"/>
      <c r="AF245" s="14"/>
      <c r="AG245" s="14"/>
      <c r="AH245" s="14"/>
      <c r="AI245" s="10">
        <v>1.1000000000000001</v>
      </c>
      <c r="AL245"/>
      <c r="AM245"/>
      <c r="AN245"/>
      <c r="AO245"/>
      <c r="AP245"/>
      <c r="AT245" s="10" t="s">
        <v>2</v>
      </c>
      <c r="AU245" s="10" t="s">
        <v>2</v>
      </c>
      <c r="AV245" s="10" t="s">
        <v>2023</v>
      </c>
      <c r="AW245" s="10" t="s">
        <v>901</v>
      </c>
    </row>
    <row r="246" spans="1:50" s="10" customFormat="1" x14ac:dyDescent="0.3">
      <c r="A246" s="10" t="s">
        <v>214</v>
      </c>
      <c r="B246" s="10" t="s">
        <v>131</v>
      </c>
      <c r="C246" s="16" t="s">
        <v>213</v>
      </c>
      <c r="D246" s="16" t="s">
        <v>216</v>
      </c>
      <c r="E246" s="10">
        <v>2004</v>
      </c>
      <c r="F246" t="s">
        <v>2661</v>
      </c>
      <c r="G246" s="10" t="s">
        <v>34</v>
      </c>
      <c r="H246" s="10" t="s">
        <v>217</v>
      </c>
      <c r="I246" s="10" t="s">
        <v>833</v>
      </c>
      <c r="J246" s="10" t="s">
        <v>119</v>
      </c>
      <c r="K246" s="10">
        <v>3</v>
      </c>
      <c r="L246" s="10">
        <v>3</v>
      </c>
      <c r="M246" s="53"/>
      <c r="N246" s="10">
        <v>2.41</v>
      </c>
      <c r="P246" s="10">
        <v>0.06</v>
      </c>
      <c r="W246" s="10">
        <v>4.38</v>
      </c>
      <c r="Y246" s="26">
        <v>0.06</v>
      </c>
      <c r="Z246" s="26"/>
      <c r="AD246" s="33">
        <f t="shared" si="37"/>
        <v>1.8174273858921159</v>
      </c>
      <c r="AE246" s="20">
        <f t="shared" ref="AE246:AE254" si="38">Y246/P246</f>
        <v>1</v>
      </c>
      <c r="AF246" s="14"/>
      <c r="AG246" s="14"/>
      <c r="AH246" s="14"/>
      <c r="AI246" s="10">
        <v>2.82</v>
      </c>
      <c r="AL246"/>
      <c r="AM246"/>
      <c r="AN246"/>
      <c r="AO246"/>
      <c r="AP246"/>
      <c r="AT246" s="10" t="s">
        <v>2</v>
      </c>
      <c r="AU246" s="10" t="s">
        <v>2</v>
      </c>
      <c r="AV246" s="10" t="s">
        <v>3</v>
      </c>
    </row>
    <row r="247" spans="1:50" s="10" customFormat="1" x14ac:dyDescent="0.3">
      <c r="A247" s="10" t="s">
        <v>214</v>
      </c>
      <c r="B247" s="10" t="s">
        <v>131</v>
      </c>
      <c r="C247" s="16" t="s">
        <v>213</v>
      </c>
      <c r="D247" s="16" t="s">
        <v>216</v>
      </c>
      <c r="E247" s="10">
        <v>2005</v>
      </c>
      <c r="F247" t="s">
        <v>2661</v>
      </c>
      <c r="G247" s="10" t="s">
        <v>34</v>
      </c>
      <c r="H247" s="10" t="s">
        <v>217</v>
      </c>
      <c r="I247" s="10" t="s">
        <v>834</v>
      </c>
      <c r="J247" s="10" t="s">
        <v>119</v>
      </c>
      <c r="K247" s="10">
        <v>3</v>
      </c>
      <c r="L247" s="10">
        <v>3</v>
      </c>
      <c r="M247" s="53"/>
      <c r="N247" s="10">
        <v>2.57</v>
      </c>
      <c r="P247" s="10">
        <v>0.26</v>
      </c>
      <c r="W247" s="10">
        <v>3.97</v>
      </c>
      <c r="Y247" s="10">
        <v>0.27</v>
      </c>
      <c r="AD247" s="33">
        <f t="shared" si="37"/>
        <v>1.5447470817120623</v>
      </c>
      <c r="AE247" s="20">
        <f t="shared" si="38"/>
        <v>1.0384615384615385</v>
      </c>
      <c r="AF247" s="14"/>
      <c r="AG247" s="14"/>
      <c r="AH247" s="14"/>
      <c r="AI247" s="10">
        <v>2.58</v>
      </c>
      <c r="AL247"/>
      <c r="AM247"/>
      <c r="AN247"/>
      <c r="AO247"/>
      <c r="AP247"/>
      <c r="AT247" s="10" t="s">
        <v>2</v>
      </c>
      <c r="AU247" s="10" t="s">
        <v>2</v>
      </c>
      <c r="AV247" s="10" t="s">
        <v>3</v>
      </c>
    </row>
    <row r="248" spans="1:50" s="10" customFormat="1" x14ac:dyDescent="0.3">
      <c r="A248" s="10" t="s">
        <v>214</v>
      </c>
      <c r="B248" s="10" t="s">
        <v>131</v>
      </c>
      <c r="C248" s="16" t="s">
        <v>213</v>
      </c>
      <c r="D248" s="16" t="s">
        <v>216</v>
      </c>
      <c r="E248" s="10">
        <v>2003</v>
      </c>
      <c r="F248" t="s">
        <v>2661</v>
      </c>
      <c r="G248" s="10" t="s">
        <v>34</v>
      </c>
      <c r="H248" s="10" t="s">
        <v>217</v>
      </c>
      <c r="I248" s="10" t="s">
        <v>833</v>
      </c>
      <c r="J248" s="10" t="s">
        <v>219</v>
      </c>
      <c r="K248" s="10">
        <v>3</v>
      </c>
      <c r="L248" s="10">
        <v>3</v>
      </c>
      <c r="M248" s="53"/>
      <c r="N248" s="10">
        <v>2.2999999999999998</v>
      </c>
      <c r="P248" s="10">
        <v>3.19</v>
      </c>
      <c r="W248" s="10">
        <v>0.89</v>
      </c>
      <c r="Y248" s="10">
        <v>0.22</v>
      </c>
      <c r="AD248" s="33">
        <f t="shared" si="37"/>
        <v>0.38695652173913048</v>
      </c>
      <c r="AE248" s="20">
        <f t="shared" si="38"/>
        <v>6.8965517241379309E-2</v>
      </c>
      <c r="AF248" s="14"/>
      <c r="AG248" s="14"/>
      <c r="AH248" s="14"/>
      <c r="AI248" s="10">
        <v>0.46</v>
      </c>
      <c r="AL248"/>
      <c r="AM248"/>
      <c r="AN248"/>
      <c r="AO248"/>
      <c r="AP248"/>
      <c r="AT248" s="10" t="s">
        <v>2</v>
      </c>
      <c r="AU248" s="10" t="s">
        <v>2</v>
      </c>
      <c r="AV248" s="10" t="s">
        <v>3</v>
      </c>
    </row>
    <row r="249" spans="1:50" s="10" customFormat="1" x14ac:dyDescent="0.3">
      <c r="A249" s="10" t="s">
        <v>214</v>
      </c>
      <c r="B249" s="10" t="s">
        <v>131</v>
      </c>
      <c r="C249" s="16" t="s">
        <v>213</v>
      </c>
      <c r="D249" s="16" t="s">
        <v>216</v>
      </c>
      <c r="E249" s="10">
        <v>2004</v>
      </c>
      <c r="F249" t="s">
        <v>2661</v>
      </c>
      <c r="G249" s="10" t="s">
        <v>34</v>
      </c>
      <c r="H249" s="10" t="s">
        <v>217</v>
      </c>
      <c r="I249" s="10" t="s">
        <v>833</v>
      </c>
      <c r="J249" s="10" t="s">
        <v>219</v>
      </c>
      <c r="K249" s="10">
        <v>3</v>
      </c>
      <c r="L249" s="10">
        <v>3</v>
      </c>
      <c r="M249" s="53"/>
      <c r="N249" s="10">
        <v>2.41</v>
      </c>
      <c r="P249" s="10">
        <v>2.09</v>
      </c>
      <c r="W249" s="10">
        <v>0.93</v>
      </c>
      <c r="Y249" s="10">
        <v>0.28000000000000003</v>
      </c>
      <c r="AD249" s="33">
        <f t="shared" si="37"/>
        <v>0.38589211618257263</v>
      </c>
      <c r="AE249" s="20">
        <f t="shared" si="38"/>
        <v>0.13397129186602874</v>
      </c>
      <c r="AF249" s="14"/>
      <c r="AG249" s="14"/>
      <c r="AH249" s="14"/>
      <c r="AI249" s="10">
        <v>0.52</v>
      </c>
      <c r="AL249"/>
      <c r="AM249"/>
      <c r="AN249"/>
      <c r="AO249"/>
      <c r="AP249"/>
      <c r="AT249" s="10" t="s">
        <v>2</v>
      </c>
      <c r="AU249" s="10" t="s">
        <v>2</v>
      </c>
      <c r="AV249" s="10" t="s">
        <v>3</v>
      </c>
    </row>
    <row r="250" spans="1:50" s="10" customFormat="1" x14ac:dyDescent="0.3">
      <c r="A250" s="10" t="s">
        <v>214</v>
      </c>
      <c r="B250" s="10" t="s">
        <v>131</v>
      </c>
      <c r="C250" s="16" t="s">
        <v>213</v>
      </c>
      <c r="D250" s="16" t="s">
        <v>216</v>
      </c>
      <c r="E250" s="10">
        <v>2005</v>
      </c>
      <c r="F250" t="s">
        <v>2661</v>
      </c>
      <c r="G250" s="10" t="s">
        <v>34</v>
      </c>
      <c r="H250" s="10" t="s">
        <v>217</v>
      </c>
      <c r="I250" s="10" t="s">
        <v>834</v>
      </c>
      <c r="J250" s="10" t="s">
        <v>219</v>
      </c>
      <c r="K250" s="10">
        <v>3</v>
      </c>
      <c r="L250" s="10">
        <v>3</v>
      </c>
      <c r="M250" s="53"/>
      <c r="N250" s="10">
        <v>2.57</v>
      </c>
      <c r="P250" s="10">
        <v>2.0499999999999998</v>
      </c>
      <c r="W250" s="10">
        <v>1.1000000000000001</v>
      </c>
      <c r="Y250" s="10">
        <v>0.33</v>
      </c>
      <c r="AD250" s="33">
        <f t="shared" si="37"/>
        <v>0.42801556420233466</v>
      </c>
      <c r="AE250" s="20">
        <f t="shared" si="38"/>
        <v>0.16097560975609759</v>
      </c>
      <c r="AF250" s="14"/>
      <c r="AG250" s="14"/>
      <c r="AH250" s="14"/>
      <c r="AI250" s="10">
        <v>0.59</v>
      </c>
      <c r="AL250"/>
      <c r="AM250"/>
      <c r="AN250"/>
      <c r="AO250"/>
      <c r="AP250"/>
      <c r="AT250" s="10" t="s">
        <v>2</v>
      </c>
      <c r="AU250" s="10" t="s">
        <v>2</v>
      </c>
      <c r="AV250" s="10" t="s">
        <v>3</v>
      </c>
    </row>
    <row r="251" spans="1:50" s="10" customFormat="1" x14ac:dyDescent="0.3">
      <c r="A251" s="10" t="s">
        <v>214</v>
      </c>
      <c r="B251" s="10" t="s">
        <v>131</v>
      </c>
      <c r="C251" s="16" t="s">
        <v>213</v>
      </c>
      <c r="D251" s="16" t="s">
        <v>216</v>
      </c>
      <c r="E251" s="10">
        <v>2004</v>
      </c>
      <c r="F251" t="s">
        <v>2661</v>
      </c>
      <c r="G251" s="10" t="s">
        <v>34</v>
      </c>
      <c r="H251" s="10" t="s">
        <v>217</v>
      </c>
      <c r="I251" s="10" t="s">
        <v>833</v>
      </c>
      <c r="J251" s="10" t="s">
        <v>220</v>
      </c>
      <c r="K251" s="10">
        <v>3</v>
      </c>
      <c r="L251" s="10">
        <v>3</v>
      </c>
      <c r="M251" s="53"/>
      <c r="N251" s="10">
        <v>2.41</v>
      </c>
      <c r="P251" s="10">
        <v>2.09</v>
      </c>
      <c r="R251" s="10">
        <v>0.06</v>
      </c>
      <c r="W251" s="10">
        <v>0.61</v>
      </c>
      <c r="Y251" s="10">
        <v>0.11</v>
      </c>
      <c r="AA251" s="10">
        <v>0.03</v>
      </c>
      <c r="AD251" s="33">
        <f t="shared" si="37"/>
        <v>0.25311203319502074</v>
      </c>
      <c r="AE251" s="20">
        <f t="shared" si="38"/>
        <v>5.2631578947368425E-2</v>
      </c>
      <c r="AF251" s="14">
        <f>AA251/R251</f>
        <v>0.5</v>
      </c>
      <c r="AG251" s="14"/>
      <c r="AH251" s="14"/>
      <c r="AI251" s="10">
        <v>0.81</v>
      </c>
      <c r="AL251"/>
      <c r="AM251"/>
      <c r="AN251"/>
      <c r="AO251"/>
      <c r="AP251"/>
      <c r="AT251" s="10" t="s">
        <v>2</v>
      </c>
      <c r="AU251" s="10" t="s">
        <v>2</v>
      </c>
      <c r="AV251" s="10" t="s">
        <v>3</v>
      </c>
    </row>
    <row r="252" spans="1:50" s="10" customFormat="1" x14ac:dyDescent="0.3">
      <c r="A252" s="10" t="s">
        <v>214</v>
      </c>
      <c r="B252" s="10" t="s">
        <v>131</v>
      </c>
      <c r="C252" s="16" t="s">
        <v>213</v>
      </c>
      <c r="D252" s="16" t="s">
        <v>216</v>
      </c>
      <c r="E252" s="10">
        <v>2005</v>
      </c>
      <c r="F252" t="s">
        <v>2661</v>
      </c>
      <c r="G252" s="10" t="s">
        <v>34</v>
      </c>
      <c r="H252" s="10" t="s">
        <v>217</v>
      </c>
      <c r="I252" s="10" t="s">
        <v>834</v>
      </c>
      <c r="J252" s="10" t="s">
        <v>220</v>
      </c>
      <c r="K252" s="10">
        <v>3</v>
      </c>
      <c r="L252" s="10">
        <v>3</v>
      </c>
      <c r="M252" s="53"/>
      <c r="N252" s="10">
        <v>2.57</v>
      </c>
      <c r="P252" s="10">
        <v>2.0499999999999998</v>
      </c>
      <c r="R252" s="10">
        <v>0.26</v>
      </c>
      <c r="W252" s="10">
        <v>0.59</v>
      </c>
      <c r="Y252" s="10">
        <v>0.1</v>
      </c>
      <c r="AA252" s="10">
        <v>0.16</v>
      </c>
      <c r="AD252" s="33">
        <f t="shared" si="37"/>
        <v>0.22957198443579765</v>
      </c>
      <c r="AE252" s="20">
        <f t="shared" si="38"/>
        <v>4.8780487804878057E-2</v>
      </c>
      <c r="AF252" s="14">
        <f>AA252/R252</f>
        <v>0.61538461538461542</v>
      </c>
      <c r="AG252" s="14"/>
      <c r="AH252" s="14"/>
      <c r="AI252" s="10">
        <v>0.89</v>
      </c>
      <c r="AL252"/>
      <c r="AM252"/>
      <c r="AN252"/>
      <c r="AO252"/>
      <c r="AP252"/>
      <c r="AT252" s="10" t="s">
        <v>2</v>
      </c>
      <c r="AU252" s="10" t="s">
        <v>2</v>
      </c>
      <c r="AV252" s="10" t="s">
        <v>3</v>
      </c>
    </row>
    <row r="253" spans="1:50" s="10" customFormat="1" x14ac:dyDescent="0.3">
      <c r="A253" s="10" t="s">
        <v>214</v>
      </c>
      <c r="B253" s="10" t="s">
        <v>131</v>
      </c>
      <c r="C253" s="16" t="s">
        <v>213</v>
      </c>
      <c r="D253" s="16" t="s">
        <v>216</v>
      </c>
      <c r="E253" s="10">
        <v>2004</v>
      </c>
      <c r="F253" t="s">
        <v>2661</v>
      </c>
      <c r="G253" s="10" t="s">
        <v>34</v>
      </c>
      <c r="H253" s="10" t="s">
        <v>217</v>
      </c>
      <c r="I253" s="10" t="s">
        <v>833</v>
      </c>
      <c r="J253" s="10" t="s">
        <v>221</v>
      </c>
      <c r="K253" s="10">
        <v>3</v>
      </c>
      <c r="L253" s="10">
        <v>3</v>
      </c>
      <c r="M253" s="53"/>
      <c r="N253" s="10">
        <v>2.41</v>
      </c>
      <c r="P253" s="10">
        <v>2.09</v>
      </c>
      <c r="R253" s="10">
        <v>0.06</v>
      </c>
      <c r="T253" s="10">
        <v>4.3099999999999996</v>
      </c>
      <c r="W253" s="10">
        <v>0.44</v>
      </c>
      <c r="Y253" s="10">
        <v>7.0000000000000007E-2</v>
      </c>
      <c r="AA253" s="10">
        <v>0.05</v>
      </c>
      <c r="AD253" s="33">
        <f t="shared" si="37"/>
        <v>0.18257261410788381</v>
      </c>
      <c r="AE253" s="20">
        <f t="shared" si="38"/>
        <v>3.3492822966507185E-2</v>
      </c>
      <c r="AF253" s="14">
        <f>AA253/R253</f>
        <v>0.83333333333333337</v>
      </c>
      <c r="AG253" s="14"/>
      <c r="AH253" s="14"/>
      <c r="AI253" s="10">
        <v>1.05</v>
      </c>
      <c r="AL253"/>
      <c r="AM253"/>
      <c r="AN253"/>
      <c r="AO253"/>
      <c r="AP253"/>
      <c r="AT253" s="10" t="s">
        <v>2</v>
      </c>
      <c r="AU253" s="10" t="s">
        <v>2</v>
      </c>
      <c r="AV253" s="10" t="s">
        <v>3</v>
      </c>
      <c r="AW253" s="10" t="s">
        <v>2401</v>
      </c>
      <c r="AX253" s="20"/>
    </row>
    <row r="254" spans="1:50" s="10" customFormat="1" x14ac:dyDescent="0.3">
      <c r="A254" s="10" t="s">
        <v>214</v>
      </c>
      <c r="B254" s="10" t="s">
        <v>131</v>
      </c>
      <c r="C254" s="16" t="s">
        <v>213</v>
      </c>
      <c r="D254" s="16" t="s">
        <v>216</v>
      </c>
      <c r="E254" s="10">
        <v>2005</v>
      </c>
      <c r="F254" t="s">
        <v>2661</v>
      </c>
      <c r="G254" s="10" t="s">
        <v>34</v>
      </c>
      <c r="H254" s="10" t="s">
        <v>217</v>
      </c>
      <c r="I254" s="10" t="s">
        <v>834</v>
      </c>
      <c r="J254" s="10" t="s">
        <v>221</v>
      </c>
      <c r="K254" s="10">
        <v>3</v>
      </c>
      <c r="L254" s="10">
        <v>3</v>
      </c>
      <c r="M254" s="53"/>
      <c r="N254" s="10">
        <v>2.57</v>
      </c>
      <c r="P254" s="10">
        <v>2.0499999999999998</v>
      </c>
      <c r="R254" s="10">
        <v>0.26</v>
      </c>
      <c r="T254" s="10">
        <v>3.46</v>
      </c>
      <c r="W254" s="10">
        <v>0.86</v>
      </c>
      <c r="Y254" s="10">
        <v>0.13</v>
      </c>
      <c r="AA254" s="10">
        <v>0.2</v>
      </c>
      <c r="AD254" s="33">
        <f t="shared" si="37"/>
        <v>0.33463035019455256</v>
      </c>
      <c r="AE254" s="20">
        <f t="shared" si="38"/>
        <v>6.3414634146341464E-2</v>
      </c>
      <c r="AF254" s="14">
        <f>AA254/R254</f>
        <v>0.76923076923076927</v>
      </c>
      <c r="AG254" s="14"/>
      <c r="AH254" s="14"/>
      <c r="AI254" s="10">
        <v>1.17</v>
      </c>
      <c r="AL254"/>
      <c r="AM254"/>
      <c r="AN254"/>
      <c r="AO254"/>
      <c r="AP254"/>
      <c r="AT254" s="10" t="s">
        <v>2</v>
      </c>
      <c r="AU254" s="10" t="s">
        <v>2</v>
      </c>
      <c r="AV254" s="10" t="s">
        <v>3</v>
      </c>
      <c r="AW254" s="10" t="s">
        <v>2401</v>
      </c>
      <c r="AX254" s="20"/>
    </row>
    <row r="255" spans="1:50" s="10" customFormat="1" x14ac:dyDescent="0.3">
      <c r="A255" s="10" t="s">
        <v>223</v>
      </c>
      <c r="B255" s="10" t="s">
        <v>65</v>
      </c>
      <c r="C255" s="16" t="s">
        <v>224</v>
      </c>
      <c r="D255" s="16" t="s">
        <v>225</v>
      </c>
      <c r="F255" t="s">
        <v>2661</v>
      </c>
      <c r="G255" s="10" t="s">
        <v>40</v>
      </c>
      <c r="H255" s="10" t="s">
        <v>17</v>
      </c>
      <c r="J255" s="10" t="s">
        <v>227</v>
      </c>
      <c r="K255" s="10">
        <v>4</v>
      </c>
      <c r="L255" s="10">
        <v>4</v>
      </c>
      <c r="M255" s="53"/>
      <c r="N255" s="10">
        <v>1015.4</v>
      </c>
      <c r="O255" s="10">
        <v>354</v>
      </c>
      <c r="W255" s="10">
        <v>1400.9</v>
      </c>
      <c r="X255" s="10">
        <v>545</v>
      </c>
      <c r="AD255" s="14">
        <f t="shared" si="37"/>
        <v>1.3796533385857792</v>
      </c>
      <c r="AE255" s="14"/>
      <c r="AF255" s="14"/>
      <c r="AG255" s="14"/>
      <c r="AH255" s="14"/>
      <c r="AI255" s="14">
        <f>AD255+AE255+AF255</f>
        <v>1.3796533385857792</v>
      </c>
      <c r="AJ255" s="14"/>
      <c r="AK255" s="14"/>
      <c r="AL255">
        <f t="shared" ref="AL255:AL263" si="39">(((X255*SQRT(L255))^2)/(N255^2))+((O255*SQRT(K255))^2)*(W255^2)/(N255^4)</f>
        <v>2.0777404567168727</v>
      </c>
      <c r="AM255"/>
      <c r="AN255"/>
      <c r="AO255">
        <f t="shared" si="30"/>
        <v>2.0777404567168727</v>
      </c>
      <c r="AP255">
        <f t="shared" ref="AP255:AP263" si="40">SQRT(AO255)/AI255</f>
        <v>1.0447819762571042</v>
      </c>
      <c r="AU255" s="10" t="s">
        <v>2</v>
      </c>
      <c r="AV255" s="10" t="s">
        <v>2023</v>
      </c>
      <c r="AW255" s="10" t="s">
        <v>901</v>
      </c>
    </row>
    <row r="256" spans="1:50" s="10" customFormat="1" x14ac:dyDescent="0.3">
      <c r="A256" s="10" t="s">
        <v>223</v>
      </c>
      <c r="B256" s="10" t="s">
        <v>65</v>
      </c>
      <c r="C256" s="16" t="s">
        <v>224</v>
      </c>
      <c r="D256" s="16" t="s">
        <v>225</v>
      </c>
      <c r="F256" t="s">
        <v>2661</v>
      </c>
      <c r="G256" s="10" t="s">
        <v>40</v>
      </c>
      <c r="H256" s="10" t="s">
        <v>17</v>
      </c>
      <c r="J256" s="10" t="s">
        <v>85</v>
      </c>
      <c r="K256" s="10">
        <v>4</v>
      </c>
      <c r="L256" s="10">
        <v>4</v>
      </c>
      <c r="M256" s="53"/>
      <c r="N256" s="10">
        <v>1015.4</v>
      </c>
      <c r="O256" s="10">
        <v>354</v>
      </c>
      <c r="W256" s="10">
        <v>1613.2</v>
      </c>
      <c r="X256" s="10">
        <v>329</v>
      </c>
      <c r="AD256" s="14">
        <f t="shared" si="37"/>
        <v>1.5887335040378177</v>
      </c>
      <c r="AE256" s="14"/>
      <c r="AF256" s="14"/>
      <c r="AG256" s="14"/>
      <c r="AH256" s="14"/>
      <c r="AI256" s="14">
        <f t="shared" ref="AI256:AI263" si="41">AD256+AE256+AF256</f>
        <v>1.5887335040378177</v>
      </c>
      <c r="AJ256" s="14"/>
      <c r="AK256" s="14"/>
      <c r="AL256">
        <f t="shared" si="39"/>
        <v>1.6470710940697448</v>
      </c>
      <c r="AM256"/>
      <c r="AN256"/>
      <c r="AO256">
        <f t="shared" si="30"/>
        <v>1.6470710940697448</v>
      </c>
      <c r="AP256">
        <f t="shared" si="40"/>
        <v>0.80780236152434182</v>
      </c>
      <c r="AU256" s="10" t="s">
        <v>2</v>
      </c>
      <c r="AV256" s="10" t="s">
        <v>2023</v>
      </c>
      <c r="AW256" s="10" t="s">
        <v>901</v>
      </c>
    </row>
    <row r="257" spans="1:49" s="10" customFormat="1" x14ac:dyDescent="0.3">
      <c r="A257" s="10" t="s">
        <v>223</v>
      </c>
      <c r="B257" s="10" t="s">
        <v>65</v>
      </c>
      <c r="C257" s="16" t="s">
        <v>224</v>
      </c>
      <c r="D257" s="16" t="s">
        <v>225</v>
      </c>
      <c r="F257" t="s">
        <v>2661</v>
      </c>
      <c r="G257" s="10" t="s">
        <v>40</v>
      </c>
      <c r="H257" s="10" t="s">
        <v>17</v>
      </c>
      <c r="J257" s="10" t="s">
        <v>228</v>
      </c>
      <c r="K257" s="10">
        <v>4</v>
      </c>
      <c r="L257" s="10">
        <v>4</v>
      </c>
      <c r="M257" s="53"/>
      <c r="N257" s="10">
        <v>1015.4</v>
      </c>
      <c r="O257" s="10">
        <v>354</v>
      </c>
      <c r="W257" s="10">
        <v>2168.8000000000002</v>
      </c>
      <c r="X257" s="10">
        <v>538</v>
      </c>
      <c r="AD257" s="14">
        <f t="shared" si="37"/>
        <v>2.1359070317116409</v>
      </c>
      <c r="AE257" s="14"/>
      <c r="AF257" s="14"/>
      <c r="AG257" s="14"/>
      <c r="AH257" s="14"/>
      <c r="AI257" s="14">
        <f t="shared" si="41"/>
        <v>2.1359070317116409</v>
      </c>
      <c r="AJ257" s="14"/>
      <c r="AK257" s="14"/>
      <c r="AL257">
        <f t="shared" si="39"/>
        <v>3.3408998730963626</v>
      </c>
      <c r="AM257"/>
      <c r="AN257"/>
      <c r="AO257">
        <f t="shared" si="30"/>
        <v>3.3408998730963626</v>
      </c>
      <c r="AP257">
        <f t="shared" si="40"/>
        <v>0.85575488017852541</v>
      </c>
      <c r="AU257" s="10" t="s">
        <v>2</v>
      </c>
      <c r="AV257" s="10" t="s">
        <v>2023</v>
      </c>
      <c r="AW257" s="10" t="s">
        <v>901</v>
      </c>
    </row>
    <row r="258" spans="1:49" s="10" customFormat="1" x14ac:dyDescent="0.3">
      <c r="A258" s="10" t="s">
        <v>223</v>
      </c>
      <c r="B258" s="10" t="s">
        <v>65</v>
      </c>
      <c r="C258" s="16" t="s">
        <v>224</v>
      </c>
      <c r="D258" s="16" t="s">
        <v>226</v>
      </c>
      <c r="F258" t="s">
        <v>2661</v>
      </c>
      <c r="G258" s="10" t="s">
        <v>40</v>
      </c>
      <c r="H258" s="10" t="s">
        <v>17</v>
      </c>
      <c r="J258" s="10" t="s">
        <v>227</v>
      </c>
      <c r="K258" s="10">
        <v>4</v>
      </c>
      <c r="L258" s="10">
        <v>4</v>
      </c>
      <c r="M258" s="53"/>
      <c r="N258" s="10">
        <v>2130.6</v>
      </c>
      <c r="O258" s="10">
        <v>172</v>
      </c>
      <c r="W258" s="10">
        <v>2261.1999999999998</v>
      </c>
      <c r="X258" s="10">
        <v>222</v>
      </c>
      <c r="AD258" s="14">
        <f t="shared" si="37"/>
        <v>1.0612972871491597</v>
      </c>
      <c r="AE258" s="14"/>
      <c r="AF258" s="14"/>
      <c r="AG258" s="14"/>
      <c r="AH258" s="14"/>
      <c r="AI258" s="14">
        <f t="shared" si="41"/>
        <v>1.0612972871491597</v>
      </c>
      <c r="AJ258" s="14"/>
      <c r="AK258" s="14"/>
      <c r="AL258">
        <f t="shared" si="39"/>
        <v>7.2789328938686892E-2</v>
      </c>
      <c r="AM258"/>
      <c r="AN258"/>
      <c r="AO258">
        <f t="shared" si="30"/>
        <v>7.2789328938686892E-2</v>
      </c>
      <c r="AP258">
        <f t="shared" si="40"/>
        <v>0.25421244265345389</v>
      </c>
      <c r="AU258" s="10" t="s">
        <v>2</v>
      </c>
      <c r="AV258" s="10" t="s">
        <v>2023</v>
      </c>
      <c r="AW258" s="10" t="s">
        <v>901</v>
      </c>
    </row>
    <row r="259" spans="1:49" s="10" customFormat="1" x14ac:dyDescent="0.3">
      <c r="A259" s="10" t="s">
        <v>223</v>
      </c>
      <c r="B259" s="10" t="s">
        <v>65</v>
      </c>
      <c r="C259" s="16" t="s">
        <v>224</v>
      </c>
      <c r="D259" s="16" t="s">
        <v>226</v>
      </c>
      <c r="F259" t="s">
        <v>2661</v>
      </c>
      <c r="G259" s="10" t="s">
        <v>40</v>
      </c>
      <c r="H259" s="10" t="s">
        <v>17</v>
      </c>
      <c r="J259" s="10" t="s">
        <v>85</v>
      </c>
      <c r="K259" s="10">
        <v>4</v>
      </c>
      <c r="L259" s="10">
        <v>4</v>
      </c>
      <c r="M259" s="53"/>
      <c r="N259" s="10">
        <v>2130.6</v>
      </c>
      <c r="O259" s="10">
        <v>172</v>
      </c>
      <c r="W259" s="10">
        <v>2447.6999999999998</v>
      </c>
      <c r="X259" s="10">
        <v>301</v>
      </c>
      <c r="AD259" s="14">
        <f t="shared" si="37"/>
        <v>1.1488313151225007</v>
      </c>
      <c r="AE259" s="14"/>
      <c r="AF259" s="14"/>
      <c r="AG259" s="14"/>
      <c r="AH259" s="14"/>
      <c r="AI259" s="14">
        <f t="shared" si="41"/>
        <v>1.1488313151225007</v>
      </c>
      <c r="AJ259" s="14"/>
      <c r="AK259" s="14"/>
      <c r="AL259">
        <f t="shared" si="39"/>
        <v>0.11423954682334755</v>
      </c>
      <c r="AM259"/>
      <c r="AN259"/>
      <c r="AO259">
        <f t="shared" ref="AO259:AO283" si="42">AL259+AM259+AN259</f>
        <v>0.11423954682334755</v>
      </c>
      <c r="AP259">
        <f t="shared" si="40"/>
        <v>0.29420630161037764</v>
      </c>
      <c r="AU259" s="10" t="s">
        <v>2</v>
      </c>
      <c r="AV259" s="10" t="s">
        <v>2023</v>
      </c>
      <c r="AW259" s="10" t="s">
        <v>901</v>
      </c>
    </row>
    <row r="260" spans="1:49" s="10" customFormat="1" x14ac:dyDescent="0.3">
      <c r="A260" s="10" t="s">
        <v>223</v>
      </c>
      <c r="B260" s="10" t="s">
        <v>65</v>
      </c>
      <c r="C260" s="16" t="s">
        <v>224</v>
      </c>
      <c r="D260" s="16" t="s">
        <v>226</v>
      </c>
      <c r="F260" t="s">
        <v>2661</v>
      </c>
      <c r="G260" s="10" t="s">
        <v>40</v>
      </c>
      <c r="H260" s="10" t="s">
        <v>17</v>
      </c>
      <c r="J260" s="10" t="s">
        <v>228</v>
      </c>
      <c r="K260" s="10">
        <v>4</v>
      </c>
      <c r="L260" s="10">
        <v>4</v>
      </c>
      <c r="M260" s="53"/>
      <c r="N260" s="10">
        <v>2130.6</v>
      </c>
      <c r="O260" s="10">
        <v>172</v>
      </c>
      <c r="W260" s="10">
        <v>2600.3000000000002</v>
      </c>
      <c r="X260" s="10">
        <v>358</v>
      </c>
      <c r="AD260" s="14">
        <f t="shared" si="37"/>
        <v>1.2204543321130199</v>
      </c>
      <c r="AE260" s="14"/>
      <c r="AF260" s="14"/>
      <c r="AG260" s="14"/>
      <c r="AH260" s="14"/>
      <c r="AI260" s="14">
        <f t="shared" si="41"/>
        <v>1.2204543321130199</v>
      </c>
      <c r="AJ260" s="14"/>
      <c r="AK260" s="14"/>
      <c r="AL260">
        <f t="shared" si="39"/>
        <v>0.15176233803650038</v>
      </c>
      <c r="AM260"/>
      <c r="AN260"/>
      <c r="AO260">
        <f t="shared" si="42"/>
        <v>0.15176233803650038</v>
      </c>
      <c r="AP260">
        <f t="shared" si="40"/>
        <v>0.31919822747141757</v>
      </c>
      <c r="AU260" s="10" t="s">
        <v>2</v>
      </c>
      <c r="AV260" s="10" t="s">
        <v>2023</v>
      </c>
      <c r="AW260" s="10" t="s">
        <v>901</v>
      </c>
    </row>
    <row r="261" spans="1:49" s="10" customFormat="1" x14ac:dyDescent="0.3">
      <c r="A261" s="10" t="s">
        <v>223</v>
      </c>
      <c r="B261" s="10" t="s">
        <v>65</v>
      </c>
      <c r="C261" s="16" t="s">
        <v>224</v>
      </c>
      <c r="D261" s="16" t="s">
        <v>229</v>
      </c>
      <c r="F261" t="s">
        <v>2661</v>
      </c>
      <c r="G261" s="10" t="s">
        <v>40</v>
      </c>
      <c r="H261" s="10" t="s">
        <v>17</v>
      </c>
      <c r="J261" s="10" t="s">
        <v>230</v>
      </c>
      <c r="K261" s="10">
        <v>4</v>
      </c>
      <c r="L261" s="10">
        <v>4</v>
      </c>
      <c r="M261" s="53"/>
      <c r="N261" s="10">
        <v>1468.8</v>
      </c>
      <c r="O261" s="10">
        <v>106</v>
      </c>
      <c r="W261" s="10">
        <v>1707.7</v>
      </c>
      <c r="X261" s="10">
        <v>241</v>
      </c>
      <c r="AD261" s="14">
        <f t="shared" si="37"/>
        <v>1.1626497821350763</v>
      </c>
      <c r="AI261" s="14">
        <f t="shared" si="41"/>
        <v>1.1626497821350763</v>
      </c>
      <c r="AJ261" s="14"/>
      <c r="AK261" s="14"/>
      <c r="AL261">
        <f t="shared" si="39"/>
        <v>0.13584910684844298</v>
      </c>
      <c r="AM261"/>
      <c r="AN261"/>
      <c r="AO261">
        <f t="shared" si="42"/>
        <v>0.13584910684844298</v>
      </c>
      <c r="AP261">
        <f t="shared" si="40"/>
        <v>0.31701475708690507</v>
      </c>
      <c r="AU261" s="10" t="s">
        <v>2</v>
      </c>
      <c r="AV261" s="10" t="s">
        <v>2023</v>
      </c>
      <c r="AW261" s="10" t="s">
        <v>901</v>
      </c>
    </row>
    <row r="262" spans="1:49" s="10" customFormat="1" x14ac:dyDescent="0.3">
      <c r="A262" s="10" t="s">
        <v>223</v>
      </c>
      <c r="B262" s="10" t="s">
        <v>65</v>
      </c>
      <c r="C262" s="16" t="s">
        <v>224</v>
      </c>
      <c r="D262" s="16" t="s">
        <v>229</v>
      </c>
      <c r="F262" t="s">
        <v>2661</v>
      </c>
      <c r="G262" s="10" t="s">
        <v>40</v>
      </c>
      <c r="H262" s="10" t="s">
        <v>17</v>
      </c>
      <c r="J262" s="10" t="s">
        <v>231</v>
      </c>
      <c r="K262" s="10">
        <v>4</v>
      </c>
      <c r="L262" s="10">
        <v>4</v>
      </c>
      <c r="M262" s="53"/>
      <c r="N262" s="10">
        <v>1468.8</v>
      </c>
      <c r="O262" s="10">
        <v>106</v>
      </c>
      <c r="W262" s="10">
        <v>1698.9</v>
      </c>
      <c r="X262" s="10">
        <v>211</v>
      </c>
      <c r="AD262" s="14">
        <f t="shared" si="37"/>
        <v>1.1566584967320261</v>
      </c>
      <c r="AI262" s="14">
        <f t="shared" si="41"/>
        <v>1.1566584967320261</v>
      </c>
      <c r="AJ262" s="14"/>
      <c r="AK262" s="14"/>
      <c r="AL262">
        <f t="shared" si="39"/>
        <v>0.11041793923987314</v>
      </c>
      <c r="AM262"/>
      <c r="AN262"/>
      <c r="AO262">
        <f t="shared" si="42"/>
        <v>0.11041793923987314</v>
      </c>
      <c r="AP262">
        <f t="shared" si="40"/>
        <v>0.28728613479493964</v>
      </c>
      <c r="AU262" s="10" t="s">
        <v>2</v>
      </c>
      <c r="AV262" s="10" t="s">
        <v>2023</v>
      </c>
      <c r="AW262" s="10" t="s">
        <v>901</v>
      </c>
    </row>
    <row r="263" spans="1:49" s="10" customFormat="1" x14ac:dyDescent="0.3">
      <c r="A263" s="10" t="s">
        <v>223</v>
      </c>
      <c r="B263" s="10" t="s">
        <v>65</v>
      </c>
      <c r="C263" s="16" t="s">
        <v>224</v>
      </c>
      <c r="D263" s="16" t="s">
        <v>229</v>
      </c>
      <c r="F263" t="s">
        <v>2661</v>
      </c>
      <c r="G263" s="10" t="s">
        <v>40</v>
      </c>
      <c r="H263" s="10" t="s">
        <v>17</v>
      </c>
      <c r="J263" s="10" t="s">
        <v>228</v>
      </c>
      <c r="K263" s="10">
        <v>4</v>
      </c>
      <c r="L263" s="10">
        <v>4</v>
      </c>
      <c r="M263" s="53"/>
      <c r="N263" s="10">
        <v>1468.8</v>
      </c>
      <c r="O263" s="10">
        <v>106</v>
      </c>
      <c r="W263" s="10">
        <v>1727.9</v>
      </c>
      <c r="X263" s="10">
        <v>85</v>
      </c>
      <c r="AD263" s="14">
        <f t="shared" si="37"/>
        <v>1.1764025054466232</v>
      </c>
      <c r="AI263" s="14">
        <f t="shared" si="41"/>
        <v>1.1764025054466232</v>
      </c>
      <c r="AJ263" s="14"/>
      <c r="AK263" s="14"/>
      <c r="AL263">
        <f t="shared" si="39"/>
        <v>4.2226824108430282E-2</v>
      </c>
      <c r="AM263"/>
      <c r="AN263"/>
      <c r="AO263">
        <f t="shared" si="42"/>
        <v>4.2226824108430282E-2</v>
      </c>
      <c r="AP263">
        <f t="shared" si="40"/>
        <v>0.17467802336099461</v>
      </c>
      <c r="AU263" s="10" t="s">
        <v>2</v>
      </c>
      <c r="AV263" s="10" t="s">
        <v>2023</v>
      </c>
      <c r="AW263" s="10" t="s">
        <v>901</v>
      </c>
    </row>
    <row r="264" spans="1:49" s="10" customFormat="1" x14ac:dyDescent="0.3">
      <c r="A264" s="10" t="s">
        <v>266</v>
      </c>
      <c r="B264" s="10" t="s">
        <v>5</v>
      </c>
      <c r="F264" t="s">
        <v>2661</v>
      </c>
      <c r="G264" s="10" t="s">
        <v>40</v>
      </c>
      <c r="H264" s="10" t="s">
        <v>17</v>
      </c>
      <c r="K264" s="10">
        <v>939</v>
      </c>
      <c r="L264" s="10">
        <v>939</v>
      </c>
      <c r="M264" s="53">
        <v>126</v>
      </c>
      <c r="AI264" s="10">
        <v>1.3</v>
      </c>
      <c r="AJ264" s="10">
        <v>1.27</v>
      </c>
      <c r="AK264" s="10">
        <v>1.32</v>
      </c>
      <c r="AL264"/>
      <c r="AM264"/>
      <c r="AN264"/>
      <c r="AO264"/>
      <c r="AP264"/>
      <c r="AU264" s="10" t="s">
        <v>3</v>
      </c>
      <c r="AV264" s="10" t="s">
        <v>3</v>
      </c>
    </row>
    <row r="265" spans="1:49" s="10" customFormat="1" x14ac:dyDescent="0.3">
      <c r="A265" s="10" t="s">
        <v>267</v>
      </c>
      <c r="B265" s="10" t="s">
        <v>268</v>
      </c>
      <c r="F265" t="s">
        <v>2661</v>
      </c>
      <c r="G265" s="10" t="s">
        <v>22</v>
      </c>
      <c r="H265" s="10" t="s">
        <v>17</v>
      </c>
      <c r="J265" s="10" t="s">
        <v>269</v>
      </c>
      <c r="K265" s="10">
        <v>55</v>
      </c>
      <c r="L265" s="10">
        <v>55</v>
      </c>
      <c r="M265" s="53">
        <v>21</v>
      </c>
      <c r="AI265" s="14">
        <f>121/100</f>
        <v>1.21</v>
      </c>
      <c r="AJ265" s="14">
        <v>1.0900000000000001</v>
      </c>
      <c r="AK265" s="14">
        <v>1.35</v>
      </c>
      <c r="AU265" s="10" t="s">
        <v>3</v>
      </c>
      <c r="AV265" s="10" t="s">
        <v>3</v>
      </c>
    </row>
    <row r="266" spans="1:49" s="12" customFormat="1" x14ac:dyDescent="0.3">
      <c r="A266" s="10" t="s">
        <v>270</v>
      </c>
      <c r="B266" s="10" t="s">
        <v>271</v>
      </c>
      <c r="C266" s="10"/>
      <c r="D266" s="10"/>
      <c r="E266" s="10"/>
      <c r="F266" t="s">
        <v>2661</v>
      </c>
      <c r="G266" s="10" t="s">
        <v>40</v>
      </c>
      <c r="H266" s="10" t="s">
        <v>17</v>
      </c>
      <c r="I266" s="10"/>
      <c r="J266" s="10"/>
      <c r="K266" s="10">
        <v>19</v>
      </c>
      <c r="L266" s="10">
        <v>19</v>
      </c>
      <c r="M266" s="53">
        <v>17</v>
      </c>
      <c r="N266" s="10">
        <v>4000</v>
      </c>
      <c r="O266" s="10"/>
      <c r="P266" s="10"/>
      <c r="Q266" s="10"/>
      <c r="R266" s="10"/>
      <c r="S266" s="10"/>
      <c r="T266" s="10"/>
      <c r="U266" s="10"/>
      <c r="V266" s="10"/>
      <c r="W266" s="10"/>
      <c r="X266" s="10"/>
      <c r="Y266" s="10"/>
      <c r="Z266" s="10"/>
      <c r="AA266" s="10"/>
      <c r="AB266" s="10"/>
      <c r="AC266" s="10"/>
      <c r="AD266" s="10"/>
      <c r="AE266" s="10"/>
      <c r="AF266" s="10"/>
      <c r="AG266" s="10"/>
      <c r="AH266" s="10"/>
      <c r="AI266" s="10">
        <v>1.06</v>
      </c>
      <c r="AJ266" s="10">
        <v>1.02</v>
      </c>
      <c r="AK266" s="10">
        <v>1.1100000000000001</v>
      </c>
      <c r="AL266" s="10"/>
      <c r="AM266" s="10"/>
      <c r="AN266" s="10"/>
      <c r="AO266" s="10"/>
      <c r="AP266" s="10"/>
      <c r="AQ266" s="10" t="s">
        <v>272</v>
      </c>
      <c r="AR266" s="10"/>
      <c r="AS266" s="10"/>
      <c r="AT266" s="10"/>
      <c r="AU266" s="10" t="s">
        <v>3</v>
      </c>
      <c r="AV266" s="10" t="s">
        <v>2023</v>
      </c>
      <c r="AW266" s="10" t="s">
        <v>2403</v>
      </c>
    </row>
    <row r="267" spans="1:49" s="12" customFormat="1" x14ac:dyDescent="0.3">
      <c r="A267" s="10" t="s">
        <v>270</v>
      </c>
      <c r="B267" s="10" t="s">
        <v>271</v>
      </c>
      <c r="C267" s="10"/>
      <c r="D267" s="10"/>
      <c r="E267" s="10"/>
      <c r="F267" t="s">
        <v>2661</v>
      </c>
      <c r="G267" s="10" t="s">
        <v>40</v>
      </c>
      <c r="H267" s="10" t="s">
        <v>17</v>
      </c>
      <c r="I267" s="10"/>
      <c r="J267" s="10"/>
      <c r="K267" s="10">
        <v>15</v>
      </c>
      <c r="L267" s="10">
        <v>15</v>
      </c>
      <c r="M267" s="53">
        <v>17</v>
      </c>
      <c r="N267" s="10">
        <v>4000</v>
      </c>
      <c r="O267" s="10"/>
      <c r="P267" s="10"/>
      <c r="Q267" s="10"/>
      <c r="R267" s="10"/>
      <c r="S267" s="10"/>
      <c r="T267" s="10"/>
      <c r="U267" s="10"/>
      <c r="V267" s="10"/>
      <c r="W267" s="10"/>
      <c r="X267" s="10"/>
      <c r="Y267" s="10"/>
      <c r="Z267" s="10"/>
      <c r="AA267" s="10"/>
      <c r="AB267" s="10"/>
      <c r="AC267" s="10"/>
      <c r="AD267" s="10"/>
      <c r="AE267" s="10"/>
      <c r="AF267" s="10"/>
      <c r="AG267" s="10"/>
      <c r="AH267" s="10"/>
      <c r="AI267" s="10">
        <v>0.97</v>
      </c>
      <c r="AJ267" s="10">
        <v>0.92</v>
      </c>
      <c r="AK267" s="10">
        <v>0.99</v>
      </c>
      <c r="AL267" s="10"/>
      <c r="AM267" s="10"/>
      <c r="AN267" s="10"/>
      <c r="AO267" s="10"/>
      <c r="AP267" s="10"/>
      <c r="AQ267" s="10" t="s">
        <v>272</v>
      </c>
      <c r="AR267" s="10"/>
      <c r="AS267" s="10"/>
      <c r="AT267" s="10"/>
      <c r="AU267" s="10" t="s">
        <v>3</v>
      </c>
      <c r="AV267" s="10" t="s">
        <v>2023</v>
      </c>
      <c r="AW267" s="10" t="s">
        <v>2404</v>
      </c>
    </row>
    <row r="268" spans="1:49" s="12" customFormat="1" x14ac:dyDescent="0.3">
      <c r="A268" s="10" t="s">
        <v>274</v>
      </c>
      <c r="B268" s="10" t="s">
        <v>5</v>
      </c>
      <c r="C268" s="10"/>
      <c r="D268" s="10"/>
      <c r="E268" s="10"/>
      <c r="F268" t="s">
        <v>2661</v>
      </c>
      <c r="G268" s="10" t="s">
        <v>40</v>
      </c>
      <c r="H268" s="10" t="s">
        <v>17</v>
      </c>
      <c r="I268" s="10"/>
      <c r="J268" s="10"/>
      <c r="K268" s="10">
        <v>270</v>
      </c>
      <c r="L268" s="10">
        <v>270</v>
      </c>
      <c r="M268" s="53">
        <v>21</v>
      </c>
      <c r="N268" s="10"/>
      <c r="O268" s="10"/>
      <c r="P268" s="10"/>
      <c r="Q268" s="10"/>
      <c r="R268" s="10"/>
      <c r="S268" s="10"/>
      <c r="T268" s="10"/>
      <c r="U268" s="10"/>
      <c r="V268" s="10"/>
      <c r="W268" s="10"/>
      <c r="X268" s="10"/>
      <c r="Y268" s="10"/>
      <c r="Z268" s="10"/>
      <c r="AA268" s="10"/>
      <c r="AB268" s="10"/>
      <c r="AC268" s="10"/>
      <c r="AD268" s="10"/>
      <c r="AE268" s="10"/>
      <c r="AF268" s="10"/>
      <c r="AG268" s="10"/>
      <c r="AH268" s="10"/>
      <c r="AI268" s="10">
        <v>1.04</v>
      </c>
      <c r="AJ268" s="10">
        <v>0.93</v>
      </c>
      <c r="AK268" s="10">
        <v>1.1599999999999999</v>
      </c>
      <c r="AL268" s="10"/>
      <c r="AM268" s="10"/>
      <c r="AN268" s="10"/>
      <c r="AO268" s="10"/>
      <c r="AP268" s="10"/>
      <c r="AQ268" s="10"/>
      <c r="AR268" s="10"/>
      <c r="AS268" s="10"/>
      <c r="AT268" s="10"/>
      <c r="AU268" s="10" t="s">
        <v>3</v>
      </c>
      <c r="AV268" s="10" t="s">
        <v>3</v>
      </c>
      <c r="AW268" s="10" t="s">
        <v>2405</v>
      </c>
    </row>
    <row r="269" spans="1:49" s="10" customFormat="1" x14ac:dyDescent="0.3">
      <c r="A269" s="10" t="s">
        <v>497</v>
      </c>
      <c r="B269" s="10" t="s">
        <v>58</v>
      </c>
      <c r="D269" s="10" t="s">
        <v>498</v>
      </c>
      <c r="F269" t="s">
        <v>2661</v>
      </c>
      <c r="H269" s="10" t="s">
        <v>17</v>
      </c>
      <c r="I269" s="10">
        <v>1993</v>
      </c>
      <c r="J269" s="10" t="s">
        <v>96</v>
      </c>
      <c r="K269" s="10">
        <v>3</v>
      </c>
      <c r="L269" s="10">
        <v>3</v>
      </c>
      <c r="M269" s="53"/>
      <c r="N269" s="25">
        <v>938</v>
      </c>
      <c r="O269" s="25"/>
      <c r="P269" s="25">
        <v>849</v>
      </c>
      <c r="Q269" s="25"/>
      <c r="V269" s="10">
        <v>1448</v>
      </c>
      <c r="AD269" s="14">
        <v>0.8</v>
      </c>
      <c r="AE269" s="10">
        <v>0.8</v>
      </c>
      <c r="AI269" s="14">
        <f>AD269+AE269+AF269</f>
        <v>1.6</v>
      </c>
      <c r="AJ269" s="14"/>
      <c r="AK269" s="14"/>
      <c r="AU269" s="10" t="s">
        <v>2</v>
      </c>
      <c r="AV269" s="10" t="s">
        <v>3</v>
      </c>
    </row>
    <row r="270" spans="1:49" s="10" customFormat="1" x14ac:dyDescent="0.3">
      <c r="A270" s="10" t="s">
        <v>497</v>
      </c>
      <c r="B270" s="10" t="s">
        <v>58</v>
      </c>
      <c r="D270" s="10" t="s">
        <v>498</v>
      </c>
      <c r="F270" t="s">
        <v>2661</v>
      </c>
      <c r="H270" s="10" t="s">
        <v>17</v>
      </c>
      <c r="I270" s="10">
        <v>1994</v>
      </c>
      <c r="J270" s="10" t="s">
        <v>96</v>
      </c>
      <c r="K270" s="10">
        <v>3</v>
      </c>
      <c r="L270" s="10">
        <v>3</v>
      </c>
      <c r="M270" s="53"/>
      <c r="N270" s="25">
        <v>1089</v>
      </c>
      <c r="O270" s="25"/>
      <c r="P270" s="25">
        <v>1018</v>
      </c>
      <c r="Q270" s="25"/>
      <c r="V270" s="10">
        <v>1783</v>
      </c>
      <c r="AD270" s="14">
        <v>0.8</v>
      </c>
      <c r="AE270" s="14">
        <v>0.9</v>
      </c>
      <c r="AI270" s="14">
        <f t="shared" ref="AI270:AI271" si="43">AD270+AE270+AF270</f>
        <v>1.7000000000000002</v>
      </c>
      <c r="AJ270" s="14"/>
      <c r="AK270" s="14"/>
      <c r="AU270" s="10" t="s">
        <v>2</v>
      </c>
      <c r="AV270" s="10" t="s">
        <v>3</v>
      </c>
    </row>
    <row r="271" spans="1:49" s="10" customFormat="1" x14ac:dyDescent="0.3">
      <c r="A271" s="10" t="s">
        <v>497</v>
      </c>
      <c r="B271" s="10" t="s">
        <v>58</v>
      </c>
      <c r="D271" s="10" t="s">
        <v>498</v>
      </c>
      <c r="F271" t="s">
        <v>2661</v>
      </c>
      <c r="H271" s="10" t="s">
        <v>17</v>
      </c>
      <c r="I271" s="10">
        <v>1995</v>
      </c>
      <c r="J271" s="10" t="s">
        <v>96</v>
      </c>
      <c r="K271" s="10">
        <v>3</v>
      </c>
      <c r="L271" s="10">
        <v>3</v>
      </c>
      <c r="M271" s="53"/>
      <c r="N271" s="25">
        <v>771</v>
      </c>
      <c r="O271" s="25"/>
      <c r="P271" s="25">
        <v>1182</v>
      </c>
      <c r="Q271" s="25"/>
      <c r="V271" s="10">
        <v>1479</v>
      </c>
      <c r="AD271" s="14">
        <v>0.9</v>
      </c>
      <c r="AE271" s="10">
        <v>0.7</v>
      </c>
      <c r="AI271" s="14">
        <f t="shared" si="43"/>
        <v>1.6</v>
      </c>
      <c r="AJ271" s="14"/>
      <c r="AK271" s="14"/>
      <c r="AL271"/>
      <c r="AM271"/>
      <c r="AN271"/>
      <c r="AO271"/>
      <c r="AP271"/>
      <c r="AU271" s="10" t="s">
        <v>2</v>
      </c>
      <c r="AV271" s="10" t="s">
        <v>3</v>
      </c>
      <c r="AW271" s="12"/>
    </row>
    <row r="272" spans="1:49" s="10" customFormat="1" x14ac:dyDescent="0.3">
      <c r="A272" s="10" t="s">
        <v>710</v>
      </c>
      <c r="B272" s="10" t="s">
        <v>92</v>
      </c>
      <c r="D272" s="10" t="s">
        <v>729</v>
      </c>
      <c r="F272" t="s">
        <v>2661</v>
      </c>
      <c r="H272" s="10" t="s">
        <v>217</v>
      </c>
      <c r="J272" s="10" t="s">
        <v>711</v>
      </c>
      <c r="K272" s="10">
        <v>12</v>
      </c>
      <c r="L272" s="10">
        <v>12</v>
      </c>
      <c r="M272" s="53"/>
      <c r="AI272" s="10">
        <v>1.1000000000000001</v>
      </c>
      <c r="AJ272" s="10">
        <v>1</v>
      </c>
      <c r="AK272" s="10">
        <v>1.21</v>
      </c>
      <c r="AL272"/>
      <c r="AM272"/>
      <c r="AN272"/>
      <c r="AO272"/>
      <c r="AP272"/>
      <c r="AU272" s="10" t="s">
        <v>2</v>
      </c>
      <c r="AV272" s="10" t="s">
        <v>3</v>
      </c>
    </row>
    <row r="273" spans="1:49" s="10" customFormat="1" x14ac:dyDescent="0.3">
      <c r="A273" s="10" t="s">
        <v>712</v>
      </c>
      <c r="B273" s="10" t="s">
        <v>65</v>
      </c>
      <c r="D273" s="10" t="s">
        <v>730</v>
      </c>
      <c r="F273" t="s">
        <v>2661</v>
      </c>
      <c r="G273" s="10" t="s">
        <v>22</v>
      </c>
      <c r="H273" s="10" t="s">
        <v>217</v>
      </c>
      <c r="J273" s="10" t="s">
        <v>720</v>
      </c>
      <c r="K273" s="10">
        <v>20</v>
      </c>
      <c r="L273" s="10">
        <v>20</v>
      </c>
      <c r="M273" s="53"/>
      <c r="AI273" s="10">
        <v>1.1499999999999999</v>
      </c>
      <c r="AJ273" s="10">
        <v>1.08</v>
      </c>
      <c r="AK273" s="10">
        <v>1.22</v>
      </c>
      <c r="AL273"/>
      <c r="AM273"/>
      <c r="AN273"/>
      <c r="AO273"/>
      <c r="AP273"/>
      <c r="AQ273" s="10">
        <v>10</v>
      </c>
      <c r="AR273" s="10" t="s">
        <v>14</v>
      </c>
      <c r="AU273" s="10" t="s">
        <v>2</v>
      </c>
      <c r="AV273" s="10" t="s">
        <v>3</v>
      </c>
    </row>
    <row r="274" spans="1:49" s="10" customFormat="1" x14ac:dyDescent="0.3">
      <c r="A274" t="s">
        <v>713</v>
      </c>
      <c r="B274" s="10" t="s">
        <v>731</v>
      </c>
      <c r="D274" s="10" t="s">
        <v>732</v>
      </c>
      <c r="F274" t="s">
        <v>2661</v>
      </c>
      <c r="G274" t="s">
        <v>34</v>
      </c>
      <c r="H274" s="10" t="s">
        <v>217</v>
      </c>
      <c r="J274" s="10" t="s">
        <v>721</v>
      </c>
      <c r="K274" s="10">
        <v>6</v>
      </c>
      <c r="L274" s="10">
        <v>6</v>
      </c>
      <c r="M274" s="53"/>
      <c r="N274" s="10">
        <v>3096</v>
      </c>
      <c r="P274" s="10">
        <v>2771</v>
      </c>
      <c r="W274" s="10">
        <v>2791</v>
      </c>
      <c r="Y274" s="10">
        <v>909</v>
      </c>
      <c r="AD274" s="14">
        <f>W274/N274</f>
        <v>0.90148578811369506</v>
      </c>
      <c r="AE274" s="14">
        <f>Y274/P274</f>
        <v>0.32804041862143629</v>
      </c>
      <c r="AF274" s="14"/>
      <c r="AG274" s="14"/>
      <c r="AH274" s="14"/>
      <c r="AI274" s="3">
        <f>AD274+AE274</f>
        <v>1.2295262067351314</v>
      </c>
      <c r="AL274"/>
      <c r="AM274"/>
      <c r="AN274"/>
      <c r="AO274"/>
      <c r="AP274"/>
      <c r="AQ274" s="10">
        <v>120</v>
      </c>
      <c r="AR274" s="10" t="s">
        <v>14</v>
      </c>
      <c r="AT274" s="10" t="s">
        <v>2</v>
      </c>
      <c r="AU274" s="10" t="s">
        <v>2</v>
      </c>
      <c r="AV274" s="10" t="s">
        <v>3</v>
      </c>
    </row>
    <row r="275" spans="1:49" x14ac:dyDescent="0.3">
      <c r="A275" t="s">
        <v>714</v>
      </c>
      <c r="B275" s="10" t="s">
        <v>504</v>
      </c>
      <c r="D275" s="10" t="s">
        <v>733</v>
      </c>
      <c r="F275" t="s">
        <v>2661</v>
      </c>
      <c r="G275" t="s">
        <v>34</v>
      </c>
      <c r="H275" s="10" t="s">
        <v>217</v>
      </c>
      <c r="J275" s="10" t="s">
        <v>722</v>
      </c>
      <c r="K275">
        <f>32*4</f>
        <v>128</v>
      </c>
      <c r="L275">
        <f>32*4</f>
        <v>128</v>
      </c>
      <c r="AI275">
        <v>1.1499999999999999</v>
      </c>
      <c r="AJ275">
        <v>1.1100000000000001</v>
      </c>
      <c r="AK275">
        <v>1.19</v>
      </c>
      <c r="AQ275">
        <v>0</v>
      </c>
      <c r="AS275" t="s">
        <v>3</v>
      </c>
      <c r="AU275" s="10" t="s">
        <v>2</v>
      </c>
      <c r="AV275" s="10" t="s">
        <v>3</v>
      </c>
    </row>
    <row r="276" spans="1:49" x14ac:dyDescent="0.3">
      <c r="A276" t="s">
        <v>715</v>
      </c>
      <c r="B276" s="10" t="s">
        <v>81</v>
      </c>
      <c r="C276" t="s">
        <v>82</v>
      </c>
      <c r="D276" s="10" t="s">
        <v>734</v>
      </c>
      <c r="F276" t="s">
        <v>2661</v>
      </c>
      <c r="G276" s="10" t="s">
        <v>34</v>
      </c>
      <c r="H276" s="10" t="s">
        <v>217</v>
      </c>
      <c r="I276">
        <v>2004</v>
      </c>
      <c r="J276" s="10" t="s">
        <v>735</v>
      </c>
      <c r="K276">
        <v>3</v>
      </c>
      <c r="L276">
        <v>3</v>
      </c>
      <c r="N276">
        <v>6453</v>
      </c>
      <c r="O276">
        <v>567</v>
      </c>
      <c r="P276">
        <v>5112</v>
      </c>
      <c r="Q276">
        <v>578</v>
      </c>
      <c r="W276">
        <v>8395</v>
      </c>
      <c r="X276">
        <v>636</v>
      </c>
      <c r="Y276">
        <v>5360</v>
      </c>
      <c r="Z276">
        <v>663</v>
      </c>
      <c r="AD276" s="3">
        <f t="shared" ref="AD276:AD283" si="44">W276/N276</f>
        <v>1.3009452967611963</v>
      </c>
      <c r="AE276" s="3">
        <f t="shared" ref="AE276:AE283" si="45">Y276/P276</f>
        <v>1.0485133020344288</v>
      </c>
      <c r="AI276" s="3">
        <f>AD276+AE276</f>
        <v>2.3494585987956249</v>
      </c>
      <c r="AL276">
        <f t="shared" ref="AL276:AL283" si="46">(((X276*SQRT(L276))^2)/(N276^2))+((O276*SQRT(K276))^2)*(W276^2)/(N276^4)</f>
        <v>6.8341160109346641E-2</v>
      </c>
      <c r="AM276">
        <f>(((Z276*SQRT($L276))^2)/(P276^2))+((Q276*SQRT(L276))^2)*(Y276^2)/(P276^4)</f>
        <v>9.2626379912673334E-2</v>
      </c>
      <c r="AO276">
        <f t="shared" si="42"/>
        <v>0.16096754002201996</v>
      </c>
      <c r="AP276">
        <f t="shared" ref="AP276:AP283" si="47">SQRT(AO276)/AI276</f>
        <v>0.17076598087512754</v>
      </c>
      <c r="AQ276">
        <v>225</v>
      </c>
      <c r="AT276" t="s">
        <v>3</v>
      </c>
      <c r="AU276" s="10" t="s">
        <v>2</v>
      </c>
      <c r="AV276" s="10" t="s">
        <v>3</v>
      </c>
    </row>
    <row r="277" spans="1:49" x14ac:dyDescent="0.3">
      <c r="A277" t="s">
        <v>715</v>
      </c>
      <c r="B277" s="10" t="s">
        <v>81</v>
      </c>
      <c r="C277" t="s">
        <v>82</v>
      </c>
      <c r="D277" s="10" t="s">
        <v>734</v>
      </c>
      <c r="F277" t="s">
        <v>2661</v>
      </c>
      <c r="G277" s="10" t="s">
        <v>34</v>
      </c>
      <c r="H277" s="10" t="s">
        <v>217</v>
      </c>
      <c r="I277">
        <v>2004</v>
      </c>
      <c r="J277" s="10" t="s">
        <v>736</v>
      </c>
      <c r="K277">
        <v>3</v>
      </c>
      <c r="L277">
        <v>3</v>
      </c>
      <c r="N277">
        <v>6453</v>
      </c>
      <c r="O277">
        <v>567</v>
      </c>
      <c r="P277">
        <v>11617</v>
      </c>
      <c r="Q277">
        <v>2010</v>
      </c>
      <c r="W277">
        <v>8155</v>
      </c>
      <c r="X277">
        <v>489</v>
      </c>
      <c r="Y277">
        <v>17333</v>
      </c>
      <c r="Z277">
        <v>2897</v>
      </c>
      <c r="AD277" s="3">
        <f t="shared" si="44"/>
        <v>1.2637532930419959</v>
      </c>
      <c r="AE277" s="3">
        <f t="shared" si="45"/>
        <v>1.4920375312042695</v>
      </c>
      <c r="AI277" s="3">
        <f t="shared" ref="AI277:AI281" si="48">AD277+AE277</f>
        <v>2.7557908242462652</v>
      </c>
      <c r="AL277">
        <f t="shared" si="46"/>
        <v>5.4217604791309423E-2</v>
      </c>
      <c r="AM277">
        <f t="shared" ref="AM277:AM283" si="49">(((Z277*SQRT($L277))^2)/(P277^2))+((Q277*SQRT(L277))^2)*(Y277^2)/(P277^4)</f>
        <v>0.38649822612985751</v>
      </c>
      <c r="AO277">
        <f t="shared" si="42"/>
        <v>0.44071583092116695</v>
      </c>
      <c r="AP277">
        <f t="shared" si="47"/>
        <v>0.24089793420063721</v>
      </c>
      <c r="AQ277">
        <v>225</v>
      </c>
      <c r="AT277" t="s">
        <v>3</v>
      </c>
      <c r="AU277" s="10" t="s">
        <v>2</v>
      </c>
      <c r="AV277" s="10" t="s">
        <v>3</v>
      </c>
    </row>
    <row r="278" spans="1:49" x14ac:dyDescent="0.3">
      <c r="A278" t="s">
        <v>715</v>
      </c>
      <c r="B278" s="10" t="s">
        <v>81</v>
      </c>
      <c r="C278" t="s">
        <v>82</v>
      </c>
      <c r="D278" s="10" t="s">
        <v>734</v>
      </c>
      <c r="F278" t="s">
        <v>2661</v>
      </c>
      <c r="G278" s="10" t="s">
        <v>34</v>
      </c>
      <c r="H278" s="10" t="s">
        <v>217</v>
      </c>
      <c r="I278">
        <v>2005</v>
      </c>
      <c r="J278" s="10" t="s">
        <v>735</v>
      </c>
      <c r="K278">
        <v>3</v>
      </c>
      <c r="L278">
        <v>3</v>
      </c>
      <c r="N278">
        <v>5262</v>
      </c>
      <c r="O278">
        <v>229</v>
      </c>
      <c r="P278">
        <v>5737</v>
      </c>
      <c r="Q278">
        <v>282</v>
      </c>
      <c r="W278">
        <v>5603</v>
      </c>
      <c r="X278">
        <v>751</v>
      </c>
      <c r="Y278">
        <v>5781</v>
      </c>
      <c r="Z278">
        <v>358</v>
      </c>
      <c r="AD278" s="3">
        <f t="shared" si="44"/>
        <v>1.0648042569365261</v>
      </c>
      <c r="AE278" s="3">
        <f t="shared" si="45"/>
        <v>1.0076695136831095</v>
      </c>
      <c r="AI278" s="3">
        <f t="shared" si="48"/>
        <v>2.0724737706196357</v>
      </c>
      <c r="AL278">
        <f t="shared" si="46"/>
        <v>6.7550331919315323E-2</v>
      </c>
      <c r="AM278">
        <f t="shared" si="49"/>
        <v>1.9042149833260649E-2</v>
      </c>
      <c r="AO278">
        <f t="shared" si="42"/>
        <v>8.6592481752575973E-2</v>
      </c>
      <c r="AP278">
        <f t="shared" si="47"/>
        <v>0.14198780667975844</v>
      </c>
      <c r="AQ278">
        <v>225</v>
      </c>
      <c r="AT278" t="s">
        <v>3</v>
      </c>
      <c r="AU278" s="10" t="s">
        <v>2</v>
      </c>
      <c r="AV278" s="10" t="s">
        <v>3</v>
      </c>
    </row>
    <row r="279" spans="1:49" x14ac:dyDescent="0.3">
      <c r="A279" t="s">
        <v>715</v>
      </c>
      <c r="B279" s="10" t="s">
        <v>81</v>
      </c>
      <c r="C279" t="s">
        <v>82</v>
      </c>
      <c r="D279" s="10" t="s">
        <v>734</v>
      </c>
      <c r="F279" t="s">
        <v>2661</v>
      </c>
      <c r="G279" s="10" t="s">
        <v>34</v>
      </c>
      <c r="H279" s="10" t="s">
        <v>217</v>
      </c>
      <c r="I279">
        <v>2005</v>
      </c>
      <c r="J279" s="10" t="s">
        <v>736</v>
      </c>
      <c r="K279">
        <v>3</v>
      </c>
      <c r="L279">
        <v>3</v>
      </c>
      <c r="N279">
        <v>5262</v>
      </c>
      <c r="O279">
        <v>229</v>
      </c>
      <c r="P279">
        <v>15226</v>
      </c>
      <c r="Q279">
        <v>2191</v>
      </c>
      <c r="W279">
        <v>6503</v>
      </c>
      <c r="X279">
        <v>195</v>
      </c>
      <c r="Y279">
        <v>20406</v>
      </c>
      <c r="Z279">
        <v>3050</v>
      </c>
      <c r="AD279" s="3">
        <f t="shared" si="44"/>
        <v>1.2358418852147472</v>
      </c>
      <c r="AE279" s="3">
        <f t="shared" si="45"/>
        <v>1.3402075397346644</v>
      </c>
      <c r="AI279" s="3">
        <f t="shared" si="48"/>
        <v>2.5760494249494119</v>
      </c>
      <c r="AL279">
        <f t="shared" si="46"/>
        <v>1.2797854257969626E-2</v>
      </c>
      <c r="AM279">
        <f t="shared" si="49"/>
        <v>0.23195657275539605</v>
      </c>
      <c r="AO279">
        <f t="shared" si="42"/>
        <v>0.24475442701336567</v>
      </c>
      <c r="AP279">
        <f t="shared" si="47"/>
        <v>0.19204857394000505</v>
      </c>
      <c r="AQ279">
        <v>225</v>
      </c>
      <c r="AT279" t="s">
        <v>3</v>
      </c>
      <c r="AU279" s="10" t="s">
        <v>2</v>
      </c>
      <c r="AV279" s="10" t="s">
        <v>3</v>
      </c>
    </row>
    <row r="280" spans="1:49" x14ac:dyDescent="0.3">
      <c r="A280" t="s">
        <v>715</v>
      </c>
      <c r="B280" s="10" t="s">
        <v>81</v>
      </c>
      <c r="C280" t="s">
        <v>82</v>
      </c>
      <c r="D280" s="10" t="s">
        <v>734</v>
      </c>
      <c r="F280" t="s">
        <v>2661</v>
      </c>
      <c r="G280" s="10" t="s">
        <v>34</v>
      </c>
      <c r="H280" s="10" t="s">
        <v>217</v>
      </c>
      <c r="I280">
        <v>2004</v>
      </c>
      <c r="J280" s="10" t="s">
        <v>85</v>
      </c>
      <c r="K280">
        <v>3</v>
      </c>
      <c r="L280">
        <v>3</v>
      </c>
      <c r="N280">
        <v>11617</v>
      </c>
      <c r="O280">
        <v>2010</v>
      </c>
      <c r="P280">
        <v>5112</v>
      </c>
      <c r="Q280">
        <v>578</v>
      </c>
      <c r="W280">
        <v>16217</v>
      </c>
      <c r="X280">
        <v>1056</v>
      </c>
      <c r="Y280">
        <v>6720</v>
      </c>
      <c r="Z280">
        <v>400</v>
      </c>
      <c r="AD280" s="3">
        <f t="shared" si="44"/>
        <v>1.3959714211930792</v>
      </c>
      <c r="AE280" s="3">
        <f t="shared" si="45"/>
        <v>1.3145539906103287</v>
      </c>
      <c r="AI280" s="3">
        <f t="shared" si="48"/>
        <v>2.7105254118034079</v>
      </c>
      <c r="AL280">
        <f t="shared" si="46"/>
        <v>0.19980539891704746</v>
      </c>
      <c r="AM280">
        <f t="shared" si="49"/>
        <v>8.464326197139263E-2</v>
      </c>
      <c r="AO280">
        <f t="shared" si="42"/>
        <v>0.28444866088844012</v>
      </c>
      <c r="AP280">
        <f t="shared" si="47"/>
        <v>0.1967652780204272</v>
      </c>
      <c r="AQ280">
        <v>225</v>
      </c>
      <c r="AT280" t="s">
        <v>3</v>
      </c>
      <c r="AU280" s="10" t="s">
        <v>2</v>
      </c>
      <c r="AV280" s="10" t="s">
        <v>3</v>
      </c>
    </row>
    <row r="281" spans="1:49" x14ac:dyDescent="0.3">
      <c r="A281" t="s">
        <v>715</v>
      </c>
      <c r="B281" s="10" t="s">
        <v>81</v>
      </c>
      <c r="C281" t="s">
        <v>82</v>
      </c>
      <c r="D281" s="10" t="s">
        <v>734</v>
      </c>
      <c r="F281" t="s">
        <v>2661</v>
      </c>
      <c r="G281" s="10" t="s">
        <v>34</v>
      </c>
      <c r="H281" s="10" t="s">
        <v>217</v>
      </c>
      <c r="I281">
        <v>2005</v>
      </c>
      <c r="J281" s="10" t="s">
        <v>85</v>
      </c>
      <c r="K281">
        <v>3</v>
      </c>
      <c r="L281">
        <v>3</v>
      </c>
      <c r="N281">
        <v>15226</v>
      </c>
      <c r="O281">
        <v>2191</v>
      </c>
      <c r="P281">
        <v>5737</v>
      </c>
      <c r="Q281">
        <v>282</v>
      </c>
      <c r="W281">
        <v>22233</v>
      </c>
      <c r="X281">
        <v>1594</v>
      </c>
      <c r="Y281">
        <v>6745</v>
      </c>
      <c r="Z281">
        <v>1456</v>
      </c>
      <c r="AD281" s="3">
        <f t="shared" si="44"/>
        <v>1.4601996584789176</v>
      </c>
      <c r="AE281" s="3">
        <f t="shared" si="45"/>
        <v>1.1757015861948754</v>
      </c>
      <c r="AI281" s="3">
        <f t="shared" si="48"/>
        <v>2.6359012446737928</v>
      </c>
      <c r="AL281">
        <f t="shared" si="46"/>
        <v>0.16533167690550055</v>
      </c>
      <c r="AM281">
        <f t="shared" si="49"/>
        <v>0.20324934147670884</v>
      </c>
      <c r="AO281">
        <f t="shared" si="42"/>
        <v>0.36858101838220936</v>
      </c>
      <c r="AP281">
        <f t="shared" si="47"/>
        <v>0.23032302067285965</v>
      </c>
      <c r="AQ281">
        <v>225</v>
      </c>
      <c r="AT281" t="s">
        <v>3</v>
      </c>
      <c r="AU281" s="10" t="s">
        <v>2</v>
      </c>
      <c r="AV281" s="10" t="s">
        <v>3</v>
      </c>
    </row>
    <row r="282" spans="1:49" x14ac:dyDescent="0.3">
      <c r="A282" t="s">
        <v>716</v>
      </c>
      <c r="B282" s="10" t="s">
        <v>611</v>
      </c>
      <c r="D282" s="4" t="s">
        <v>740</v>
      </c>
      <c r="E282" s="10"/>
      <c r="F282" t="s">
        <v>2661</v>
      </c>
      <c r="G282" s="10" t="s">
        <v>22</v>
      </c>
      <c r="H282" s="10" t="s">
        <v>217</v>
      </c>
      <c r="I282" s="10" t="s">
        <v>741</v>
      </c>
      <c r="J282" s="10" t="s">
        <v>723</v>
      </c>
      <c r="K282">
        <v>3</v>
      </c>
      <c r="L282">
        <v>3</v>
      </c>
      <c r="N282">
        <v>1270</v>
      </c>
      <c r="O282">
        <v>180</v>
      </c>
      <c r="P282">
        <v>3950</v>
      </c>
      <c r="Q282">
        <v>290</v>
      </c>
      <c r="W282">
        <v>830</v>
      </c>
      <c r="X282">
        <v>100</v>
      </c>
      <c r="Y282">
        <v>2880</v>
      </c>
      <c r="Z282">
        <v>250</v>
      </c>
      <c r="AD282" s="3">
        <f t="shared" si="44"/>
        <v>0.65354330708661412</v>
      </c>
      <c r="AE282" s="3">
        <f t="shared" si="45"/>
        <v>0.72911392405063291</v>
      </c>
      <c r="AI282" s="3">
        <f>AD282+AE282</f>
        <v>1.3826572311372471</v>
      </c>
      <c r="AL282">
        <f t="shared" si="46"/>
        <v>4.4339979311739885E-2</v>
      </c>
      <c r="AM282">
        <f t="shared" si="49"/>
        <v>2.0613650051202716E-2</v>
      </c>
      <c r="AO282">
        <f t="shared" si="42"/>
        <v>6.4953629362942605E-2</v>
      </c>
      <c r="AP282">
        <f t="shared" si="47"/>
        <v>0.18432624761519179</v>
      </c>
      <c r="AQ282">
        <v>0</v>
      </c>
      <c r="AR282" t="s">
        <v>14</v>
      </c>
      <c r="AS282" t="s">
        <v>2</v>
      </c>
      <c r="AU282" t="s">
        <v>2</v>
      </c>
      <c r="AV282" s="10" t="s">
        <v>3</v>
      </c>
    </row>
    <row r="283" spans="1:49" x14ac:dyDescent="0.3">
      <c r="A283" t="s">
        <v>716</v>
      </c>
      <c r="B283" s="10" t="s">
        <v>611</v>
      </c>
      <c r="D283" s="4" t="s">
        <v>740</v>
      </c>
      <c r="E283" s="10"/>
      <c r="F283" t="s">
        <v>2661</v>
      </c>
      <c r="G283" s="10" t="s">
        <v>22</v>
      </c>
      <c r="H283" s="10" t="s">
        <v>217</v>
      </c>
      <c r="I283" s="10" t="s">
        <v>742</v>
      </c>
      <c r="J283" s="10" t="s">
        <v>723</v>
      </c>
      <c r="K283">
        <v>3</v>
      </c>
      <c r="L283">
        <v>3</v>
      </c>
      <c r="N283">
        <v>3260</v>
      </c>
      <c r="O283">
        <v>280</v>
      </c>
      <c r="P283">
        <v>3780</v>
      </c>
      <c r="Q283">
        <v>450</v>
      </c>
      <c r="W283">
        <v>2030</v>
      </c>
      <c r="X283">
        <v>280</v>
      </c>
      <c r="Y283">
        <v>1290</v>
      </c>
      <c r="Z283">
        <v>240</v>
      </c>
      <c r="AD283" s="3">
        <f t="shared" si="44"/>
        <v>0.62269938650306744</v>
      </c>
      <c r="AE283" s="3">
        <f t="shared" si="45"/>
        <v>0.34126984126984128</v>
      </c>
      <c r="AI283" s="3">
        <f>AD283+AE283</f>
        <v>0.96396922777290872</v>
      </c>
      <c r="AL283">
        <f t="shared" si="46"/>
        <v>3.0712471724918602E-2</v>
      </c>
      <c r="AM283">
        <f t="shared" si="49"/>
        <v>1.7045474022312372E-2</v>
      </c>
      <c r="AO283">
        <f t="shared" si="42"/>
        <v>4.7757945747230975E-2</v>
      </c>
      <c r="AP283">
        <f t="shared" si="47"/>
        <v>0.22670424303384876</v>
      </c>
      <c r="AQ283">
        <v>40</v>
      </c>
      <c r="AR283" t="s">
        <v>14</v>
      </c>
      <c r="AS283" t="s">
        <v>2</v>
      </c>
      <c r="AU283" t="s">
        <v>2</v>
      </c>
      <c r="AV283" s="10" t="s">
        <v>3</v>
      </c>
    </row>
    <row r="284" spans="1:49" s="12" customFormat="1" x14ac:dyDescent="0.3">
      <c r="A284" s="10" t="s">
        <v>717</v>
      </c>
      <c r="B284" s="10" t="s">
        <v>611</v>
      </c>
      <c r="C284" s="10"/>
      <c r="D284" s="10"/>
      <c r="E284" s="10"/>
      <c r="F284" t="s">
        <v>2661</v>
      </c>
      <c r="G284" s="10"/>
      <c r="H284" s="10" t="s">
        <v>217</v>
      </c>
      <c r="I284" s="10"/>
      <c r="J284" s="10" t="s">
        <v>724</v>
      </c>
      <c r="K284" s="10">
        <f>6*4</f>
        <v>24</v>
      </c>
      <c r="L284" s="26"/>
      <c r="M284" s="53"/>
      <c r="N284" s="10"/>
      <c r="O284" s="10"/>
      <c r="P284" s="10"/>
      <c r="Q284" s="10"/>
      <c r="R284" s="10"/>
      <c r="S284" s="10"/>
      <c r="T284" s="10"/>
      <c r="U284" s="10"/>
      <c r="V284" s="10"/>
      <c r="W284" s="10"/>
      <c r="X284" s="10"/>
      <c r="Y284" s="10"/>
      <c r="Z284" s="10"/>
      <c r="AA284" s="10"/>
      <c r="AB284" s="10"/>
      <c r="AC284" s="10"/>
      <c r="AD284" s="10"/>
      <c r="AE284" s="10"/>
      <c r="AF284" s="10"/>
      <c r="AG284" s="10"/>
      <c r="AH284" s="10"/>
      <c r="AI284" s="10">
        <v>1.2</v>
      </c>
      <c r="AJ284" s="10">
        <v>1.1299999999999999</v>
      </c>
      <c r="AK284" s="10">
        <v>1.27</v>
      </c>
      <c r="AL284" s="10"/>
      <c r="AM284" s="10"/>
      <c r="AN284" s="10"/>
      <c r="AO284" s="10"/>
      <c r="AP284" s="10"/>
      <c r="AQ284" s="10"/>
      <c r="AR284" s="10"/>
      <c r="AS284" s="10" t="s">
        <v>2</v>
      </c>
      <c r="AT284" s="10"/>
      <c r="AU284" s="10" t="s">
        <v>2</v>
      </c>
      <c r="AV284" s="10" t="s">
        <v>2</v>
      </c>
    </row>
    <row r="285" spans="1:49" x14ac:dyDescent="0.3">
      <c r="A285" s="10" t="s">
        <v>718</v>
      </c>
      <c r="B285" s="10" t="s">
        <v>611</v>
      </c>
      <c r="C285" s="10"/>
      <c r="D285" s="10"/>
      <c r="E285" s="10"/>
      <c r="F285" t="s">
        <v>2661</v>
      </c>
      <c r="G285" s="10" t="s">
        <v>22</v>
      </c>
      <c r="H285" s="10" t="s">
        <v>217</v>
      </c>
      <c r="I285" s="10"/>
      <c r="J285" s="10" t="s">
        <v>725</v>
      </c>
      <c r="K285" s="10">
        <f>8*3</f>
        <v>24</v>
      </c>
      <c r="L285" s="26"/>
      <c r="N285" s="10"/>
      <c r="O285" s="10"/>
      <c r="P285" s="10"/>
      <c r="Q285" s="10"/>
      <c r="R285" s="10"/>
      <c r="S285" s="10"/>
      <c r="T285" s="10"/>
      <c r="U285" s="10"/>
      <c r="V285" s="10"/>
      <c r="W285" s="10"/>
      <c r="X285" s="10"/>
      <c r="Y285" s="10"/>
      <c r="Z285" s="10"/>
      <c r="AA285" s="10"/>
      <c r="AB285" s="10"/>
      <c r="AC285" s="10"/>
      <c r="AD285" s="10"/>
      <c r="AE285" s="10"/>
      <c r="AF285" s="10"/>
      <c r="AG285" s="10"/>
      <c r="AH285" s="10"/>
      <c r="AI285" s="10">
        <v>1.08</v>
      </c>
      <c r="AJ285" s="10">
        <v>1.02</v>
      </c>
      <c r="AK285" s="10">
        <v>1.1399999999999999</v>
      </c>
      <c r="AL285" s="10"/>
      <c r="AM285" s="10"/>
      <c r="AN285" s="10"/>
      <c r="AO285" s="10"/>
      <c r="AP285" s="10"/>
      <c r="AQ285" s="10" t="s">
        <v>743</v>
      </c>
      <c r="AR285" s="10"/>
      <c r="AS285" s="10" t="s">
        <v>3</v>
      </c>
      <c r="AT285" s="10"/>
      <c r="AU285" s="10" t="s">
        <v>2</v>
      </c>
      <c r="AV285" s="10" t="s">
        <v>3</v>
      </c>
      <c r="AW285" s="10"/>
    </row>
    <row r="286" spans="1:49" s="12" customFormat="1" x14ac:dyDescent="0.3">
      <c r="A286" s="10" t="s">
        <v>719</v>
      </c>
      <c r="B286" s="10" t="s">
        <v>744</v>
      </c>
      <c r="C286" s="10"/>
      <c r="D286" s="10" t="s">
        <v>745</v>
      </c>
      <c r="E286" s="10"/>
      <c r="F286" t="s">
        <v>2661</v>
      </c>
      <c r="G286" s="10" t="s">
        <v>34</v>
      </c>
      <c r="H286" s="10" t="s">
        <v>217</v>
      </c>
      <c r="I286" s="10"/>
      <c r="J286" s="10" t="s">
        <v>726</v>
      </c>
      <c r="K286" s="10">
        <f>10*4</f>
        <v>40</v>
      </c>
      <c r="L286" s="26"/>
      <c r="M286" s="53"/>
      <c r="N286" s="10"/>
      <c r="O286" s="10"/>
      <c r="P286" s="10"/>
      <c r="Q286" s="10"/>
      <c r="R286" s="10"/>
      <c r="S286" s="10"/>
      <c r="T286" s="10"/>
      <c r="U286" s="10"/>
      <c r="V286" s="10"/>
      <c r="W286" s="10"/>
      <c r="X286" s="10"/>
      <c r="Y286" s="10"/>
      <c r="Z286" s="10"/>
      <c r="AA286" s="10"/>
      <c r="AB286" s="10"/>
      <c r="AC286" s="10"/>
      <c r="AD286" s="10"/>
      <c r="AE286" s="10"/>
      <c r="AF286" s="10"/>
      <c r="AG286" s="10"/>
      <c r="AH286" s="10"/>
      <c r="AI286" s="10">
        <v>1.01</v>
      </c>
      <c r="AJ286" s="10">
        <v>0.96</v>
      </c>
      <c r="AK286" s="10">
        <v>1.06</v>
      </c>
      <c r="AL286" s="10"/>
      <c r="AM286" s="10"/>
      <c r="AN286" s="10"/>
      <c r="AO286" s="10"/>
      <c r="AP286" s="10"/>
      <c r="AQ286" s="10" t="s">
        <v>746</v>
      </c>
      <c r="AR286" s="10"/>
      <c r="AS286" s="10" t="s">
        <v>3</v>
      </c>
      <c r="AT286" s="10"/>
      <c r="AU286" s="10" t="s">
        <v>2</v>
      </c>
      <c r="AV286" s="10" t="s">
        <v>2</v>
      </c>
      <c r="AW286" s="10"/>
    </row>
    <row r="287" spans="1:49" s="1" customFormat="1" x14ac:dyDescent="0.3">
      <c r="A287" s="10" t="s">
        <v>850</v>
      </c>
      <c r="B287" s="10" t="s">
        <v>5</v>
      </c>
      <c r="C287" s="10"/>
      <c r="D287" s="10"/>
      <c r="E287" s="10"/>
      <c r="F287" t="s">
        <v>2661</v>
      </c>
      <c r="G287" s="10" t="s">
        <v>34</v>
      </c>
      <c r="H287" s="10" t="s">
        <v>217</v>
      </c>
      <c r="I287" s="10"/>
      <c r="J287" s="10"/>
      <c r="K287" s="26">
        <v>191</v>
      </c>
      <c r="L287" s="10">
        <v>191</v>
      </c>
      <c r="M287" s="53">
        <v>100</v>
      </c>
      <c r="N287" s="10"/>
      <c r="O287" s="10"/>
      <c r="P287" s="10"/>
      <c r="Q287" s="10"/>
      <c r="R287" s="10"/>
      <c r="S287" s="10"/>
      <c r="T287" s="10"/>
      <c r="U287" s="10"/>
      <c r="V287" s="10"/>
      <c r="W287" s="10"/>
      <c r="X287" s="10"/>
      <c r="Y287" s="10"/>
      <c r="Z287" s="10"/>
      <c r="AA287" s="10"/>
      <c r="AB287" s="10"/>
      <c r="AC287" s="10"/>
      <c r="AD287" s="10"/>
      <c r="AE287" s="10"/>
      <c r="AF287" s="10"/>
      <c r="AG287" s="10"/>
      <c r="AH287" s="10"/>
      <c r="AI287" s="10">
        <v>1.22</v>
      </c>
      <c r="AJ287" s="10">
        <v>1.17</v>
      </c>
      <c r="AK287" s="10">
        <v>1.26</v>
      </c>
      <c r="AL287" s="10"/>
      <c r="AM287" s="10"/>
      <c r="AN287" s="10"/>
      <c r="AO287" s="10"/>
      <c r="AP287" s="10"/>
      <c r="AQ287" s="10"/>
      <c r="AR287" s="10"/>
      <c r="AS287" s="10"/>
      <c r="AT287" s="10"/>
      <c r="AU287" s="10" t="s">
        <v>3</v>
      </c>
      <c r="AV287" s="10" t="s">
        <v>3</v>
      </c>
      <c r="AW287" s="10" t="s">
        <v>2402</v>
      </c>
    </row>
    <row r="288" spans="1:49" s="1" customFormat="1" x14ac:dyDescent="0.3">
      <c r="A288" s="10" t="s">
        <v>850</v>
      </c>
      <c r="B288" s="10" t="s">
        <v>5</v>
      </c>
      <c r="C288" s="10"/>
      <c r="D288" s="10"/>
      <c r="E288" s="10"/>
      <c r="F288" t="s">
        <v>2661</v>
      </c>
      <c r="G288" s="10" t="s">
        <v>22</v>
      </c>
      <c r="H288" s="10" t="s">
        <v>217</v>
      </c>
      <c r="I288" s="10"/>
      <c r="J288" s="10"/>
      <c r="K288" s="26">
        <v>205</v>
      </c>
      <c r="L288" s="10">
        <v>205</v>
      </c>
      <c r="M288" s="53">
        <v>100</v>
      </c>
      <c r="N288" s="10"/>
      <c r="O288" s="10"/>
      <c r="P288" s="10"/>
      <c r="Q288" s="10"/>
      <c r="R288" s="10"/>
      <c r="S288" s="10"/>
      <c r="T288" s="10"/>
      <c r="U288" s="10"/>
      <c r="V288" s="10"/>
      <c r="W288" s="10"/>
      <c r="X288" s="10"/>
      <c r="Y288" s="10"/>
      <c r="Z288" s="10"/>
      <c r="AA288" s="10"/>
      <c r="AB288" s="10"/>
      <c r="AC288" s="10"/>
      <c r="AD288" s="10"/>
      <c r="AE288" s="10"/>
      <c r="AF288" s="10"/>
      <c r="AG288" s="10"/>
      <c r="AH288" s="10"/>
      <c r="AI288" s="10">
        <v>1.1599999999999999</v>
      </c>
      <c r="AJ288" s="10">
        <v>1.1000000000000001</v>
      </c>
      <c r="AK288" s="10">
        <v>1.21</v>
      </c>
      <c r="AL288" s="10"/>
      <c r="AM288" s="10"/>
      <c r="AN288" s="10"/>
      <c r="AO288" s="10"/>
      <c r="AP288" s="10"/>
      <c r="AQ288" s="10"/>
      <c r="AR288" s="10"/>
      <c r="AS288" s="10"/>
      <c r="AT288" s="10"/>
      <c r="AU288" s="10" t="s">
        <v>3</v>
      </c>
      <c r="AV288" s="10" t="s">
        <v>3</v>
      </c>
      <c r="AW288" s="10" t="s">
        <v>2402</v>
      </c>
    </row>
    <row r="289" spans="1:49" s="1" customFormat="1" x14ac:dyDescent="0.3">
      <c r="A289" s="10" t="s">
        <v>851</v>
      </c>
      <c r="B289" s="10" t="s">
        <v>70</v>
      </c>
      <c r="C289" s="10"/>
      <c r="D289" s="10"/>
      <c r="E289" s="10"/>
      <c r="F289" t="s">
        <v>2661</v>
      </c>
      <c r="G289" s="10" t="s">
        <v>34</v>
      </c>
      <c r="H289" s="10" t="s">
        <v>217</v>
      </c>
      <c r="I289" s="10"/>
      <c r="J289" s="10" t="s">
        <v>852</v>
      </c>
      <c r="K289" s="26">
        <v>211</v>
      </c>
      <c r="L289" s="10">
        <v>211</v>
      </c>
      <c r="M289" s="53">
        <v>180</v>
      </c>
      <c r="N289" s="10"/>
      <c r="O289" s="10"/>
      <c r="P289" s="10"/>
      <c r="Q289" s="10"/>
      <c r="R289" s="10"/>
      <c r="S289" s="10"/>
      <c r="T289" s="10"/>
      <c r="U289" s="10"/>
      <c r="V289" s="10"/>
      <c r="W289" s="10"/>
      <c r="X289" s="10"/>
      <c r="Y289" s="10"/>
      <c r="Z289" s="10"/>
      <c r="AA289" s="10"/>
      <c r="AB289" s="10"/>
      <c r="AC289" s="10"/>
      <c r="AD289" s="10"/>
      <c r="AE289" s="10"/>
      <c r="AF289" s="10"/>
      <c r="AG289" s="10"/>
      <c r="AH289" s="10"/>
      <c r="AI289" s="10">
        <v>1.27</v>
      </c>
      <c r="AJ289" s="10">
        <v>1.21</v>
      </c>
      <c r="AK289" s="10">
        <v>1.33</v>
      </c>
      <c r="AL289" s="10"/>
      <c r="AM289" s="10"/>
      <c r="AN289" s="10"/>
      <c r="AO289" s="10"/>
      <c r="AP289" s="10"/>
      <c r="AQ289" s="10"/>
      <c r="AR289" s="10"/>
      <c r="AS289" s="10"/>
      <c r="AT289" s="10"/>
      <c r="AU289" s="10" t="s">
        <v>3</v>
      </c>
      <c r="AV289" s="10" t="s">
        <v>3</v>
      </c>
      <c r="AW289" s="10" t="s">
        <v>2402</v>
      </c>
    </row>
    <row r="290" spans="1:49" s="6" customFormat="1" x14ac:dyDescent="0.3">
      <c r="A290" s="26" t="s">
        <v>858</v>
      </c>
      <c r="B290" s="26" t="s">
        <v>5</v>
      </c>
      <c r="C290" s="26"/>
      <c r="D290" s="26"/>
      <c r="E290" s="26"/>
      <c r="F290" t="s">
        <v>2661</v>
      </c>
      <c r="G290" s="26" t="s">
        <v>873</v>
      </c>
      <c r="H290" s="26" t="s">
        <v>217</v>
      </c>
      <c r="I290" s="26"/>
      <c r="J290" s="26" t="s">
        <v>201</v>
      </c>
      <c r="K290" s="26">
        <v>654</v>
      </c>
      <c r="L290" s="26">
        <v>654</v>
      </c>
      <c r="M290" s="53">
        <v>88</v>
      </c>
      <c r="N290" s="26">
        <v>7010</v>
      </c>
      <c r="O290" s="26"/>
      <c r="P290" s="26">
        <v>2290</v>
      </c>
      <c r="Q290" s="26"/>
      <c r="R290" s="26"/>
      <c r="S290" s="26"/>
      <c r="T290" s="26"/>
      <c r="U290" s="26"/>
      <c r="V290" s="26"/>
      <c r="W290" s="26">
        <v>5970</v>
      </c>
      <c r="X290" s="26"/>
      <c r="Y290" s="26">
        <v>1170</v>
      </c>
      <c r="Z290" s="26"/>
      <c r="AA290" s="26"/>
      <c r="AB290" s="26"/>
      <c r="AC290" s="26"/>
      <c r="AD290" s="26">
        <v>0.79</v>
      </c>
      <c r="AE290" s="26">
        <v>0.56000000000000005</v>
      </c>
      <c r="AF290" s="26"/>
      <c r="AG290" s="26"/>
      <c r="AH290" s="26"/>
      <c r="AI290" s="26">
        <v>1.32</v>
      </c>
      <c r="AJ290" s="26">
        <v>1.3</v>
      </c>
      <c r="AK290" s="26">
        <v>1.34</v>
      </c>
      <c r="AL290" s="26"/>
      <c r="AM290" s="26"/>
      <c r="AN290" s="26"/>
      <c r="AO290" s="26"/>
      <c r="AP290" s="26"/>
      <c r="AQ290" s="26"/>
      <c r="AR290" s="26"/>
      <c r="AS290" s="26"/>
      <c r="AT290" s="26"/>
      <c r="AU290" s="26" t="s">
        <v>3</v>
      </c>
      <c r="AV290" s="26" t="s">
        <v>3</v>
      </c>
      <c r="AW290" s="26" t="s">
        <v>2248</v>
      </c>
    </row>
    <row r="291" spans="1:49" s="1" customFormat="1" x14ac:dyDescent="0.3">
      <c r="A291" s="10" t="s">
        <v>869</v>
      </c>
      <c r="B291" s="10" t="s">
        <v>61</v>
      </c>
      <c r="C291" s="10"/>
      <c r="D291" s="10"/>
      <c r="E291" s="10"/>
      <c r="F291" t="s">
        <v>2661</v>
      </c>
      <c r="G291" s="10" t="s">
        <v>34</v>
      </c>
      <c r="H291" s="10" t="s">
        <v>217</v>
      </c>
      <c r="I291" s="10"/>
      <c r="J291" s="10" t="s">
        <v>870</v>
      </c>
      <c r="K291" s="10">
        <v>122</v>
      </c>
      <c r="L291" s="10">
        <v>122</v>
      </c>
      <c r="M291" s="53">
        <v>59</v>
      </c>
      <c r="N291" s="10"/>
      <c r="O291" s="10"/>
      <c r="P291" s="10"/>
      <c r="Q291" s="10"/>
      <c r="R291" s="10"/>
      <c r="S291" s="10"/>
      <c r="T291" s="10"/>
      <c r="U291" s="10"/>
      <c r="V291" s="10"/>
      <c r="W291" s="10"/>
      <c r="X291" s="10"/>
      <c r="Y291" s="10"/>
      <c r="Z291" s="10"/>
      <c r="AA291" s="10"/>
      <c r="AB291" s="10"/>
      <c r="AC291" s="10"/>
      <c r="AD291" s="10"/>
      <c r="AE291" s="10"/>
      <c r="AF291" s="10"/>
      <c r="AG291" s="10"/>
      <c r="AH291" s="10"/>
      <c r="AI291" s="10">
        <v>1.42</v>
      </c>
      <c r="AJ291" s="10">
        <f>AI291-0.47</f>
        <v>0.95</v>
      </c>
      <c r="AK291" s="10">
        <f>AI291+0.47</f>
        <v>1.89</v>
      </c>
      <c r="AL291" s="10"/>
      <c r="AM291" s="10"/>
      <c r="AN291" s="10"/>
      <c r="AO291" s="10"/>
      <c r="AP291" s="10"/>
      <c r="AQ291" s="10"/>
      <c r="AR291" s="10"/>
      <c r="AS291" s="10"/>
      <c r="AT291" s="10"/>
      <c r="AU291" s="10" t="s">
        <v>3</v>
      </c>
      <c r="AV291" s="10" t="s">
        <v>3</v>
      </c>
      <c r="AW291" s="10"/>
    </row>
    <row r="292" spans="1:49" s="1" customFormat="1" x14ac:dyDescent="0.3">
      <c r="A292" s="10" t="s">
        <v>869</v>
      </c>
      <c r="B292" s="10" t="s">
        <v>61</v>
      </c>
      <c r="C292" s="10"/>
      <c r="D292" s="10"/>
      <c r="E292" s="10"/>
      <c r="F292" t="s">
        <v>2661</v>
      </c>
      <c r="G292" s="10" t="s">
        <v>34</v>
      </c>
      <c r="H292" s="10" t="s">
        <v>217</v>
      </c>
      <c r="I292" s="10"/>
      <c r="J292" s="10" t="s">
        <v>502</v>
      </c>
      <c r="K292" s="10">
        <v>79</v>
      </c>
      <c r="L292" s="10">
        <v>79</v>
      </c>
      <c r="M292" s="53">
        <v>59</v>
      </c>
      <c r="N292" s="10">
        <v>759</v>
      </c>
      <c r="O292" s="10"/>
      <c r="P292" s="10">
        <v>2059</v>
      </c>
      <c r="Q292" s="10"/>
      <c r="R292" s="10"/>
      <c r="S292" s="10"/>
      <c r="T292" s="10"/>
      <c r="U292" s="10"/>
      <c r="V292" s="10"/>
      <c r="W292" s="10">
        <v>434</v>
      </c>
      <c r="X292" s="10"/>
      <c r="Y292" s="10">
        <v>1355</v>
      </c>
      <c r="Z292" s="10"/>
      <c r="AA292" s="10"/>
      <c r="AB292" s="10"/>
      <c r="AC292" s="10"/>
      <c r="AD292" s="10"/>
      <c r="AE292" s="10"/>
      <c r="AF292" s="10"/>
      <c r="AG292" s="10"/>
      <c r="AH292" s="10"/>
      <c r="AI292" s="10">
        <v>1.26</v>
      </c>
      <c r="AJ292" s="10">
        <f>AI292-0.35</f>
        <v>0.91</v>
      </c>
      <c r="AK292" s="10">
        <f>AI292+0.35</f>
        <v>1.6099999999999999</v>
      </c>
      <c r="AL292" s="10"/>
      <c r="AM292" s="10"/>
      <c r="AN292" s="10"/>
      <c r="AO292" s="10"/>
      <c r="AP292" s="10"/>
      <c r="AQ292" s="10"/>
      <c r="AR292" s="10"/>
      <c r="AS292" s="10"/>
      <c r="AT292" s="10"/>
      <c r="AU292" s="10" t="s">
        <v>3</v>
      </c>
      <c r="AV292" s="10" t="s">
        <v>3</v>
      </c>
      <c r="AW292" s="10"/>
    </row>
    <row r="293" spans="1:49" s="1" customFormat="1" x14ac:dyDescent="0.3">
      <c r="A293" s="10" t="s">
        <v>869</v>
      </c>
      <c r="B293" s="10" t="s">
        <v>61</v>
      </c>
      <c r="C293" s="10"/>
      <c r="D293" s="10"/>
      <c r="E293" s="10"/>
      <c r="F293" t="s">
        <v>2661</v>
      </c>
      <c r="G293" s="10" t="s">
        <v>34</v>
      </c>
      <c r="H293" s="10" t="s">
        <v>217</v>
      </c>
      <c r="I293" s="10"/>
      <c r="J293" s="10" t="s">
        <v>871</v>
      </c>
      <c r="K293" s="10">
        <v>96</v>
      </c>
      <c r="L293" s="10">
        <v>96</v>
      </c>
      <c r="M293" s="53">
        <v>59</v>
      </c>
      <c r="N293" s="10"/>
      <c r="O293" s="10"/>
      <c r="P293" s="10"/>
      <c r="Q293" s="10"/>
      <c r="R293" s="10"/>
      <c r="S293" s="10"/>
      <c r="T293" s="10"/>
      <c r="U293" s="10"/>
      <c r="V293" s="10"/>
      <c r="W293" s="10"/>
      <c r="X293" s="10"/>
      <c r="Y293" s="10"/>
      <c r="Z293" s="10"/>
      <c r="AA293" s="10"/>
      <c r="AB293" s="10"/>
      <c r="AC293" s="10"/>
      <c r="AD293" s="10"/>
      <c r="AE293" s="10"/>
      <c r="AF293" s="10"/>
      <c r="AG293" s="10"/>
      <c r="AH293" s="10"/>
      <c r="AI293" s="10">
        <v>1.3</v>
      </c>
      <c r="AJ293" s="10">
        <f>AI293-0.32</f>
        <v>0.98</v>
      </c>
      <c r="AK293" s="10">
        <f>AI293+0.32</f>
        <v>1.62</v>
      </c>
      <c r="AL293" s="10"/>
      <c r="AM293" s="10"/>
      <c r="AN293" s="10"/>
      <c r="AO293" s="10"/>
      <c r="AP293" s="10"/>
      <c r="AQ293" s="10"/>
      <c r="AR293" s="10"/>
      <c r="AS293" s="10"/>
      <c r="AT293" s="10"/>
      <c r="AU293" s="10" t="s">
        <v>3</v>
      </c>
      <c r="AV293" s="10" t="s">
        <v>3</v>
      </c>
      <c r="AW293" s="10"/>
    </row>
    <row r="294" spans="1:49" x14ac:dyDescent="0.3">
      <c r="A294" s="10" t="s">
        <v>1006</v>
      </c>
      <c r="B294" s="10" t="s">
        <v>50</v>
      </c>
      <c r="C294" s="10" t="s">
        <v>1007</v>
      </c>
      <c r="D294" s="16" t="s">
        <v>1008</v>
      </c>
      <c r="E294" s="10">
        <v>1993</v>
      </c>
      <c r="F294" t="s">
        <v>2661</v>
      </c>
      <c r="G294" s="10" t="s">
        <v>34</v>
      </c>
      <c r="H294" s="10" t="s">
        <v>217</v>
      </c>
      <c r="I294" s="10" t="s">
        <v>1009</v>
      </c>
      <c r="J294" s="10" t="s">
        <v>1012</v>
      </c>
      <c r="K294" s="10">
        <v>3</v>
      </c>
      <c r="L294" s="10">
        <v>3</v>
      </c>
      <c r="N294" s="10">
        <v>3.1</v>
      </c>
      <c r="O294" s="10"/>
      <c r="P294" s="10">
        <v>2.56</v>
      </c>
      <c r="Q294" s="10"/>
      <c r="R294" s="10"/>
      <c r="S294" s="10"/>
      <c r="T294" s="10"/>
      <c r="U294" s="10"/>
      <c r="V294" s="10"/>
      <c r="W294" s="10">
        <v>3.3</v>
      </c>
      <c r="X294" s="10"/>
      <c r="Y294" s="10">
        <v>2.4</v>
      </c>
      <c r="Z294" s="10"/>
      <c r="AA294" s="10"/>
      <c r="AB294" s="10"/>
      <c r="AC294" s="10"/>
      <c r="AD294" s="14">
        <f t="shared" ref="AD294:AD308" si="50">W294/N294</f>
        <v>1.064516129032258</v>
      </c>
      <c r="AE294" s="14">
        <f t="shared" ref="AE294:AE308" si="51">Y294/P294</f>
        <v>0.9375</v>
      </c>
      <c r="AF294" s="10"/>
      <c r="AG294" s="10"/>
      <c r="AH294" s="10"/>
      <c r="AI294" s="14">
        <f>AD294+AE294</f>
        <v>2.002016129032258</v>
      </c>
      <c r="AJ294" s="10"/>
      <c r="AK294" s="10"/>
      <c r="AL294" s="10"/>
      <c r="AM294" s="10"/>
      <c r="AN294" s="10"/>
      <c r="AO294" s="10"/>
      <c r="AP294" s="10"/>
      <c r="AQ294" s="10">
        <v>0</v>
      </c>
      <c r="AR294" s="10" t="s">
        <v>308</v>
      </c>
      <c r="AS294" s="10" t="s">
        <v>3</v>
      </c>
      <c r="AT294" s="10" t="s">
        <v>3</v>
      </c>
      <c r="AU294" s="10" t="s">
        <v>2</v>
      </c>
      <c r="AV294" s="10" t="s">
        <v>3</v>
      </c>
      <c r="AW294" s="10"/>
    </row>
    <row r="295" spans="1:49" x14ac:dyDescent="0.3">
      <c r="A295" s="10" t="s">
        <v>1006</v>
      </c>
      <c r="B295" s="10" t="s">
        <v>50</v>
      </c>
      <c r="C295" s="10" t="s">
        <v>1007</v>
      </c>
      <c r="D295" s="16" t="s">
        <v>1008</v>
      </c>
      <c r="E295" s="10">
        <v>1993</v>
      </c>
      <c r="F295" t="s">
        <v>2661</v>
      </c>
      <c r="G295" s="10" t="s">
        <v>34</v>
      </c>
      <c r="H295" s="10" t="s">
        <v>217</v>
      </c>
      <c r="I295" s="10" t="s">
        <v>1010</v>
      </c>
      <c r="J295" s="10" t="s">
        <v>1012</v>
      </c>
      <c r="K295" s="10">
        <v>3</v>
      </c>
      <c r="L295" s="10">
        <v>3</v>
      </c>
      <c r="N295" s="10">
        <v>4.16</v>
      </c>
      <c r="O295" s="10"/>
      <c r="P295" s="10">
        <v>2.78</v>
      </c>
      <c r="Q295" s="10"/>
      <c r="R295" s="10"/>
      <c r="S295" s="10"/>
      <c r="T295" s="10"/>
      <c r="U295" s="10"/>
      <c r="V295" s="10"/>
      <c r="W295" s="10">
        <v>3.37</v>
      </c>
      <c r="X295" s="10"/>
      <c r="Y295" s="10">
        <v>2.08</v>
      </c>
      <c r="Z295" s="10"/>
      <c r="AA295" s="10"/>
      <c r="AB295" s="10"/>
      <c r="AC295" s="10"/>
      <c r="AD295" s="14">
        <f t="shared" si="50"/>
        <v>0.81009615384615385</v>
      </c>
      <c r="AE295" s="14">
        <f t="shared" si="51"/>
        <v>0.74820143884892099</v>
      </c>
      <c r="AF295" s="10"/>
      <c r="AG295" s="10"/>
      <c r="AH295" s="10"/>
      <c r="AI295" s="14">
        <f t="shared" ref="AI295:AI297" si="52">AD295+AE295</f>
        <v>1.5582975926950748</v>
      </c>
      <c r="AJ295" s="10"/>
      <c r="AK295" s="10"/>
      <c r="AL295" s="10"/>
      <c r="AM295" s="10"/>
      <c r="AN295" s="10"/>
      <c r="AO295" s="10"/>
      <c r="AP295" s="10"/>
      <c r="AQ295" s="10">
        <v>50</v>
      </c>
      <c r="AR295" s="10" t="s">
        <v>14</v>
      </c>
      <c r="AS295" s="10" t="s">
        <v>3</v>
      </c>
      <c r="AT295" s="10" t="s">
        <v>3</v>
      </c>
      <c r="AU295" s="10" t="s">
        <v>2</v>
      </c>
      <c r="AV295" s="10" t="s">
        <v>3</v>
      </c>
      <c r="AW295" s="10"/>
    </row>
    <row r="296" spans="1:49" x14ac:dyDescent="0.3">
      <c r="A296" s="10" t="s">
        <v>1006</v>
      </c>
      <c r="B296" s="10" t="s">
        <v>50</v>
      </c>
      <c r="C296" s="10" t="s">
        <v>1007</v>
      </c>
      <c r="D296" s="16" t="s">
        <v>1008</v>
      </c>
      <c r="E296" s="10">
        <v>1993</v>
      </c>
      <c r="F296" t="s">
        <v>2661</v>
      </c>
      <c r="G296" s="10" t="s">
        <v>34</v>
      </c>
      <c r="H296" s="10" t="s">
        <v>217</v>
      </c>
      <c r="I296" s="10" t="s">
        <v>1011</v>
      </c>
      <c r="J296" s="10" t="s">
        <v>1012</v>
      </c>
      <c r="K296" s="10">
        <v>3</v>
      </c>
      <c r="L296" s="10">
        <v>3</v>
      </c>
      <c r="N296" s="10">
        <v>4.58</v>
      </c>
      <c r="O296" s="10"/>
      <c r="P296" s="10">
        <v>2.4300000000000002</v>
      </c>
      <c r="Q296" s="10"/>
      <c r="R296" s="10"/>
      <c r="S296" s="10"/>
      <c r="T296" s="10"/>
      <c r="U296" s="10"/>
      <c r="V296" s="10"/>
      <c r="W296" s="10">
        <v>4.3499999999999996</v>
      </c>
      <c r="X296" s="10"/>
      <c r="Y296" s="10">
        <v>2.37</v>
      </c>
      <c r="Z296" s="10"/>
      <c r="AA296" s="10"/>
      <c r="AB296" s="10"/>
      <c r="AC296" s="10"/>
      <c r="AD296" s="14">
        <f t="shared" si="50"/>
        <v>0.94978165938864623</v>
      </c>
      <c r="AE296" s="14">
        <f t="shared" si="51"/>
        <v>0.97530864197530864</v>
      </c>
      <c r="AF296" s="10"/>
      <c r="AG296" s="10"/>
      <c r="AH296" s="10"/>
      <c r="AI296" s="14">
        <f t="shared" si="52"/>
        <v>1.9250903013639549</v>
      </c>
      <c r="AJ296" s="10"/>
      <c r="AK296" s="10"/>
      <c r="AL296" s="10"/>
      <c r="AM296" s="10"/>
      <c r="AN296" s="10"/>
      <c r="AO296" s="10"/>
      <c r="AP296" s="10"/>
      <c r="AQ296" s="10">
        <v>50</v>
      </c>
      <c r="AR296" s="10" t="s">
        <v>14</v>
      </c>
      <c r="AS296" s="10" t="s">
        <v>3</v>
      </c>
      <c r="AT296" s="10" t="s">
        <v>3</v>
      </c>
      <c r="AU296" s="10" t="s">
        <v>2</v>
      </c>
      <c r="AV296" s="10" t="s">
        <v>3</v>
      </c>
      <c r="AW296" s="10"/>
    </row>
    <row r="297" spans="1:49" x14ac:dyDescent="0.3">
      <c r="A297" s="10" t="s">
        <v>1014</v>
      </c>
      <c r="B297" s="10" t="s">
        <v>637</v>
      </c>
      <c r="C297" s="10" t="s">
        <v>841</v>
      </c>
      <c r="D297" s="16" t="s">
        <v>1015</v>
      </c>
      <c r="E297" s="10">
        <v>1996</v>
      </c>
      <c r="F297" t="s">
        <v>2661</v>
      </c>
      <c r="G297" s="10" t="s">
        <v>1013</v>
      </c>
      <c r="H297" s="10" t="s">
        <v>217</v>
      </c>
      <c r="I297" s="10" t="s">
        <v>1017</v>
      </c>
      <c r="J297" s="10" t="s">
        <v>1016</v>
      </c>
      <c r="K297" s="10">
        <v>2</v>
      </c>
      <c r="L297" s="10">
        <v>2</v>
      </c>
      <c r="N297" s="10">
        <v>4161</v>
      </c>
      <c r="O297" s="10"/>
      <c r="P297" s="10">
        <v>648</v>
      </c>
      <c r="Q297" s="10"/>
      <c r="R297" s="10"/>
      <c r="S297" s="10"/>
      <c r="T297" s="10"/>
      <c r="U297" s="10"/>
      <c r="V297" s="10"/>
      <c r="W297" s="10">
        <v>3397</v>
      </c>
      <c r="X297" s="10"/>
      <c r="Y297" s="10">
        <v>381</v>
      </c>
      <c r="Z297" s="10"/>
      <c r="AA297" s="10"/>
      <c r="AB297" s="10"/>
      <c r="AC297" s="10"/>
      <c r="AD297" s="14">
        <f t="shared" si="50"/>
        <v>0.81639029079548187</v>
      </c>
      <c r="AE297" s="14">
        <f t="shared" si="51"/>
        <v>0.58796296296296291</v>
      </c>
      <c r="AF297" s="10"/>
      <c r="AG297" s="10"/>
      <c r="AH297" s="10"/>
      <c r="AI297" s="14">
        <f t="shared" si="52"/>
        <v>1.4043532537584449</v>
      </c>
      <c r="AJ297" s="10"/>
      <c r="AK297" s="10"/>
      <c r="AL297" s="10"/>
      <c r="AM297" s="10"/>
      <c r="AN297" s="10"/>
      <c r="AO297" s="10"/>
      <c r="AP297" s="10"/>
      <c r="AQ297" s="10">
        <v>0</v>
      </c>
      <c r="AR297" s="10"/>
      <c r="AS297" s="10" t="s">
        <v>3</v>
      </c>
      <c r="AT297" s="10"/>
      <c r="AU297" s="10" t="s">
        <v>2</v>
      </c>
      <c r="AV297" s="10" t="s">
        <v>3</v>
      </c>
      <c r="AW297" s="10"/>
    </row>
    <row r="298" spans="1:49" x14ac:dyDescent="0.3">
      <c r="A298" s="10" t="s">
        <v>1014</v>
      </c>
      <c r="B298" s="10" t="s">
        <v>637</v>
      </c>
      <c r="C298" s="10" t="s">
        <v>841</v>
      </c>
      <c r="D298" s="16" t="s">
        <v>1015</v>
      </c>
      <c r="E298" s="10">
        <v>1996</v>
      </c>
      <c r="F298" t="s">
        <v>2661</v>
      </c>
      <c r="G298" s="10" t="s">
        <v>1013</v>
      </c>
      <c r="H298" s="10" t="s">
        <v>217</v>
      </c>
      <c r="I298" s="10" t="s">
        <v>1018</v>
      </c>
      <c r="J298" s="10" t="s">
        <v>1016</v>
      </c>
      <c r="K298" s="10">
        <v>2</v>
      </c>
      <c r="L298" s="10">
        <v>2</v>
      </c>
      <c r="N298" s="10">
        <v>4975</v>
      </c>
      <c r="O298" s="10"/>
      <c r="P298" s="10">
        <v>865</v>
      </c>
      <c r="Q298" s="10"/>
      <c r="R298" s="10"/>
      <c r="S298" s="10"/>
      <c r="T298" s="10"/>
      <c r="U298" s="10"/>
      <c r="V298" s="10"/>
      <c r="W298" s="10">
        <v>3652</v>
      </c>
      <c r="X298" s="10"/>
      <c r="Y298" s="10">
        <v>531</v>
      </c>
      <c r="Z298" s="10"/>
      <c r="AA298" s="10"/>
      <c r="AB298" s="10"/>
      <c r="AC298" s="10"/>
      <c r="AD298" s="14">
        <f t="shared" si="50"/>
        <v>0.73407035175879398</v>
      </c>
      <c r="AE298" s="14">
        <f t="shared" si="51"/>
        <v>0.61387283236994217</v>
      </c>
      <c r="AF298" s="10"/>
      <c r="AG298" s="10"/>
      <c r="AH298" s="10"/>
      <c r="AI298" s="14">
        <f t="shared" ref="AI298:AI312" si="53">AD298+AE298</f>
        <v>1.3479431841287361</v>
      </c>
      <c r="AJ298" s="10"/>
      <c r="AK298" s="10"/>
      <c r="AL298" s="10"/>
      <c r="AM298" s="10"/>
      <c r="AN298" s="10"/>
      <c r="AO298" s="10"/>
      <c r="AP298" s="10"/>
      <c r="AQ298" s="10">
        <v>20</v>
      </c>
      <c r="AR298" s="10" t="s">
        <v>14</v>
      </c>
      <c r="AS298" s="10" t="s">
        <v>3</v>
      </c>
      <c r="AT298" s="10"/>
      <c r="AU298" s="10" t="s">
        <v>2</v>
      </c>
      <c r="AV298" s="10" t="s">
        <v>3</v>
      </c>
      <c r="AW298" s="10"/>
    </row>
    <row r="299" spans="1:49" x14ac:dyDescent="0.3">
      <c r="A299" s="10" t="s">
        <v>1014</v>
      </c>
      <c r="B299" s="10" t="s">
        <v>637</v>
      </c>
      <c r="C299" s="10" t="s">
        <v>841</v>
      </c>
      <c r="D299" s="16" t="s">
        <v>1015</v>
      </c>
      <c r="E299" s="10">
        <v>1996</v>
      </c>
      <c r="F299" t="s">
        <v>2661</v>
      </c>
      <c r="G299" s="10" t="s">
        <v>1013</v>
      </c>
      <c r="H299" s="10" t="s">
        <v>217</v>
      </c>
      <c r="I299" s="10" t="s">
        <v>1019</v>
      </c>
      <c r="J299" s="10" t="s">
        <v>1016</v>
      </c>
      <c r="K299" s="10">
        <v>2</v>
      </c>
      <c r="L299" s="10">
        <v>2</v>
      </c>
      <c r="N299" s="10">
        <v>5431</v>
      </c>
      <c r="O299" s="10"/>
      <c r="P299" s="10">
        <v>1086</v>
      </c>
      <c r="Q299" s="10"/>
      <c r="R299" s="10"/>
      <c r="S299" s="10"/>
      <c r="T299" s="10"/>
      <c r="U299" s="10"/>
      <c r="V299" s="10"/>
      <c r="W299" s="10">
        <v>4951</v>
      </c>
      <c r="X299" s="10"/>
      <c r="Y299" s="10">
        <v>554</v>
      </c>
      <c r="Z299" s="10"/>
      <c r="AA299" s="10"/>
      <c r="AB299" s="10"/>
      <c r="AC299" s="10"/>
      <c r="AD299" s="14">
        <f t="shared" si="50"/>
        <v>0.91161848646658072</v>
      </c>
      <c r="AE299" s="14">
        <f t="shared" si="51"/>
        <v>0.5101289134438306</v>
      </c>
      <c r="AF299" s="10"/>
      <c r="AG299" s="10"/>
      <c r="AH299" s="10"/>
      <c r="AI299" s="14">
        <f t="shared" si="53"/>
        <v>1.4217473999104113</v>
      </c>
      <c r="AJ299" s="10"/>
      <c r="AK299" s="10"/>
      <c r="AL299" s="10"/>
      <c r="AM299" s="10"/>
      <c r="AN299" s="10"/>
      <c r="AO299" s="10"/>
      <c r="AP299" s="10"/>
      <c r="AQ299" s="10">
        <v>40</v>
      </c>
      <c r="AR299" s="10" t="s">
        <v>14</v>
      </c>
      <c r="AS299" s="10" t="s">
        <v>3</v>
      </c>
      <c r="AT299" s="10"/>
      <c r="AU299" s="10" t="s">
        <v>2</v>
      </c>
      <c r="AV299" s="10" t="s">
        <v>3</v>
      </c>
      <c r="AW299" s="10"/>
    </row>
    <row r="300" spans="1:49" x14ac:dyDescent="0.3">
      <c r="A300" t="s">
        <v>1014</v>
      </c>
      <c r="B300" t="s">
        <v>637</v>
      </c>
      <c r="C300" t="s">
        <v>841</v>
      </c>
      <c r="D300" s="4" t="s">
        <v>1015</v>
      </c>
      <c r="E300">
        <v>1996</v>
      </c>
      <c r="F300" t="s">
        <v>2661</v>
      </c>
      <c r="G300" t="s">
        <v>1013</v>
      </c>
      <c r="H300" t="s">
        <v>217</v>
      </c>
      <c r="I300" t="s">
        <v>1020</v>
      </c>
      <c r="J300" t="s">
        <v>1016</v>
      </c>
      <c r="K300">
        <v>2</v>
      </c>
      <c r="L300">
        <v>2</v>
      </c>
      <c r="N300">
        <v>4161</v>
      </c>
      <c r="P300">
        <v>1493</v>
      </c>
      <c r="W300">
        <v>3465</v>
      </c>
      <c r="Y300">
        <v>680</v>
      </c>
      <c r="AD300" s="3">
        <f t="shared" si="50"/>
        <v>0.83273251622206201</v>
      </c>
      <c r="AE300" s="3">
        <f t="shared" si="51"/>
        <v>0.45545880776959141</v>
      </c>
      <c r="AI300" s="3">
        <f t="shared" si="53"/>
        <v>1.2881913239916534</v>
      </c>
      <c r="AQ300">
        <v>0</v>
      </c>
      <c r="AS300" t="s">
        <v>3</v>
      </c>
      <c r="AU300" t="s">
        <v>2</v>
      </c>
      <c r="AV300" s="10" t="s">
        <v>3</v>
      </c>
    </row>
    <row r="301" spans="1:49" x14ac:dyDescent="0.3">
      <c r="A301" t="s">
        <v>1014</v>
      </c>
      <c r="B301" t="s">
        <v>637</v>
      </c>
      <c r="C301" t="s">
        <v>841</v>
      </c>
      <c r="D301" s="4" t="s">
        <v>1015</v>
      </c>
      <c r="E301">
        <v>1996</v>
      </c>
      <c r="F301" t="s">
        <v>2661</v>
      </c>
      <c r="G301" t="s">
        <v>1013</v>
      </c>
      <c r="H301" t="s">
        <v>217</v>
      </c>
      <c r="I301" t="s">
        <v>1021</v>
      </c>
      <c r="J301" t="s">
        <v>1016</v>
      </c>
      <c r="K301">
        <v>2</v>
      </c>
      <c r="L301">
        <v>2</v>
      </c>
      <c r="N301">
        <v>4975</v>
      </c>
      <c r="P301">
        <v>1444</v>
      </c>
      <c r="W301">
        <v>3223</v>
      </c>
      <c r="Y301">
        <v>516</v>
      </c>
      <c r="AD301" s="3">
        <f t="shared" si="50"/>
        <v>0.64783919597989947</v>
      </c>
      <c r="AE301" s="3">
        <f t="shared" si="51"/>
        <v>0.35734072022160662</v>
      </c>
      <c r="AI301" s="3">
        <f t="shared" si="53"/>
        <v>1.005179916201506</v>
      </c>
      <c r="AQ301">
        <v>20</v>
      </c>
      <c r="AR301" t="s">
        <v>14</v>
      </c>
      <c r="AS301" t="s">
        <v>3</v>
      </c>
      <c r="AU301" t="s">
        <v>2</v>
      </c>
      <c r="AV301" s="10" t="s">
        <v>3</v>
      </c>
    </row>
    <row r="302" spans="1:49" x14ac:dyDescent="0.3">
      <c r="A302" t="s">
        <v>1014</v>
      </c>
      <c r="B302" t="s">
        <v>637</v>
      </c>
      <c r="C302" t="s">
        <v>841</v>
      </c>
      <c r="D302" s="4" t="s">
        <v>1015</v>
      </c>
      <c r="E302">
        <v>1996</v>
      </c>
      <c r="F302" t="s">
        <v>2661</v>
      </c>
      <c r="G302" t="s">
        <v>1013</v>
      </c>
      <c r="H302" t="s">
        <v>217</v>
      </c>
      <c r="I302" t="s">
        <v>1022</v>
      </c>
      <c r="J302" t="s">
        <v>1016</v>
      </c>
      <c r="K302">
        <v>2</v>
      </c>
      <c r="L302">
        <v>2</v>
      </c>
      <c r="N302">
        <v>5431</v>
      </c>
      <c r="P302">
        <v>1532</v>
      </c>
      <c r="W302">
        <v>5913</v>
      </c>
      <c r="Y302">
        <v>634</v>
      </c>
      <c r="AD302" s="3">
        <f t="shared" si="50"/>
        <v>1.0887497698398085</v>
      </c>
      <c r="AE302" s="3">
        <f t="shared" si="51"/>
        <v>0.41383812010443866</v>
      </c>
      <c r="AI302" s="3">
        <f t="shared" si="53"/>
        <v>1.5025878899442473</v>
      </c>
      <c r="AQ302">
        <v>40</v>
      </c>
      <c r="AR302" t="s">
        <v>14</v>
      </c>
      <c r="AS302" t="s">
        <v>3</v>
      </c>
      <c r="AU302" t="s">
        <v>2</v>
      </c>
      <c r="AV302" s="10" t="s">
        <v>3</v>
      </c>
    </row>
    <row r="303" spans="1:49" x14ac:dyDescent="0.3">
      <c r="A303" t="s">
        <v>1014</v>
      </c>
      <c r="B303" t="s">
        <v>637</v>
      </c>
      <c r="C303" t="s">
        <v>841</v>
      </c>
      <c r="D303" s="4" t="s">
        <v>1015</v>
      </c>
      <c r="E303">
        <v>1996</v>
      </c>
      <c r="F303" t="s">
        <v>2661</v>
      </c>
      <c r="G303" t="s">
        <v>1013</v>
      </c>
      <c r="H303" t="s">
        <v>217</v>
      </c>
      <c r="I303" t="s">
        <v>1023</v>
      </c>
      <c r="J303" t="s">
        <v>1016</v>
      </c>
      <c r="K303">
        <v>2</v>
      </c>
      <c r="L303">
        <v>2</v>
      </c>
      <c r="N303">
        <v>4161</v>
      </c>
      <c r="P303">
        <v>656</v>
      </c>
      <c r="W303">
        <v>2794</v>
      </c>
      <c r="Y303">
        <v>529</v>
      </c>
      <c r="AD303" s="3">
        <f t="shared" si="50"/>
        <v>0.67147320355683726</v>
      </c>
      <c r="AE303" s="3">
        <f t="shared" si="51"/>
        <v>0.80640243902439024</v>
      </c>
      <c r="AI303" s="3">
        <f t="shared" si="53"/>
        <v>1.4778756425812274</v>
      </c>
      <c r="AQ303">
        <v>0</v>
      </c>
      <c r="AS303" t="s">
        <v>3</v>
      </c>
      <c r="AU303" t="s">
        <v>2</v>
      </c>
      <c r="AV303" s="10" t="s">
        <v>3</v>
      </c>
    </row>
    <row r="304" spans="1:49" x14ac:dyDescent="0.3">
      <c r="A304" t="s">
        <v>1014</v>
      </c>
      <c r="B304" t="s">
        <v>637</v>
      </c>
      <c r="C304" t="s">
        <v>841</v>
      </c>
      <c r="D304" s="4" t="s">
        <v>1015</v>
      </c>
      <c r="E304">
        <v>1996</v>
      </c>
      <c r="F304" t="s">
        <v>2661</v>
      </c>
      <c r="G304" t="s">
        <v>1013</v>
      </c>
      <c r="H304" t="s">
        <v>217</v>
      </c>
      <c r="I304" t="s">
        <v>1024</v>
      </c>
      <c r="J304" t="s">
        <v>1016</v>
      </c>
      <c r="K304">
        <v>2</v>
      </c>
      <c r="L304">
        <v>2</v>
      </c>
      <c r="N304">
        <v>4975</v>
      </c>
      <c r="P304">
        <v>1422</v>
      </c>
      <c r="W304">
        <v>4066</v>
      </c>
      <c r="Y304">
        <v>503</v>
      </c>
      <c r="AD304" s="3">
        <f t="shared" si="50"/>
        <v>0.81728643216080399</v>
      </c>
      <c r="AE304" s="3">
        <f t="shared" si="51"/>
        <v>0.35372714486638535</v>
      </c>
      <c r="AI304" s="3">
        <f t="shared" si="53"/>
        <v>1.1710135770271894</v>
      </c>
      <c r="AQ304">
        <v>20</v>
      </c>
      <c r="AR304" t="s">
        <v>14</v>
      </c>
      <c r="AS304" t="s">
        <v>3</v>
      </c>
      <c r="AU304" t="s">
        <v>2</v>
      </c>
      <c r="AV304" s="10" t="s">
        <v>3</v>
      </c>
    </row>
    <row r="305" spans="1:48" x14ac:dyDescent="0.3">
      <c r="A305" t="s">
        <v>1014</v>
      </c>
      <c r="B305" t="s">
        <v>637</v>
      </c>
      <c r="C305" t="s">
        <v>841</v>
      </c>
      <c r="D305" s="4" t="s">
        <v>1015</v>
      </c>
      <c r="E305">
        <v>1996</v>
      </c>
      <c r="F305" t="s">
        <v>2661</v>
      </c>
      <c r="G305" t="s">
        <v>1013</v>
      </c>
      <c r="H305" t="s">
        <v>217</v>
      </c>
      <c r="I305" t="s">
        <v>1025</v>
      </c>
      <c r="J305" t="s">
        <v>1016</v>
      </c>
      <c r="K305">
        <v>2</v>
      </c>
      <c r="L305">
        <v>2</v>
      </c>
      <c r="N305">
        <v>5431</v>
      </c>
      <c r="P305">
        <v>943</v>
      </c>
      <c r="W305">
        <v>5176</v>
      </c>
      <c r="Y305">
        <v>567</v>
      </c>
      <c r="AD305" s="3">
        <f t="shared" si="50"/>
        <v>0.95304732093537103</v>
      </c>
      <c r="AE305" s="3">
        <f t="shared" si="51"/>
        <v>0.60127253446447504</v>
      </c>
      <c r="AI305" s="3">
        <f t="shared" si="53"/>
        <v>1.5543198553998461</v>
      </c>
      <c r="AQ305">
        <v>40</v>
      </c>
      <c r="AR305" t="s">
        <v>14</v>
      </c>
      <c r="AS305" t="s">
        <v>3</v>
      </c>
      <c r="AU305" t="s">
        <v>2</v>
      </c>
      <c r="AV305" s="10" t="s">
        <v>3</v>
      </c>
    </row>
    <row r="306" spans="1:48" x14ac:dyDescent="0.3">
      <c r="A306" t="s">
        <v>1014</v>
      </c>
      <c r="B306" t="s">
        <v>637</v>
      </c>
      <c r="C306" t="s">
        <v>841</v>
      </c>
      <c r="D306" s="4" t="s">
        <v>1015</v>
      </c>
      <c r="E306">
        <v>1996</v>
      </c>
      <c r="F306" t="s">
        <v>2661</v>
      </c>
      <c r="G306" t="s">
        <v>1013</v>
      </c>
      <c r="H306" t="s">
        <v>217</v>
      </c>
      <c r="I306" t="s">
        <v>1026</v>
      </c>
      <c r="J306" t="s">
        <v>1016</v>
      </c>
      <c r="K306">
        <v>2</v>
      </c>
      <c r="L306">
        <v>2</v>
      </c>
      <c r="N306">
        <v>4161</v>
      </c>
      <c r="P306">
        <v>1142</v>
      </c>
      <c r="W306">
        <v>3462</v>
      </c>
      <c r="Y306">
        <v>577</v>
      </c>
      <c r="AD306" s="3">
        <f t="shared" si="50"/>
        <v>0.83201153568853636</v>
      </c>
      <c r="AE306" s="3">
        <f t="shared" si="51"/>
        <v>0.50525394045534155</v>
      </c>
      <c r="AI306" s="3">
        <f t="shared" si="53"/>
        <v>1.337265476143878</v>
      </c>
      <c r="AQ306">
        <v>0</v>
      </c>
      <c r="AS306" t="s">
        <v>3</v>
      </c>
      <c r="AU306" t="s">
        <v>2</v>
      </c>
      <c r="AV306" s="10" t="s">
        <v>3</v>
      </c>
    </row>
    <row r="307" spans="1:48" x14ac:dyDescent="0.3">
      <c r="A307" t="s">
        <v>1014</v>
      </c>
      <c r="B307" t="s">
        <v>637</v>
      </c>
      <c r="C307" t="s">
        <v>841</v>
      </c>
      <c r="D307" s="4" t="s">
        <v>1015</v>
      </c>
      <c r="E307">
        <v>1996</v>
      </c>
      <c r="F307" t="s">
        <v>2661</v>
      </c>
      <c r="G307" t="s">
        <v>1013</v>
      </c>
      <c r="H307" t="s">
        <v>217</v>
      </c>
      <c r="I307" t="s">
        <v>1027</v>
      </c>
      <c r="J307" t="s">
        <v>1016</v>
      </c>
      <c r="K307">
        <v>2</v>
      </c>
      <c r="L307">
        <v>2</v>
      </c>
      <c r="N307">
        <v>4975</v>
      </c>
      <c r="P307">
        <v>978</v>
      </c>
      <c r="W307">
        <v>4888</v>
      </c>
      <c r="Y307">
        <v>555</v>
      </c>
      <c r="AD307" s="3">
        <f t="shared" si="50"/>
        <v>0.9825125628140704</v>
      </c>
      <c r="AE307" s="3">
        <f t="shared" si="51"/>
        <v>0.56748466257668717</v>
      </c>
      <c r="AI307" s="3">
        <f t="shared" si="53"/>
        <v>1.5499972253907575</v>
      </c>
      <c r="AQ307">
        <v>20</v>
      </c>
      <c r="AR307" t="s">
        <v>14</v>
      </c>
      <c r="AS307" t="s">
        <v>3</v>
      </c>
      <c r="AU307" t="s">
        <v>2</v>
      </c>
      <c r="AV307" s="10" t="s">
        <v>3</v>
      </c>
    </row>
    <row r="308" spans="1:48" x14ac:dyDescent="0.3">
      <c r="A308" t="s">
        <v>1014</v>
      </c>
      <c r="B308" t="s">
        <v>637</v>
      </c>
      <c r="C308" t="s">
        <v>841</v>
      </c>
      <c r="D308" s="4" t="s">
        <v>1015</v>
      </c>
      <c r="E308">
        <v>1996</v>
      </c>
      <c r="F308" t="s">
        <v>2661</v>
      </c>
      <c r="G308" t="s">
        <v>1013</v>
      </c>
      <c r="H308" t="s">
        <v>217</v>
      </c>
      <c r="I308" t="s">
        <v>1028</v>
      </c>
      <c r="J308" t="s">
        <v>1016</v>
      </c>
      <c r="K308">
        <v>2</v>
      </c>
      <c r="L308">
        <v>2</v>
      </c>
      <c r="N308">
        <v>5431</v>
      </c>
      <c r="P308">
        <v>1261</v>
      </c>
      <c r="W308">
        <v>4805</v>
      </c>
      <c r="Y308">
        <v>655</v>
      </c>
      <c r="AD308" s="3">
        <f t="shared" si="50"/>
        <v>0.88473577610016574</v>
      </c>
      <c r="AE308" s="3">
        <f t="shared" si="51"/>
        <v>0.5194290245836638</v>
      </c>
      <c r="AI308" s="3">
        <f t="shared" si="53"/>
        <v>1.4041648006838297</v>
      </c>
      <c r="AQ308">
        <v>40</v>
      </c>
      <c r="AR308" t="s">
        <v>14</v>
      </c>
      <c r="AS308" t="s">
        <v>3</v>
      </c>
      <c r="AU308" t="s">
        <v>2</v>
      </c>
      <c r="AV308" s="10" t="s">
        <v>3</v>
      </c>
    </row>
    <row r="309" spans="1:48" x14ac:dyDescent="0.3">
      <c r="A309" t="s">
        <v>1035</v>
      </c>
      <c r="B309" t="s">
        <v>1029</v>
      </c>
      <c r="C309" t="s">
        <v>1030</v>
      </c>
      <c r="E309">
        <v>1988</v>
      </c>
      <c r="F309" t="s">
        <v>2661</v>
      </c>
      <c r="G309" t="s">
        <v>34</v>
      </c>
      <c r="H309" t="s">
        <v>217</v>
      </c>
      <c r="I309" t="s">
        <v>1009</v>
      </c>
      <c r="J309" t="s">
        <v>1031</v>
      </c>
      <c r="K309">
        <v>3</v>
      </c>
      <c r="L309">
        <v>3</v>
      </c>
      <c r="N309" s="3">
        <f>W309/AD309</f>
        <v>1.3731343283582089</v>
      </c>
      <c r="P309" s="3">
        <f>Y309/AE309</f>
        <v>1.1468749999999999</v>
      </c>
      <c r="W309">
        <v>0.92</v>
      </c>
      <c r="Y309">
        <v>0.73399999999999999</v>
      </c>
      <c r="AD309">
        <v>0.67</v>
      </c>
      <c r="AE309">
        <v>0.64</v>
      </c>
      <c r="AI309" s="3">
        <f t="shared" si="53"/>
        <v>1.31</v>
      </c>
      <c r="AQ309">
        <v>0</v>
      </c>
      <c r="AS309" t="s">
        <v>2</v>
      </c>
      <c r="AT309" t="s">
        <v>3</v>
      </c>
      <c r="AU309" t="s">
        <v>2</v>
      </c>
      <c r="AV309" s="10" t="s">
        <v>3</v>
      </c>
    </row>
    <row r="310" spans="1:48" x14ac:dyDescent="0.3">
      <c r="A310" t="s">
        <v>1035</v>
      </c>
      <c r="B310" t="s">
        <v>1029</v>
      </c>
      <c r="C310" t="s">
        <v>1030</v>
      </c>
      <c r="E310">
        <v>1988</v>
      </c>
      <c r="F310" t="s">
        <v>2661</v>
      </c>
      <c r="G310" t="s">
        <v>34</v>
      </c>
      <c r="H310" t="s">
        <v>217</v>
      </c>
      <c r="I310" t="s">
        <v>1032</v>
      </c>
      <c r="J310" t="s">
        <v>1031</v>
      </c>
      <c r="K310">
        <v>3</v>
      </c>
      <c r="L310">
        <v>3</v>
      </c>
      <c r="N310" s="3">
        <f>W310/AD310</f>
        <v>2.4</v>
      </c>
      <c r="P310" s="3">
        <f>Y310/AE310</f>
        <v>1.1366666666666667</v>
      </c>
      <c r="W310">
        <v>1.92</v>
      </c>
      <c r="Y310">
        <v>0.68200000000000005</v>
      </c>
      <c r="AD310">
        <v>0.8</v>
      </c>
      <c r="AE310">
        <v>0.6</v>
      </c>
      <c r="AI310" s="3">
        <f t="shared" si="53"/>
        <v>1.4</v>
      </c>
      <c r="AQ310">
        <v>30</v>
      </c>
      <c r="AR310" t="s">
        <v>14</v>
      </c>
      <c r="AS310" t="s">
        <v>2</v>
      </c>
      <c r="AT310" t="s">
        <v>3</v>
      </c>
      <c r="AU310" t="s">
        <v>2</v>
      </c>
      <c r="AV310" s="10" t="s">
        <v>3</v>
      </c>
    </row>
    <row r="311" spans="1:48" x14ac:dyDescent="0.3">
      <c r="A311" t="s">
        <v>1035</v>
      </c>
      <c r="B311" t="s">
        <v>1029</v>
      </c>
      <c r="C311" t="s">
        <v>1030</v>
      </c>
      <c r="E311">
        <v>1988</v>
      </c>
      <c r="F311" t="s">
        <v>2661</v>
      </c>
      <c r="G311" t="s">
        <v>34</v>
      </c>
      <c r="H311" t="s">
        <v>217</v>
      </c>
      <c r="I311" t="s">
        <v>1033</v>
      </c>
      <c r="J311" t="s">
        <v>1031</v>
      </c>
      <c r="K311">
        <v>3</v>
      </c>
      <c r="L311">
        <v>3</v>
      </c>
      <c r="N311" s="3">
        <f>W311/AD311</f>
        <v>3.1951219512195124</v>
      </c>
      <c r="P311" s="3">
        <f>Y311/AE311</f>
        <v>1.1488888888888888</v>
      </c>
      <c r="W311">
        <v>2.62</v>
      </c>
      <c r="Y311">
        <v>0.51700000000000002</v>
      </c>
      <c r="AD311">
        <v>0.82</v>
      </c>
      <c r="AE311">
        <v>0.45</v>
      </c>
      <c r="AI311" s="3">
        <f t="shared" si="53"/>
        <v>1.27</v>
      </c>
      <c r="AQ311">
        <v>60</v>
      </c>
      <c r="AR311" t="s">
        <v>14</v>
      </c>
      <c r="AS311" t="s">
        <v>2</v>
      </c>
      <c r="AT311" t="s">
        <v>3</v>
      </c>
      <c r="AU311" t="s">
        <v>2</v>
      </c>
      <c r="AV311" s="10" t="s">
        <v>3</v>
      </c>
    </row>
    <row r="312" spans="1:48" x14ac:dyDescent="0.3">
      <c r="A312" t="s">
        <v>1035</v>
      </c>
      <c r="B312" t="s">
        <v>1029</v>
      </c>
      <c r="C312" t="s">
        <v>1030</v>
      </c>
      <c r="E312">
        <v>1988</v>
      </c>
      <c r="F312" t="s">
        <v>2661</v>
      </c>
      <c r="G312" t="s">
        <v>34</v>
      </c>
      <c r="H312" t="s">
        <v>217</v>
      </c>
      <c r="I312" t="s">
        <v>1034</v>
      </c>
      <c r="J312" t="s">
        <v>1031</v>
      </c>
      <c r="K312">
        <v>3</v>
      </c>
      <c r="L312">
        <v>3</v>
      </c>
      <c r="N312" s="3">
        <f>W312/AD312</f>
        <v>3.3404255319148941</v>
      </c>
      <c r="P312" s="3">
        <f>Y312/AE312</f>
        <v>1.1522727272727273</v>
      </c>
      <c r="W312">
        <v>3.14</v>
      </c>
      <c r="Y312">
        <v>0.50700000000000001</v>
      </c>
      <c r="AD312">
        <v>0.94</v>
      </c>
      <c r="AE312">
        <v>0.44</v>
      </c>
      <c r="AI312" s="3">
        <f t="shared" si="53"/>
        <v>1.38</v>
      </c>
      <c r="AQ312">
        <v>90</v>
      </c>
      <c r="AR312" t="s">
        <v>14</v>
      </c>
      <c r="AS312" t="s">
        <v>2</v>
      </c>
      <c r="AT312" t="s">
        <v>3</v>
      </c>
      <c r="AU312" t="s">
        <v>2</v>
      </c>
      <c r="AV312" s="10" t="s">
        <v>3</v>
      </c>
    </row>
    <row r="313" spans="1:48" x14ac:dyDescent="0.3">
      <c r="A313" t="s">
        <v>1036</v>
      </c>
      <c r="B313" t="s">
        <v>100</v>
      </c>
      <c r="C313" t="s">
        <v>1037</v>
      </c>
      <c r="D313" s="4" t="s">
        <v>1038</v>
      </c>
      <c r="E313" t="s">
        <v>1044</v>
      </c>
      <c r="F313" t="s">
        <v>2661</v>
      </c>
      <c r="G313" t="s">
        <v>6</v>
      </c>
      <c r="H313" t="s">
        <v>217</v>
      </c>
      <c r="I313" t="s">
        <v>1040</v>
      </c>
      <c r="J313" t="s">
        <v>1039</v>
      </c>
      <c r="K313">
        <v>1</v>
      </c>
      <c r="L313">
        <v>1</v>
      </c>
      <c r="N313">
        <v>888.14</v>
      </c>
      <c r="P313">
        <v>800.4</v>
      </c>
      <c r="W313">
        <v>903.14</v>
      </c>
      <c r="Y313">
        <v>807.11</v>
      </c>
      <c r="AD313" s="3">
        <f t="shared" ref="AD313:AD324" si="54">W313/N313</f>
        <v>1.0168892291755804</v>
      </c>
      <c r="AE313" s="3">
        <f t="shared" ref="AE313:AE324" si="55">Y313/P313</f>
        <v>1.0083833083458271</v>
      </c>
      <c r="AI313" s="3">
        <f>AD313+AE313</f>
        <v>2.0252725375214076</v>
      </c>
      <c r="AQ313">
        <v>0</v>
      </c>
      <c r="AU313" t="s">
        <v>2</v>
      </c>
      <c r="AV313" s="10" t="s">
        <v>3</v>
      </c>
    </row>
    <row r="314" spans="1:48" x14ac:dyDescent="0.3">
      <c r="A314" t="s">
        <v>1036</v>
      </c>
      <c r="B314" t="s">
        <v>100</v>
      </c>
      <c r="C314" t="s">
        <v>1037</v>
      </c>
      <c r="D314" s="4" t="s">
        <v>1038</v>
      </c>
      <c r="E314" t="s">
        <v>1044</v>
      </c>
      <c r="F314" t="s">
        <v>2661</v>
      </c>
      <c r="G314" t="s">
        <v>6</v>
      </c>
      <c r="H314" t="s">
        <v>217</v>
      </c>
      <c r="I314" t="s">
        <v>1041</v>
      </c>
      <c r="J314" t="s">
        <v>1039</v>
      </c>
      <c r="K314">
        <v>1</v>
      </c>
      <c r="L314">
        <v>1</v>
      </c>
      <c r="N314">
        <v>980.35</v>
      </c>
      <c r="P314">
        <v>818.24</v>
      </c>
      <c r="W314">
        <v>1153.5</v>
      </c>
      <c r="Y314">
        <v>848.11</v>
      </c>
      <c r="AD314" s="3">
        <f t="shared" si="54"/>
        <v>1.1766205946855715</v>
      </c>
      <c r="AE314" s="3">
        <f t="shared" si="55"/>
        <v>1.0365051818537347</v>
      </c>
      <c r="AI314" s="3">
        <f>AD314+AE314</f>
        <v>2.2131257765393064</v>
      </c>
      <c r="AQ314">
        <v>15</v>
      </c>
      <c r="AR314" t="s">
        <v>14</v>
      </c>
      <c r="AU314" t="s">
        <v>2</v>
      </c>
      <c r="AV314" s="10" t="s">
        <v>3</v>
      </c>
    </row>
    <row r="315" spans="1:48" x14ac:dyDescent="0.3">
      <c r="A315" t="s">
        <v>1036</v>
      </c>
      <c r="B315" t="s">
        <v>100</v>
      </c>
      <c r="C315" t="s">
        <v>1037</v>
      </c>
      <c r="D315" s="4" t="s">
        <v>1038</v>
      </c>
      <c r="E315" t="s">
        <v>1044</v>
      </c>
      <c r="F315" t="s">
        <v>2661</v>
      </c>
      <c r="G315" t="s">
        <v>6</v>
      </c>
      <c r="H315" t="s">
        <v>217</v>
      </c>
      <c r="I315" t="s">
        <v>1042</v>
      </c>
      <c r="J315" t="s">
        <v>1039</v>
      </c>
      <c r="K315">
        <v>1</v>
      </c>
      <c r="L315">
        <v>1</v>
      </c>
      <c r="N315">
        <v>1001.23</v>
      </c>
      <c r="P315">
        <v>823.42</v>
      </c>
      <c r="W315">
        <v>1258.32</v>
      </c>
      <c r="Y315">
        <v>860.36</v>
      </c>
      <c r="AD315" s="3">
        <f t="shared" si="54"/>
        <v>1.2567741677736384</v>
      </c>
      <c r="AE315" s="3">
        <f t="shared" si="55"/>
        <v>1.0448616744796095</v>
      </c>
      <c r="AI315" s="3">
        <f t="shared" ref="AI315:AI324" si="56">AD315+AE315</f>
        <v>2.3016358422532477</v>
      </c>
      <c r="AQ315">
        <v>30</v>
      </c>
      <c r="AR315" t="s">
        <v>14</v>
      </c>
      <c r="AU315" t="s">
        <v>2</v>
      </c>
      <c r="AV315" s="10" t="s">
        <v>3</v>
      </c>
    </row>
    <row r="316" spans="1:48" x14ac:dyDescent="0.3">
      <c r="A316" t="s">
        <v>1036</v>
      </c>
      <c r="B316" t="s">
        <v>100</v>
      </c>
      <c r="C316" t="s">
        <v>1037</v>
      </c>
      <c r="D316" s="4" t="s">
        <v>1038</v>
      </c>
      <c r="E316" t="s">
        <v>1044</v>
      </c>
      <c r="F316" t="s">
        <v>2661</v>
      </c>
      <c r="G316" t="s">
        <v>6</v>
      </c>
      <c r="H316" t="s">
        <v>217</v>
      </c>
      <c r="I316" t="s">
        <v>1043</v>
      </c>
      <c r="J316" t="s">
        <v>1039</v>
      </c>
      <c r="K316">
        <v>1</v>
      </c>
      <c r="L316">
        <v>1</v>
      </c>
      <c r="N316">
        <v>1147.32</v>
      </c>
      <c r="P316">
        <v>840.36</v>
      </c>
      <c r="W316">
        <v>1278.17</v>
      </c>
      <c r="Y316">
        <v>868.22</v>
      </c>
      <c r="AD316" s="3">
        <f t="shared" si="54"/>
        <v>1.1140483910330161</v>
      </c>
      <c r="AE316" s="3">
        <f t="shared" si="55"/>
        <v>1.0331524584701794</v>
      </c>
      <c r="AI316" s="3">
        <f t="shared" si="56"/>
        <v>2.1472008495031956</v>
      </c>
      <c r="AQ316">
        <v>45</v>
      </c>
      <c r="AR316" t="s">
        <v>14</v>
      </c>
      <c r="AU316" t="s">
        <v>2</v>
      </c>
      <c r="AV316" s="10" t="s">
        <v>3</v>
      </c>
    </row>
    <row r="317" spans="1:48" x14ac:dyDescent="0.3">
      <c r="A317" t="s">
        <v>1036</v>
      </c>
      <c r="B317" t="s">
        <v>100</v>
      </c>
      <c r="C317" t="s">
        <v>1037</v>
      </c>
      <c r="D317" s="4" t="s">
        <v>1038</v>
      </c>
      <c r="E317" t="s">
        <v>1044</v>
      </c>
      <c r="F317" t="s">
        <v>2661</v>
      </c>
      <c r="G317" t="s">
        <v>6</v>
      </c>
      <c r="H317" t="s">
        <v>217</v>
      </c>
      <c r="I317" t="s">
        <v>1045</v>
      </c>
      <c r="J317" t="s">
        <v>1039</v>
      </c>
      <c r="K317">
        <v>1</v>
      </c>
      <c r="L317">
        <v>1</v>
      </c>
      <c r="N317">
        <v>1260.53</v>
      </c>
      <c r="P317">
        <v>918.2</v>
      </c>
      <c r="W317">
        <v>1016.21</v>
      </c>
      <c r="Y317">
        <v>900.24</v>
      </c>
      <c r="AD317" s="3">
        <f t="shared" si="54"/>
        <v>0.80617676691550388</v>
      </c>
      <c r="AE317" s="3">
        <f t="shared" si="55"/>
        <v>0.98043999128730119</v>
      </c>
      <c r="AI317" s="3">
        <f t="shared" si="56"/>
        <v>1.786616758202805</v>
      </c>
      <c r="AQ317">
        <v>0</v>
      </c>
      <c r="AU317" t="s">
        <v>2</v>
      </c>
      <c r="AV317" s="10" t="s">
        <v>3</v>
      </c>
    </row>
    <row r="318" spans="1:48" x14ac:dyDescent="0.3">
      <c r="A318" t="s">
        <v>1036</v>
      </c>
      <c r="B318" t="s">
        <v>100</v>
      </c>
      <c r="C318" t="s">
        <v>1037</v>
      </c>
      <c r="D318" s="4" t="s">
        <v>1038</v>
      </c>
      <c r="E318" t="s">
        <v>1044</v>
      </c>
      <c r="F318" t="s">
        <v>2661</v>
      </c>
      <c r="G318" t="s">
        <v>6</v>
      </c>
      <c r="H318" t="s">
        <v>217</v>
      </c>
      <c r="I318" t="s">
        <v>1046</v>
      </c>
      <c r="J318" t="s">
        <v>1039</v>
      </c>
      <c r="K318">
        <v>1</v>
      </c>
      <c r="L318">
        <v>1</v>
      </c>
      <c r="N318">
        <v>1308.1099999999999</v>
      </c>
      <c r="P318">
        <v>904.83</v>
      </c>
      <c r="W318">
        <v>1369.17</v>
      </c>
      <c r="Y318">
        <v>989.72</v>
      </c>
      <c r="AD318" s="3">
        <f t="shared" si="54"/>
        <v>1.0466780316640039</v>
      </c>
      <c r="AE318" s="3">
        <f t="shared" si="55"/>
        <v>1.0938187283799166</v>
      </c>
      <c r="AI318" s="3">
        <f t="shared" si="56"/>
        <v>2.1404967600439204</v>
      </c>
      <c r="AQ318">
        <v>15</v>
      </c>
      <c r="AR318" t="s">
        <v>14</v>
      </c>
      <c r="AU318" t="s">
        <v>2</v>
      </c>
      <c r="AV318" s="10" t="s">
        <v>3</v>
      </c>
    </row>
    <row r="319" spans="1:48" x14ac:dyDescent="0.3">
      <c r="A319" t="s">
        <v>1036</v>
      </c>
      <c r="B319" t="s">
        <v>100</v>
      </c>
      <c r="C319" t="s">
        <v>1037</v>
      </c>
      <c r="D319" s="4" t="s">
        <v>1038</v>
      </c>
      <c r="E319" t="s">
        <v>1044</v>
      </c>
      <c r="F319" t="s">
        <v>2661</v>
      </c>
      <c r="G319" t="s">
        <v>6</v>
      </c>
      <c r="H319" t="s">
        <v>217</v>
      </c>
      <c r="I319" t="s">
        <v>1047</v>
      </c>
      <c r="J319" t="s">
        <v>1039</v>
      </c>
      <c r="K319">
        <v>1</v>
      </c>
      <c r="L319">
        <v>1</v>
      </c>
      <c r="N319">
        <v>1400.11</v>
      </c>
      <c r="P319">
        <v>898.36</v>
      </c>
      <c r="W319">
        <v>1300.1600000000001</v>
      </c>
      <c r="Y319">
        <v>900.42</v>
      </c>
      <c r="AD319" s="3">
        <f t="shared" si="54"/>
        <v>0.92861275185521153</v>
      </c>
      <c r="AE319" s="3">
        <f t="shared" si="55"/>
        <v>1.0022930673672024</v>
      </c>
      <c r="AI319" s="3">
        <f t="shared" si="56"/>
        <v>1.930905819222414</v>
      </c>
      <c r="AQ319">
        <v>30</v>
      </c>
      <c r="AR319" t="s">
        <v>14</v>
      </c>
      <c r="AU319" t="s">
        <v>2</v>
      </c>
      <c r="AV319" s="10" t="s">
        <v>3</v>
      </c>
    </row>
    <row r="320" spans="1:48" x14ac:dyDescent="0.3">
      <c r="A320" t="s">
        <v>1036</v>
      </c>
      <c r="B320" t="s">
        <v>100</v>
      </c>
      <c r="C320" t="s">
        <v>1037</v>
      </c>
      <c r="D320" s="4" t="s">
        <v>1038</v>
      </c>
      <c r="E320" t="s">
        <v>1044</v>
      </c>
      <c r="F320" t="s">
        <v>2661</v>
      </c>
      <c r="G320" t="s">
        <v>6</v>
      </c>
      <c r="H320" t="s">
        <v>217</v>
      </c>
      <c r="I320" t="s">
        <v>1048</v>
      </c>
      <c r="J320" t="s">
        <v>1039</v>
      </c>
      <c r="K320">
        <v>1</v>
      </c>
      <c r="L320">
        <v>1</v>
      </c>
      <c r="N320">
        <v>1441.23</v>
      </c>
      <c r="P320">
        <v>900.76</v>
      </c>
      <c r="W320">
        <v>1290.1500000000001</v>
      </c>
      <c r="Y320">
        <v>943.14</v>
      </c>
      <c r="AD320" s="3">
        <f t="shared" si="54"/>
        <v>0.89517287317083327</v>
      </c>
      <c r="AE320" s="3">
        <f t="shared" si="55"/>
        <v>1.0470491584883876</v>
      </c>
      <c r="AI320" s="3">
        <f t="shared" si="56"/>
        <v>1.9422220316592209</v>
      </c>
      <c r="AQ320">
        <v>45</v>
      </c>
      <c r="AR320" t="s">
        <v>14</v>
      </c>
      <c r="AU320" t="s">
        <v>2</v>
      </c>
      <c r="AV320" s="10" t="s">
        <v>3</v>
      </c>
    </row>
    <row r="321" spans="1:49" x14ac:dyDescent="0.3">
      <c r="A321" t="s">
        <v>1036</v>
      </c>
      <c r="B321" t="s">
        <v>100</v>
      </c>
      <c r="C321" t="s">
        <v>1037</v>
      </c>
      <c r="D321" s="4" t="s">
        <v>1038</v>
      </c>
      <c r="E321" t="s">
        <v>1044</v>
      </c>
      <c r="F321" t="s">
        <v>2661</v>
      </c>
      <c r="G321" t="s">
        <v>6</v>
      </c>
      <c r="H321" t="s">
        <v>217</v>
      </c>
      <c r="I321" t="s">
        <v>1049</v>
      </c>
      <c r="J321" t="s">
        <v>1039</v>
      </c>
      <c r="K321">
        <v>1</v>
      </c>
      <c r="L321">
        <v>1</v>
      </c>
      <c r="N321">
        <v>1451.41</v>
      </c>
      <c r="P321">
        <v>1106.18</v>
      </c>
      <c r="W321">
        <v>1202.1500000000001</v>
      </c>
      <c r="Y321">
        <v>936.22</v>
      </c>
      <c r="AD321" s="3">
        <f t="shared" si="54"/>
        <v>0.82826355061629731</v>
      </c>
      <c r="AE321" s="3">
        <f t="shared" si="55"/>
        <v>0.84635411958270801</v>
      </c>
      <c r="AI321" s="3">
        <f t="shared" si="56"/>
        <v>1.6746176701990052</v>
      </c>
      <c r="AQ321">
        <v>0</v>
      </c>
      <c r="AU321" t="s">
        <v>2</v>
      </c>
      <c r="AV321" s="10" t="s">
        <v>3</v>
      </c>
    </row>
    <row r="322" spans="1:49" x14ac:dyDescent="0.3">
      <c r="A322" t="s">
        <v>1036</v>
      </c>
      <c r="B322" t="s">
        <v>100</v>
      </c>
      <c r="C322" t="s">
        <v>1037</v>
      </c>
      <c r="D322" s="4" t="s">
        <v>1038</v>
      </c>
      <c r="E322" t="s">
        <v>1044</v>
      </c>
      <c r="F322" t="s">
        <v>2661</v>
      </c>
      <c r="G322" t="s">
        <v>6</v>
      </c>
      <c r="H322" t="s">
        <v>217</v>
      </c>
      <c r="I322" t="s">
        <v>1050</v>
      </c>
      <c r="J322" t="s">
        <v>1039</v>
      </c>
      <c r="K322">
        <v>1</v>
      </c>
      <c r="L322">
        <v>1</v>
      </c>
      <c r="N322">
        <v>1513.18</v>
      </c>
      <c r="P322">
        <v>1116.17</v>
      </c>
      <c r="W322">
        <v>1163.1400000000001</v>
      </c>
      <c r="Y322">
        <v>1002.62</v>
      </c>
      <c r="AD322" s="3">
        <f t="shared" si="54"/>
        <v>0.76867259678293398</v>
      </c>
      <c r="AE322" s="3">
        <f t="shared" si="55"/>
        <v>0.89826818495390481</v>
      </c>
      <c r="AI322" s="3">
        <f t="shared" si="56"/>
        <v>1.6669407817368387</v>
      </c>
      <c r="AQ322">
        <v>15</v>
      </c>
      <c r="AR322" t="s">
        <v>14</v>
      </c>
      <c r="AU322" t="s">
        <v>2</v>
      </c>
      <c r="AV322" s="10" t="s">
        <v>3</v>
      </c>
    </row>
    <row r="323" spans="1:49" x14ac:dyDescent="0.3">
      <c r="A323" t="s">
        <v>1036</v>
      </c>
      <c r="B323" t="s">
        <v>100</v>
      </c>
      <c r="C323" t="s">
        <v>1037</v>
      </c>
      <c r="D323" s="4" t="s">
        <v>1038</v>
      </c>
      <c r="E323" t="s">
        <v>1044</v>
      </c>
      <c r="F323" t="s">
        <v>2661</v>
      </c>
      <c r="G323" t="s">
        <v>6</v>
      </c>
      <c r="H323" t="s">
        <v>217</v>
      </c>
      <c r="I323" t="s">
        <v>1051</v>
      </c>
      <c r="J323" t="s">
        <v>1039</v>
      </c>
      <c r="K323">
        <v>1</v>
      </c>
      <c r="L323">
        <v>1</v>
      </c>
      <c r="N323">
        <v>1898.24</v>
      </c>
      <c r="P323">
        <v>1109.2</v>
      </c>
      <c r="W323">
        <v>1181.1300000000001</v>
      </c>
      <c r="Y323">
        <v>1007.82</v>
      </c>
      <c r="AD323" s="3">
        <f t="shared" si="54"/>
        <v>0.62222374409979775</v>
      </c>
      <c r="AE323" s="3">
        <f t="shared" si="55"/>
        <v>0.9086007933645871</v>
      </c>
      <c r="AI323" s="3">
        <f t="shared" si="56"/>
        <v>1.530824537464385</v>
      </c>
      <c r="AQ323">
        <v>30</v>
      </c>
      <c r="AR323" t="s">
        <v>14</v>
      </c>
      <c r="AU323" t="s">
        <v>2</v>
      </c>
      <c r="AV323" s="10" t="s">
        <v>3</v>
      </c>
    </row>
    <row r="324" spans="1:49" x14ac:dyDescent="0.3">
      <c r="A324" t="s">
        <v>1036</v>
      </c>
      <c r="B324" t="s">
        <v>100</v>
      </c>
      <c r="C324" t="s">
        <v>1037</v>
      </c>
      <c r="D324" s="4" t="s">
        <v>1038</v>
      </c>
      <c r="E324" t="s">
        <v>1044</v>
      </c>
      <c r="F324" t="s">
        <v>2661</v>
      </c>
      <c r="G324" t="s">
        <v>6</v>
      </c>
      <c r="H324" t="s">
        <v>217</v>
      </c>
      <c r="I324" t="s">
        <v>1052</v>
      </c>
      <c r="J324" t="s">
        <v>1039</v>
      </c>
      <c r="K324">
        <v>1</v>
      </c>
      <c r="L324">
        <v>1</v>
      </c>
      <c r="N324">
        <v>2090.17</v>
      </c>
      <c r="P324">
        <v>1150.32</v>
      </c>
      <c r="W324">
        <v>1170.2</v>
      </c>
      <c r="Y324">
        <v>1047.29</v>
      </c>
      <c r="AD324" s="3">
        <f t="shared" si="54"/>
        <v>0.5598587674686748</v>
      </c>
      <c r="AE324" s="3">
        <f t="shared" si="55"/>
        <v>0.91043361847138193</v>
      </c>
      <c r="AI324" s="3">
        <f t="shared" si="56"/>
        <v>1.4702923859400567</v>
      </c>
      <c r="AQ324">
        <v>45</v>
      </c>
      <c r="AR324" t="s">
        <v>14</v>
      </c>
      <c r="AU324" t="s">
        <v>2</v>
      </c>
      <c r="AV324" s="10" t="s">
        <v>3</v>
      </c>
    </row>
    <row r="325" spans="1:49" s="12" customFormat="1" x14ac:dyDescent="0.3">
      <c r="A325" s="10" t="s">
        <v>1053</v>
      </c>
      <c r="B325" s="10" t="s">
        <v>1055</v>
      </c>
      <c r="C325" s="10" t="s">
        <v>1057</v>
      </c>
      <c r="D325" s="10"/>
      <c r="E325" s="10" t="s">
        <v>1056</v>
      </c>
      <c r="F325" t="s">
        <v>2661</v>
      </c>
      <c r="G325" s="10" t="s">
        <v>1013</v>
      </c>
      <c r="H325" s="10" t="s">
        <v>217</v>
      </c>
      <c r="I325" s="10" t="s">
        <v>1058</v>
      </c>
      <c r="J325" s="10" t="s">
        <v>1054</v>
      </c>
      <c r="K325" s="26">
        <f>3+12+4+4+3+3+6</f>
        <v>35</v>
      </c>
      <c r="L325" s="26">
        <f>6+12+3+3+3+6</f>
        <v>33</v>
      </c>
      <c r="M325" s="53"/>
      <c r="N325" s="10">
        <v>3.82</v>
      </c>
      <c r="O325" s="10"/>
      <c r="P325" s="10">
        <v>5.36</v>
      </c>
      <c r="Q325" s="10"/>
      <c r="R325" s="10"/>
      <c r="S325" s="10"/>
      <c r="T325" s="10"/>
      <c r="U325" s="10"/>
      <c r="V325" s="10">
        <v>4.54</v>
      </c>
      <c r="W325" s="10"/>
      <c r="X325" s="10"/>
      <c r="Y325" s="10"/>
      <c r="Z325" s="10"/>
      <c r="AA325" s="10"/>
      <c r="AB325" s="10"/>
      <c r="AC325" s="10"/>
      <c r="AD325" s="10">
        <v>0.36</v>
      </c>
      <c r="AE325" s="10">
        <v>0.65</v>
      </c>
      <c r="AF325" s="10"/>
      <c r="AG325" s="10"/>
      <c r="AH325" s="10"/>
      <c r="AI325" s="14">
        <v>1.01</v>
      </c>
      <c r="AJ325" s="10"/>
      <c r="AK325" s="10"/>
      <c r="AL325" s="10"/>
      <c r="AM325" s="10"/>
      <c r="AN325" s="10"/>
      <c r="AO325" s="10"/>
      <c r="AP325" s="10"/>
      <c r="AQ325" s="10"/>
      <c r="AR325" s="10" t="s">
        <v>14</v>
      </c>
      <c r="AS325" s="10"/>
      <c r="AT325" s="10"/>
      <c r="AU325" s="10" t="s">
        <v>2</v>
      </c>
      <c r="AV325" s="10" t="s">
        <v>3</v>
      </c>
      <c r="AW325" s="10" t="s">
        <v>2406</v>
      </c>
    </row>
    <row r="326" spans="1:49" s="12" customFormat="1" x14ac:dyDescent="0.3">
      <c r="A326" s="10" t="s">
        <v>1053</v>
      </c>
      <c r="B326" s="10" t="s">
        <v>1055</v>
      </c>
      <c r="C326" s="10" t="s">
        <v>1057</v>
      </c>
      <c r="D326" s="10"/>
      <c r="E326" s="10" t="s">
        <v>1059</v>
      </c>
      <c r="F326" t="s">
        <v>2661</v>
      </c>
      <c r="G326" s="10" t="s">
        <v>1013</v>
      </c>
      <c r="H326" s="10" t="s">
        <v>217</v>
      </c>
      <c r="I326" s="10" t="s">
        <v>1009</v>
      </c>
      <c r="J326" s="10" t="s">
        <v>1054</v>
      </c>
      <c r="K326" s="26">
        <f>12+4+4+3+3+6</f>
        <v>32</v>
      </c>
      <c r="L326" s="26">
        <f>6+12+4+3+3+3+3+6</f>
        <v>40</v>
      </c>
      <c r="M326" s="53"/>
      <c r="N326" s="10">
        <v>3.82</v>
      </c>
      <c r="O326" s="10"/>
      <c r="P326" s="10">
        <v>3.85</v>
      </c>
      <c r="Q326" s="10"/>
      <c r="R326" s="10"/>
      <c r="S326" s="10"/>
      <c r="T326" s="10"/>
      <c r="U326" s="10"/>
      <c r="V326" s="10">
        <v>4.41</v>
      </c>
      <c r="W326" s="10"/>
      <c r="X326" s="10"/>
      <c r="Y326" s="10"/>
      <c r="Z326" s="10"/>
      <c r="AA326" s="10"/>
      <c r="AB326" s="10"/>
      <c r="AC326" s="10"/>
      <c r="AD326" s="10">
        <v>0.49</v>
      </c>
      <c r="AE326" s="10">
        <v>0.8</v>
      </c>
      <c r="AF326" s="10"/>
      <c r="AG326" s="10"/>
      <c r="AH326" s="10"/>
      <c r="AI326" s="10">
        <v>1.28</v>
      </c>
      <c r="AJ326" s="10"/>
      <c r="AK326" s="10"/>
      <c r="AL326" s="10"/>
      <c r="AM326" s="10"/>
      <c r="AN326" s="10"/>
      <c r="AO326" s="10"/>
      <c r="AP326" s="10"/>
      <c r="AQ326" s="10">
        <v>0</v>
      </c>
      <c r="AR326" s="10"/>
      <c r="AS326" s="10"/>
      <c r="AT326" s="10"/>
      <c r="AU326" s="10" t="s">
        <v>2</v>
      </c>
      <c r="AV326" s="10" t="s">
        <v>3</v>
      </c>
      <c r="AW326" s="10" t="s">
        <v>2407</v>
      </c>
    </row>
    <row r="327" spans="1:49" x14ac:dyDescent="0.3">
      <c r="A327" t="s">
        <v>1164</v>
      </c>
      <c r="B327" t="s">
        <v>1055</v>
      </c>
      <c r="C327" t="s">
        <v>1165</v>
      </c>
      <c r="E327" t="s">
        <v>924</v>
      </c>
      <c r="F327" t="s">
        <v>2661</v>
      </c>
      <c r="G327" t="s">
        <v>22</v>
      </c>
      <c r="H327" t="s">
        <v>217</v>
      </c>
      <c r="J327" t="s">
        <v>1167</v>
      </c>
      <c r="K327">
        <v>4</v>
      </c>
      <c r="L327">
        <v>4</v>
      </c>
      <c r="AD327">
        <v>0.12</v>
      </c>
      <c r="AE327">
        <v>0.86</v>
      </c>
      <c r="AI327">
        <v>0.98</v>
      </c>
      <c r="AQ327">
        <f>60+106</f>
        <v>166</v>
      </c>
      <c r="AR327" t="s">
        <v>14</v>
      </c>
      <c r="AT327" t="s">
        <v>2</v>
      </c>
      <c r="AU327" t="s">
        <v>2</v>
      </c>
      <c r="AV327" s="10" t="s">
        <v>3</v>
      </c>
    </row>
    <row r="328" spans="1:49" x14ac:dyDescent="0.3">
      <c r="A328" t="s">
        <v>1164</v>
      </c>
      <c r="B328" t="s">
        <v>1055</v>
      </c>
      <c r="C328" t="s">
        <v>1165</v>
      </c>
      <c r="E328" t="s">
        <v>1166</v>
      </c>
      <c r="F328" t="s">
        <v>2661</v>
      </c>
      <c r="G328" t="s">
        <v>22</v>
      </c>
      <c r="H328" t="s">
        <v>217</v>
      </c>
      <c r="J328" t="s">
        <v>1167</v>
      </c>
      <c r="K328">
        <v>6</v>
      </c>
      <c r="L328">
        <v>6</v>
      </c>
      <c r="AD328">
        <v>0.06</v>
      </c>
      <c r="AE328">
        <v>0.91</v>
      </c>
      <c r="AI328">
        <v>0.97</v>
      </c>
      <c r="AQ328">
        <f>70+90</f>
        <v>160</v>
      </c>
      <c r="AR328" t="s">
        <v>14</v>
      </c>
      <c r="AT328" t="s">
        <v>2</v>
      </c>
      <c r="AU328" t="s">
        <v>2</v>
      </c>
      <c r="AV328" s="10" t="s">
        <v>3</v>
      </c>
    </row>
    <row r="329" spans="1:49" x14ac:dyDescent="0.3">
      <c r="A329" t="s">
        <v>1164</v>
      </c>
      <c r="B329" t="s">
        <v>1055</v>
      </c>
      <c r="C329" t="s">
        <v>1165</v>
      </c>
      <c r="E329" t="s">
        <v>924</v>
      </c>
      <c r="F329" t="s">
        <v>2661</v>
      </c>
      <c r="G329" t="s">
        <v>22</v>
      </c>
      <c r="H329" t="s">
        <v>217</v>
      </c>
      <c r="J329" t="s">
        <v>1168</v>
      </c>
      <c r="K329">
        <v>4</v>
      </c>
      <c r="L329">
        <v>4</v>
      </c>
      <c r="AD329">
        <v>0.11</v>
      </c>
      <c r="AE329">
        <v>0.95</v>
      </c>
      <c r="AI329">
        <v>1.06</v>
      </c>
      <c r="AQ329">
        <f>60+106</f>
        <v>166</v>
      </c>
      <c r="AR329" t="s">
        <v>14</v>
      </c>
      <c r="AT329" t="s">
        <v>2</v>
      </c>
      <c r="AU329" t="s">
        <v>2</v>
      </c>
      <c r="AV329" s="10" t="s">
        <v>3</v>
      </c>
    </row>
    <row r="330" spans="1:49" x14ac:dyDescent="0.3">
      <c r="A330" t="s">
        <v>1164</v>
      </c>
      <c r="B330" t="s">
        <v>1055</v>
      </c>
      <c r="C330" t="s">
        <v>1165</v>
      </c>
      <c r="E330" t="s">
        <v>1166</v>
      </c>
      <c r="F330" t="s">
        <v>2661</v>
      </c>
      <c r="G330" t="s">
        <v>22</v>
      </c>
      <c r="H330" t="s">
        <v>217</v>
      </c>
      <c r="J330" t="s">
        <v>1168</v>
      </c>
      <c r="K330">
        <v>6</v>
      </c>
      <c r="L330">
        <v>6</v>
      </c>
      <c r="AD330">
        <v>0.13</v>
      </c>
      <c r="AE330">
        <v>0.91</v>
      </c>
      <c r="AI330">
        <v>1.04</v>
      </c>
      <c r="AQ330">
        <f>70+90</f>
        <v>160</v>
      </c>
      <c r="AR330" t="s">
        <v>14</v>
      </c>
      <c r="AT330" t="s">
        <v>2</v>
      </c>
      <c r="AU330" t="s">
        <v>2</v>
      </c>
      <c r="AV330" s="10" t="s">
        <v>3</v>
      </c>
    </row>
    <row r="331" spans="1:49" x14ac:dyDescent="0.3">
      <c r="A331" t="s">
        <v>1169</v>
      </c>
      <c r="B331" t="s">
        <v>1170</v>
      </c>
      <c r="C331" s="4" t="s">
        <v>1177</v>
      </c>
      <c r="D331" t="s">
        <v>1171</v>
      </c>
      <c r="E331">
        <v>2007</v>
      </c>
      <c r="F331" t="s">
        <v>2661</v>
      </c>
      <c r="G331" t="s">
        <v>6</v>
      </c>
      <c r="H331" t="s">
        <v>217</v>
      </c>
      <c r="J331" t="s">
        <v>1173</v>
      </c>
      <c r="K331">
        <v>3</v>
      </c>
      <c r="L331">
        <v>3</v>
      </c>
      <c r="N331">
        <v>4231.7</v>
      </c>
      <c r="P331">
        <v>4649.8999999999996</v>
      </c>
      <c r="W331">
        <v>722.2</v>
      </c>
      <c r="Y331">
        <v>3769.2</v>
      </c>
      <c r="AD331" s="3">
        <f t="shared" ref="AD331:AD374" si="57">W331/N331</f>
        <v>0.17066427204196896</v>
      </c>
      <c r="AE331" s="3">
        <f t="shared" ref="AE331:AE374" si="58">Y331/P331</f>
        <v>0.81059807737800815</v>
      </c>
      <c r="AI331" s="3">
        <f>AD331+AE331</f>
        <v>0.98126234941997714</v>
      </c>
      <c r="AR331" t="s">
        <v>1</v>
      </c>
      <c r="AS331" t="s">
        <v>2</v>
      </c>
      <c r="AT331" t="s">
        <v>2</v>
      </c>
      <c r="AU331" t="s">
        <v>2</v>
      </c>
      <c r="AV331" s="10" t="s">
        <v>3</v>
      </c>
    </row>
    <row r="332" spans="1:49" x14ac:dyDescent="0.3">
      <c r="A332" t="s">
        <v>1169</v>
      </c>
      <c r="B332" t="s">
        <v>1170</v>
      </c>
      <c r="C332" s="4" t="s">
        <v>1177</v>
      </c>
      <c r="D332" t="s">
        <v>1171</v>
      </c>
      <c r="E332">
        <v>2007</v>
      </c>
      <c r="F332" t="s">
        <v>2661</v>
      </c>
      <c r="G332" t="s">
        <v>6</v>
      </c>
      <c r="H332" t="s">
        <v>217</v>
      </c>
      <c r="J332" t="s">
        <v>1174</v>
      </c>
      <c r="K332">
        <v>3</v>
      </c>
      <c r="L332">
        <v>3</v>
      </c>
      <c r="N332">
        <v>4231.7</v>
      </c>
      <c r="P332">
        <v>3303.6</v>
      </c>
      <c r="W332">
        <v>648.79999999999995</v>
      </c>
      <c r="Y332">
        <v>3302.1</v>
      </c>
      <c r="AD332" s="3">
        <f t="shared" si="57"/>
        <v>0.15331899709336672</v>
      </c>
      <c r="AE332" s="3">
        <f t="shared" si="58"/>
        <v>0.99954594987286594</v>
      </c>
      <c r="AI332" s="3">
        <f t="shared" ref="AI332:AI350" si="59">AD332+AE332</f>
        <v>1.1528649469662327</v>
      </c>
      <c r="AR332" t="s">
        <v>1</v>
      </c>
      <c r="AS332" t="s">
        <v>2</v>
      </c>
      <c r="AT332" t="s">
        <v>2</v>
      </c>
      <c r="AU332" t="s">
        <v>2</v>
      </c>
      <c r="AV332" s="10" t="s">
        <v>3</v>
      </c>
    </row>
    <row r="333" spans="1:49" x14ac:dyDescent="0.3">
      <c r="A333" t="s">
        <v>1169</v>
      </c>
      <c r="B333" t="s">
        <v>1170</v>
      </c>
      <c r="C333" s="4" t="s">
        <v>1177</v>
      </c>
      <c r="D333" t="s">
        <v>1171</v>
      </c>
      <c r="E333">
        <v>2007</v>
      </c>
      <c r="F333" t="s">
        <v>2661</v>
      </c>
      <c r="G333" t="s">
        <v>6</v>
      </c>
      <c r="H333" t="s">
        <v>217</v>
      </c>
      <c r="J333" t="s">
        <v>1175</v>
      </c>
      <c r="K333">
        <v>3</v>
      </c>
      <c r="L333">
        <v>3</v>
      </c>
      <c r="N333">
        <v>4231.7</v>
      </c>
      <c r="P333">
        <v>3241.3</v>
      </c>
      <c r="W333">
        <v>634.20000000000005</v>
      </c>
      <c r="Y333">
        <v>2376</v>
      </c>
      <c r="AD333" s="3">
        <f t="shared" si="57"/>
        <v>0.1498688470354704</v>
      </c>
      <c r="AE333" s="3">
        <f t="shared" si="58"/>
        <v>0.73303921266158634</v>
      </c>
      <c r="AI333" s="3">
        <f t="shared" si="59"/>
        <v>0.88290805969705677</v>
      </c>
      <c r="AR333" t="s">
        <v>1</v>
      </c>
      <c r="AS333" t="s">
        <v>2</v>
      </c>
      <c r="AT333" t="s">
        <v>2</v>
      </c>
      <c r="AU333" t="s">
        <v>2</v>
      </c>
      <c r="AV333" s="10" t="s">
        <v>3</v>
      </c>
    </row>
    <row r="334" spans="1:49" x14ac:dyDescent="0.3">
      <c r="A334" t="s">
        <v>1169</v>
      </c>
      <c r="B334" t="s">
        <v>1170</v>
      </c>
      <c r="C334" s="4" t="s">
        <v>1177</v>
      </c>
      <c r="D334" t="s">
        <v>1171</v>
      </c>
      <c r="E334">
        <v>2007</v>
      </c>
      <c r="F334" t="s">
        <v>2661</v>
      </c>
      <c r="G334" t="s">
        <v>6</v>
      </c>
      <c r="H334" t="s">
        <v>217</v>
      </c>
      <c r="J334" t="s">
        <v>1176</v>
      </c>
      <c r="K334">
        <v>3</v>
      </c>
      <c r="L334">
        <v>3</v>
      </c>
      <c r="N334">
        <v>4231.7</v>
      </c>
      <c r="P334">
        <v>3773.3</v>
      </c>
      <c r="W334">
        <v>837.8</v>
      </c>
      <c r="Y334">
        <v>2729.7</v>
      </c>
      <c r="AD334" s="3">
        <f t="shared" si="57"/>
        <v>0.19798189852777842</v>
      </c>
      <c r="AE334" s="3">
        <f t="shared" si="58"/>
        <v>0.72342511859645398</v>
      </c>
      <c r="AI334" s="3">
        <f t="shared" si="59"/>
        <v>0.92140701712423234</v>
      </c>
      <c r="AR334" t="s">
        <v>1</v>
      </c>
      <c r="AS334" t="s">
        <v>2</v>
      </c>
      <c r="AT334" t="s">
        <v>2</v>
      </c>
      <c r="AU334" t="s">
        <v>2</v>
      </c>
      <c r="AV334" s="10" t="s">
        <v>3</v>
      </c>
    </row>
    <row r="335" spans="1:49" x14ac:dyDescent="0.3">
      <c r="A335" t="s">
        <v>1169</v>
      </c>
      <c r="B335" t="s">
        <v>1170</v>
      </c>
      <c r="C335" s="4" t="s">
        <v>1177</v>
      </c>
      <c r="D335" t="s">
        <v>1171</v>
      </c>
      <c r="E335">
        <v>2008</v>
      </c>
      <c r="F335" t="s">
        <v>2661</v>
      </c>
      <c r="G335" t="s">
        <v>6</v>
      </c>
      <c r="H335" t="s">
        <v>217</v>
      </c>
      <c r="J335" t="s">
        <v>1173</v>
      </c>
      <c r="K335">
        <v>3</v>
      </c>
      <c r="L335">
        <v>3</v>
      </c>
      <c r="N335">
        <v>2342.1999999999998</v>
      </c>
      <c r="P335">
        <v>2209.9</v>
      </c>
      <c r="W335">
        <v>559.29999999999995</v>
      </c>
      <c r="Y335">
        <v>1580.2</v>
      </c>
      <c r="AD335" s="3">
        <f t="shared" si="57"/>
        <v>0.23879258816497309</v>
      </c>
      <c r="AE335" s="3">
        <f t="shared" si="58"/>
        <v>0.71505497986334221</v>
      </c>
      <c r="AI335" s="3">
        <f t="shared" si="59"/>
        <v>0.95384756802831527</v>
      </c>
      <c r="AR335" t="s">
        <v>1</v>
      </c>
      <c r="AS335" t="s">
        <v>2</v>
      </c>
      <c r="AT335" t="s">
        <v>2</v>
      </c>
      <c r="AU335" t="s">
        <v>2</v>
      </c>
      <c r="AV335" s="10" t="s">
        <v>3</v>
      </c>
    </row>
    <row r="336" spans="1:49" x14ac:dyDescent="0.3">
      <c r="A336" t="s">
        <v>1169</v>
      </c>
      <c r="B336" t="s">
        <v>1170</v>
      </c>
      <c r="C336" s="4" t="s">
        <v>1177</v>
      </c>
      <c r="D336" t="s">
        <v>1171</v>
      </c>
      <c r="E336">
        <v>2008</v>
      </c>
      <c r="F336" t="s">
        <v>2661</v>
      </c>
      <c r="G336" t="s">
        <v>6</v>
      </c>
      <c r="H336" t="s">
        <v>217</v>
      </c>
      <c r="J336" t="s">
        <v>1174</v>
      </c>
      <c r="K336">
        <v>3</v>
      </c>
      <c r="L336">
        <v>3</v>
      </c>
      <c r="N336">
        <v>2342.1999999999998</v>
      </c>
      <c r="P336">
        <v>2114.1999999999998</v>
      </c>
      <c r="W336">
        <v>783.3</v>
      </c>
      <c r="Y336">
        <v>1068.2</v>
      </c>
      <c r="AD336" s="3">
        <f t="shared" si="57"/>
        <v>0.33442916915720261</v>
      </c>
      <c r="AE336" s="3">
        <f t="shared" si="58"/>
        <v>0.50525021284646676</v>
      </c>
      <c r="AI336" s="3">
        <f t="shared" si="59"/>
        <v>0.83967938200366943</v>
      </c>
      <c r="AR336" t="s">
        <v>1</v>
      </c>
      <c r="AS336" t="s">
        <v>2</v>
      </c>
      <c r="AT336" t="s">
        <v>2</v>
      </c>
      <c r="AU336" t="s">
        <v>2</v>
      </c>
      <c r="AV336" s="10" t="s">
        <v>3</v>
      </c>
    </row>
    <row r="337" spans="1:48" x14ac:dyDescent="0.3">
      <c r="A337" t="s">
        <v>1169</v>
      </c>
      <c r="B337" t="s">
        <v>1170</v>
      </c>
      <c r="C337" s="4" t="s">
        <v>1177</v>
      </c>
      <c r="D337" t="s">
        <v>1171</v>
      </c>
      <c r="E337">
        <v>2008</v>
      </c>
      <c r="F337" t="s">
        <v>2661</v>
      </c>
      <c r="G337" t="s">
        <v>6</v>
      </c>
      <c r="H337" t="s">
        <v>217</v>
      </c>
      <c r="J337" t="s">
        <v>1175</v>
      </c>
      <c r="K337">
        <v>3</v>
      </c>
      <c r="L337">
        <v>3</v>
      </c>
      <c r="N337">
        <v>2342.1999999999998</v>
      </c>
      <c r="P337">
        <v>2923.9</v>
      </c>
      <c r="W337">
        <v>514.29999999999995</v>
      </c>
      <c r="Y337">
        <v>1864.9</v>
      </c>
      <c r="AD337" s="3">
        <f t="shared" si="57"/>
        <v>0.21957988216206983</v>
      </c>
      <c r="AE337" s="3">
        <f t="shared" si="58"/>
        <v>0.63781251068778</v>
      </c>
      <c r="AI337" s="3">
        <f t="shared" si="59"/>
        <v>0.8573923928498498</v>
      </c>
      <c r="AR337" t="s">
        <v>1</v>
      </c>
      <c r="AS337" t="s">
        <v>2</v>
      </c>
      <c r="AT337" t="s">
        <v>2</v>
      </c>
      <c r="AU337" t="s">
        <v>2</v>
      </c>
      <c r="AV337" s="10" t="s">
        <v>3</v>
      </c>
    </row>
    <row r="338" spans="1:48" x14ac:dyDescent="0.3">
      <c r="A338" t="s">
        <v>1169</v>
      </c>
      <c r="B338" t="s">
        <v>1170</v>
      </c>
      <c r="C338" s="4" t="s">
        <v>1177</v>
      </c>
      <c r="D338" t="s">
        <v>1171</v>
      </c>
      <c r="E338">
        <v>2008</v>
      </c>
      <c r="F338" t="s">
        <v>2661</v>
      </c>
      <c r="G338" t="s">
        <v>6</v>
      </c>
      <c r="H338" t="s">
        <v>217</v>
      </c>
      <c r="J338" t="s">
        <v>1176</v>
      </c>
      <c r="K338">
        <v>3</v>
      </c>
      <c r="L338">
        <v>3</v>
      </c>
      <c r="N338">
        <v>2342.1999999999998</v>
      </c>
      <c r="P338">
        <v>2341.4</v>
      </c>
      <c r="W338">
        <v>414.3</v>
      </c>
      <c r="Y338">
        <v>1675.4</v>
      </c>
      <c r="AD338" s="3">
        <f t="shared" si="57"/>
        <v>0.17688497993339597</v>
      </c>
      <c r="AE338" s="3">
        <f t="shared" si="58"/>
        <v>0.71555479627573249</v>
      </c>
      <c r="AI338" s="3">
        <f t="shared" si="59"/>
        <v>0.89243977620912851</v>
      </c>
      <c r="AR338" t="s">
        <v>1</v>
      </c>
      <c r="AS338" t="s">
        <v>2</v>
      </c>
      <c r="AT338" t="s">
        <v>2</v>
      </c>
      <c r="AU338" t="s">
        <v>2</v>
      </c>
      <c r="AV338" s="10" t="s">
        <v>3</v>
      </c>
    </row>
    <row r="339" spans="1:48" x14ac:dyDescent="0.3">
      <c r="A339" t="s">
        <v>1169</v>
      </c>
      <c r="B339" t="s">
        <v>1170</v>
      </c>
      <c r="C339" s="4" t="s">
        <v>1177</v>
      </c>
      <c r="D339" t="s">
        <v>1171</v>
      </c>
      <c r="E339">
        <v>2009</v>
      </c>
      <c r="F339" t="s">
        <v>2661</v>
      </c>
      <c r="G339" t="s">
        <v>6</v>
      </c>
      <c r="H339" t="s">
        <v>217</v>
      </c>
      <c r="J339" t="s">
        <v>1173</v>
      </c>
      <c r="K339">
        <v>3</v>
      </c>
      <c r="L339">
        <v>3</v>
      </c>
      <c r="N339">
        <v>2235.6999999999998</v>
      </c>
      <c r="P339">
        <v>2149</v>
      </c>
      <c r="W339">
        <v>369.8</v>
      </c>
      <c r="Y339">
        <v>1854.4</v>
      </c>
      <c r="AD339" s="3">
        <f t="shared" si="57"/>
        <v>0.1654068077112314</v>
      </c>
      <c r="AE339" s="3">
        <f t="shared" si="58"/>
        <v>0.86291298278268969</v>
      </c>
      <c r="AI339" s="3">
        <f t="shared" si="59"/>
        <v>1.0283197904939212</v>
      </c>
      <c r="AR339" t="s">
        <v>1</v>
      </c>
      <c r="AS339" t="s">
        <v>2</v>
      </c>
      <c r="AT339" t="s">
        <v>2</v>
      </c>
      <c r="AU339" t="s">
        <v>2</v>
      </c>
      <c r="AV339" s="10" t="s">
        <v>3</v>
      </c>
    </row>
    <row r="340" spans="1:48" x14ac:dyDescent="0.3">
      <c r="A340" t="s">
        <v>1169</v>
      </c>
      <c r="B340" t="s">
        <v>1170</v>
      </c>
      <c r="C340" s="4" t="s">
        <v>1177</v>
      </c>
      <c r="D340" t="s">
        <v>1171</v>
      </c>
      <c r="E340">
        <v>2009</v>
      </c>
      <c r="F340" t="s">
        <v>2661</v>
      </c>
      <c r="G340" t="s">
        <v>6</v>
      </c>
      <c r="H340" t="s">
        <v>217</v>
      </c>
      <c r="J340" t="s">
        <v>1174</v>
      </c>
      <c r="K340">
        <v>3</v>
      </c>
      <c r="L340">
        <v>3</v>
      </c>
      <c r="N340">
        <v>2235.6999999999998</v>
      </c>
      <c r="P340">
        <v>2332.1</v>
      </c>
      <c r="W340">
        <v>264.89999999999998</v>
      </c>
      <c r="Y340">
        <v>2183.1</v>
      </c>
      <c r="AD340" s="3">
        <f t="shared" si="57"/>
        <v>0.11848638010466521</v>
      </c>
      <c r="AE340" s="3">
        <f t="shared" si="58"/>
        <v>0.93610908623129363</v>
      </c>
      <c r="AI340" s="3">
        <f t="shared" si="59"/>
        <v>1.0545954663359589</v>
      </c>
      <c r="AR340" t="s">
        <v>1</v>
      </c>
      <c r="AS340" t="s">
        <v>2</v>
      </c>
      <c r="AT340" t="s">
        <v>2</v>
      </c>
      <c r="AU340" t="s">
        <v>2</v>
      </c>
      <c r="AV340" s="10" t="s">
        <v>3</v>
      </c>
    </row>
    <row r="341" spans="1:48" x14ac:dyDescent="0.3">
      <c r="A341" t="s">
        <v>1169</v>
      </c>
      <c r="B341" t="s">
        <v>1170</v>
      </c>
      <c r="C341" s="4" t="s">
        <v>1177</v>
      </c>
      <c r="D341" t="s">
        <v>1171</v>
      </c>
      <c r="E341">
        <v>2009</v>
      </c>
      <c r="F341" t="s">
        <v>2661</v>
      </c>
      <c r="G341" t="s">
        <v>6</v>
      </c>
      <c r="H341" t="s">
        <v>217</v>
      </c>
      <c r="J341" t="s">
        <v>1175</v>
      </c>
      <c r="K341">
        <v>3</v>
      </c>
      <c r="L341">
        <v>3</v>
      </c>
      <c r="N341">
        <v>2235.6999999999998</v>
      </c>
      <c r="P341">
        <v>2525.6999999999998</v>
      </c>
      <c r="W341">
        <v>187</v>
      </c>
      <c r="Y341">
        <v>2088.8000000000002</v>
      </c>
      <c r="AD341" s="3">
        <f t="shared" si="57"/>
        <v>8.3642706982153245E-2</v>
      </c>
      <c r="AE341" s="3">
        <f t="shared" si="58"/>
        <v>0.82701825236568094</v>
      </c>
      <c r="AI341" s="3">
        <f t="shared" si="59"/>
        <v>0.9106609593478342</v>
      </c>
      <c r="AR341" t="s">
        <v>1</v>
      </c>
      <c r="AS341" t="s">
        <v>2</v>
      </c>
      <c r="AT341" t="s">
        <v>2</v>
      </c>
      <c r="AU341" t="s">
        <v>2</v>
      </c>
      <c r="AV341" s="10" t="s">
        <v>3</v>
      </c>
    </row>
    <row r="342" spans="1:48" x14ac:dyDescent="0.3">
      <c r="A342" t="s">
        <v>1169</v>
      </c>
      <c r="B342" t="s">
        <v>1170</v>
      </c>
      <c r="C342" s="4" t="s">
        <v>1177</v>
      </c>
      <c r="D342" t="s">
        <v>1171</v>
      </c>
      <c r="E342">
        <v>2009</v>
      </c>
      <c r="F342" t="s">
        <v>2661</v>
      </c>
      <c r="G342" t="s">
        <v>6</v>
      </c>
      <c r="H342" t="s">
        <v>217</v>
      </c>
      <c r="J342" t="s">
        <v>1176</v>
      </c>
      <c r="K342">
        <v>3</v>
      </c>
      <c r="L342">
        <v>3</v>
      </c>
      <c r="N342">
        <v>2235.6999999999998</v>
      </c>
      <c r="P342">
        <v>2038.9</v>
      </c>
      <c r="W342">
        <v>310.10000000000002</v>
      </c>
      <c r="Y342">
        <v>2238.6</v>
      </c>
      <c r="AD342" s="3">
        <f t="shared" si="57"/>
        <v>0.13870376168537821</v>
      </c>
      <c r="AE342" s="3">
        <f t="shared" si="58"/>
        <v>1.0979449703271371</v>
      </c>
      <c r="AI342" s="3">
        <f t="shared" si="59"/>
        <v>1.2366487320125152</v>
      </c>
      <c r="AR342" t="s">
        <v>1</v>
      </c>
      <c r="AS342" t="s">
        <v>2</v>
      </c>
      <c r="AT342" t="s">
        <v>2</v>
      </c>
      <c r="AU342" t="s">
        <v>2</v>
      </c>
      <c r="AV342" s="10" t="s">
        <v>3</v>
      </c>
    </row>
    <row r="343" spans="1:48" x14ac:dyDescent="0.3">
      <c r="A343" t="s">
        <v>1169</v>
      </c>
      <c r="B343" t="s">
        <v>1170</v>
      </c>
      <c r="C343" s="4" t="s">
        <v>1177</v>
      </c>
      <c r="D343" t="s">
        <v>1178</v>
      </c>
      <c r="E343">
        <v>2007</v>
      </c>
      <c r="F343" t="s">
        <v>2661</v>
      </c>
      <c r="G343" t="s">
        <v>6</v>
      </c>
      <c r="H343" t="s">
        <v>217</v>
      </c>
      <c r="J343" t="s">
        <v>1173</v>
      </c>
      <c r="K343">
        <v>3</v>
      </c>
      <c r="L343">
        <v>3</v>
      </c>
      <c r="N343">
        <v>3843.3</v>
      </c>
      <c r="P343">
        <v>3770</v>
      </c>
      <c r="W343">
        <v>1041</v>
      </c>
      <c r="Y343">
        <v>3442.4</v>
      </c>
      <c r="AD343" s="3">
        <f t="shared" si="57"/>
        <v>0.27086097884630395</v>
      </c>
      <c r="AE343" s="3">
        <f t="shared" si="58"/>
        <v>0.9131034482758621</v>
      </c>
      <c r="AI343" s="3">
        <f t="shared" si="59"/>
        <v>1.1839644271221661</v>
      </c>
      <c r="AR343" t="s">
        <v>1</v>
      </c>
      <c r="AS343" t="s">
        <v>2</v>
      </c>
      <c r="AT343" t="s">
        <v>2</v>
      </c>
      <c r="AU343" t="s">
        <v>2</v>
      </c>
      <c r="AV343" s="10" t="s">
        <v>3</v>
      </c>
    </row>
    <row r="344" spans="1:48" x14ac:dyDescent="0.3">
      <c r="A344" t="s">
        <v>1169</v>
      </c>
      <c r="B344" t="s">
        <v>1170</v>
      </c>
      <c r="C344" s="4" t="s">
        <v>1177</v>
      </c>
      <c r="D344" t="s">
        <v>1178</v>
      </c>
      <c r="E344">
        <v>2007</v>
      </c>
      <c r="F344" t="s">
        <v>2661</v>
      </c>
      <c r="G344" t="s">
        <v>6</v>
      </c>
      <c r="H344" t="s">
        <v>217</v>
      </c>
      <c r="J344" t="s">
        <v>1174</v>
      </c>
      <c r="K344">
        <v>3</v>
      </c>
      <c r="L344">
        <v>3</v>
      </c>
      <c r="N344">
        <v>3843.3</v>
      </c>
      <c r="P344">
        <v>4230</v>
      </c>
      <c r="W344">
        <v>391.4</v>
      </c>
      <c r="Y344">
        <v>3375.3</v>
      </c>
      <c r="AD344" s="3">
        <f t="shared" si="57"/>
        <v>0.10183956495719823</v>
      </c>
      <c r="AE344" s="3">
        <f t="shared" si="58"/>
        <v>0.79794326241134761</v>
      </c>
      <c r="AI344" s="3">
        <f t="shared" si="59"/>
        <v>0.89978282736854587</v>
      </c>
      <c r="AR344" t="s">
        <v>1</v>
      </c>
      <c r="AS344" t="s">
        <v>2</v>
      </c>
      <c r="AT344" t="s">
        <v>2</v>
      </c>
      <c r="AU344" t="s">
        <v>2</v>
      </c>
      <c r="AV344" s="10" t="s">
        <v>3</v>
      </c>
    </row>
    <row r="345" spans="1:48" x14ac:dyDescent="0.3">
      <c r="A345" t="s">
        <v>1169</v>
      </c>
      <c r="B345" t="s">
        <v>1170</v>
      </c>
      <c r="C345" s="4" t="s">
        <v>1177</v>
      </c>
      <c r="D345" t="s">
        <v>1178</v>
      </c>
      <c r="E345">
        <v>2007</v>
      </c>
      <c r="F345" t="s">
        <v>2661</v>
      </c>
      <c r="G345" t="s">
        <v>6</v>
      </c>
      <c r="H345" t="s">
        <v>217</v>
      </c>
      <c r="J345" t="s">
        <v>1175</v>
      </c>
      <c r="K345">
        <v>3</v>
      </c>
      <c r="L345">
        <v>3</v>
      </c>
      <c r="N345">
        <v>3843.3</v>
      </c>
      <c r="P345">
        <v>4686.7</v>
      </c>
      <c r="W345">
        <v>217.8</v>
      </c>
      <c r="Y345">
        <v>4152.1000000000004</v>
      </c>
      <c r="AD345" s="3">
        <f t="shared" si="57"/>
        <v>5.6670049176488956E-2</v>
      </c>
      <c r="AE345" s="3">
        <f t="shared" si="58"/>
        <v>0.88593253248554427</v>
      </c>
      <c r="AI345" s="3">
        <f t="shared" si="59"/>
        <v>0.94260258166203326</v>
      </c>
      <c r="AR345" t="s">
        <v>1</v>
      </c>
      <c r="AS345" t="s">
        <v>2</v>
      </c>
      <c r="AT345" t="s">
        <v>2</v>
      </c>
      <c r="AU345" t="s">
        <v>2</v>
      </c>
      <c r="AV345" s="10" t="s">
        <v>3</v>
      </c>
    </row>
    <row r="346" spans="1:48" x14ac:dyDescent="0.3">
      <c r="A346" t="s">
        <v>1169</v>
      </c>
      <c r="B346" t="s">
        <v>1170</v>
      </c>
      <c r="C346" s="4" t="s">
        <v>1177</v>
      </c>
      <c r="D346" t="s">
        <v>1178</v>
      </c>
      <c r="E346">
        <v>2007</v>
      </c>
      <c r="F346" t="s">
        <v>2661</v>
      </c>
      <c r="G346" t="s">
        <v>6</v>
      </c>
      <c r="H346" t="s">
        <v>217</v>
      </c>
      <c r="J346" t="s">
        <v>1176</v>
      </c>
      <c r="K346">
        <v>3</v>
      </c>
      <c r="L346">
        <v>3</v>
      </c>
      <c r="N346">
        <v>3843.3</v>
      </c>
      <c r="P346">
        <v>4506.7</v>
      </c>
      <c r="W346">
        <v>973.5</v>
      </c>
      <c r="Y346">
        <v>2783.2</v>
      </c>
      <c r="AD346" s="3">
        <f t="shared" si="57"/>
        <v>0.25329794707673092</v>
      </c>
      <c r="AE346" s="3">
        <f t="shared" si="58"/>
        <v>0.61756939667606003</v>
      </c>
      <c r="AI346" s="3">
        <f t="shared" si="59"/>
        <v>0.87086734375279096</v>
      </c>
      <c r="AR346" t="s">
        <v>1</v>
      </c>
      <c r="AS346" t="s">
        <v>2</v>
      </c>
      <c r="AT346" t="s">
        <v>2</v>
      </c>
      <c r="AU346" t="s">
        <v>2</v>
      </c>
      <c r="AV346" s="10" t="s">
        <v>3</v>
      </c>
    </row>
    <row r="347" spans="1:48" x14ac:dyDescent="0.3">
      <c r="A347" t="s">
        <v>1169</v>
      </c>
      <c r="B347" t="s">
        <v>1170</v>
      </c>
      <c r="C347" s="4" t="s">
        <v>1177</v>
      </c>
      <c r="D347" t="s">
        <v>1178</v>
      </c>
      <c r="E347">
        <v>2008</v>
      </c>
      <c r="F347" t="s">
        <v>2661</v>
      </c>
      <c r="G347" t="s">
        <v>6</v>
      </c>
      <c r="H347" t="s">
        <v>217</v>
      </c>
      <c r="J347" t="s">
        <v>1173</v>
      </c>
      <c r="K347">
        <v>3</v>
      </c>
      <c r="L347">
        <v>3</v>
      </c>
      <c r="N347">
        <v>1957.5</v>
      </c>
      <c r="P347">
        <v>3626.7</v>
      </c>
      <c r="W347">
        <v>376.7</v>
      </c>
      <c r="Y347">
        <v>2020</v>
      </c>
      <c r="AD347" s="3">
        <f t="shared" si="57"/>
        <v>0.19243933588761175</v>
      </c>
      <c r="AE347" s="3">
        <f t="shared" si="58"/>
        <v>0.55698017481456974</v>
      </c>
      <c r="AI347" s="3">
        <f t="shared" si="59"/>
        <v>0.74941951070218149</v>
      </c>
      <c r="AR347" t="s">
        <v>1</v>
      </c>
      <c r="AS347" t="s">
        <v>2</v>
      </c>
      <c r="AT347" t="s">
        <v>2</v>
      </c>
      <c r="AU347" t="s">
        <v>2</v>
      </c>
      <c r="AV347" s="10" t="s">
        <v>3</v>
      </c>
    </row>
    <row r="348" spans="1:48" x14ac:dyDescent="0.3">
      <c r="A348" t="s">
        <v>1169</v>
      </c>
      <c r="B348" t="s">
        <v>1170</v>
      </c>
      <c r="C348" s="4" t="s">
        <v>1177</v>
      </c>
      <c r="D348" t="s">
        <v>1178</v>
      </c>
      <c r="E348">
        <v>2008</v>
      </c>
      <c r="F348" t="s">
        <v>2661</v>
      </c>
      <c r="G348" t="s">
        <v>6</v>
      </c>
      <c r="H348" t="s">
        <v>217</v>
      </c>
      <c r="J348" t="s">
        <v>1174</v>
      </c>
      <c r="K348">
        <v>3</v>
      </c>
      <c r="L348">
        <v>3</v>
      </c>
      <c r="N348">
        <v>1957.5</v>
      </c>
      <c r="P348">
        <v>3086.7</v>
      </c>
      <c r="W348">
        <v>376.7</v>
      </c>
      <c r="Y348">
        <v>2306.6999999999998</v>
      </c>
      <c r="AD348" s="3">
        <f t="shared" si="57"/>
        <v>0.19243933588761175</v>
      </c>
      <c r="AE348" s="3">
        <f t="shared" si="58"/>
        <v>0.74730294489260374</v>
      </c>
      <c r="AI348" s="3">
        <f t="shared" si="59"/>
        <v>0.93974228078021549</v>
      </c>
      <c r="AR348" t="s">
        <v>1</v>
      </c>
      <c r="AS348" t="s">
        <v>2</v>
      </c>
      <c r="AT348" t="s">
        <v>2</v>
      </c>
      <c r="AU348" t="s">
        <v>2</v>
      </c>
      <c r="AV348" s="10" t="s">
        <v>3</v>
      </c>
    </row>
    <row r="349" spans="1:48" x14ac:dyDescent="0.3">
      <c r="A349" t="s">
        <v>1169</v>
      </c>
      <c r="B349" t="s">
        <v>1170</v>
      </c>
      <c r="C349" s="4" t="s">
        <v>1177</v>
      </c>
      <c r="D349" t="s">
        <v>1178</v>
      </c>
      <c r="E349">
        <v>2008</v>
      </c>
      <c r="F349" t="s">
        <v>2661</v>
      </c>
      <c r="G349" t="s">
        <v>6</v>
      </c>
      <c r="H349" t="s">
        <v>217</v>
      </c>
      <c r="J349" t="s">
        <v>1175</v>
      </c>
      <c r="K349">
        <v>3</v>
      </c>
      <c r="L349">
        <v>3</v>
      </c>
      <c r="N349">
        <v>1957.5</v>
      </c>
      <c r="P349">
        <v>3903.3</v>
      </c>
      <c r="W349">
        <v>376.7</v>
      </c>
      <c r="Y349">
        <v>4096.7</v>
      </c>
      <c r="AD349" s="3">
        <f t="shared" si="57"/>
        <v>0.19243933588761175</v>
      </c>
      <c r="AE349" s="3">
        <f t="shared" si="58"/>
        <v>1.0495478185125406</v>
      </c>
      <c r="AI349" s="3">
        <f t="shared" si="59"/>
        <v>1.2419871544001524</v>
      </c>
      <c r="AR349" t="s">
        <v>1</v>
      </c>
      <c r="AS349" t="s">
        <v>2</v>
      </c>
      <c r="AT349" t="s">
        <v>2</v>
      </c>
      <c r="AU349" t="s">
        <v>2</v>
      </c>
      <c r="AV349" s="10" t="s">
        <v>3</v>
      </c>
    </row>
    <row r="350" spans="1:48" x14ac:dyDescent="0.3">
      <c r="A350" t="s">
        <v>1169</v>
      </c>
      <c r="B350" t="s">
        <v>1170</v>
      </c>
      <c r="C350" s="4" t="s">
        <v>1177</v>
      </c>
      <c r="D350" t="s">
        <v>1178</v>
      </c>
      <c r="E350">
        <v>2008</v>
      </c>
      <c r="F350" t="s">
        <v>2661</v>
      </c>
      <c r="G350" t="s">
        <v>6</v>
      </c>
      <c r="H350" t="s">
        <v>217</v>
      </c>
      <c r="J350" t="s">
        <v>1176</v>
      </c>
      <c r="K350">
        <v>3</v>
      </c>
      <c r="L350">
        <v>3</v>
      </c>
      <c r="N350">
        <v>1957.5</v>
      </c>
      <c r="P350">
        <v>2976.7</v>
      </c>
      <c r="W350">
        <v>966.7</v>
      </c>
      <c r="Y350">
        <v>1960</v>
      </c>
      <c r="AD350" s="3">
        <f t="shared" si="57"/>
        <v>0.49384418901660282</v>
      </c>
      <c r="AE350" s="3">
        <f t="shared" si="58"/>
        <v>0.65844727382672086</v>
      </c>
      <c r="AI350" s="3">
        <f t="shared" si="59"/>
        <v>1.1522914628433236</v>
      </c>
      <c r="AR350" t="s">
        <v>1</v>
      </c>
      <c r="AS350" t="s">
        <v>2</v>
      </c>
      <c r="AT350" t="s">
        <v>2</v>
      </c>
      <c r="AU350" t="s">
        <v>2</v>
      </c>
      <c r="AV350" s="10" t="s">
        <v>3</v>
      </c>
    </row>
    <row r="351" spans="1:48" x14ac:dyDescent="0.3">
      <c r="A351" t="s">
        <v>1169</v>
      </c>
      <c r="B351" t="s">
        <v>1170</v>
      </c>
      <c r="C351" s="4" t="s">
        <v>1177</v>
      </c>
      <c r="D351" t="s">
        <v>1178</v>
      </c>
      <c r="E351">
        <v>2009</v>
      </c>
      <c r="F351" t="s">
        <v>2661</v>
      </c>
      <c r="G351" t="s">
        <v>6</v>
      </c>
      <c r="H351" t="s">
        <v>217</v>
      </c>
      <c r="J351" t="s">
        <v>1173</v>
      </c>
      <c r="K351">
        <v>3</v>
      </c>
      <c r="L351">
        <v>3</v>
      </c>
      <c r="N351">
        <v>2921</v>
      </c>
      <c r="P351">
        <v>3085.8</v>
      </c>
      <c r="W351">
        <v>951.9</v>
      </c>
      <c r="Y351">
        <v>2144.4</v>
      </c>
      <c r="AD351" s="3">
        <f t="shared" si="57"/>
        <v>0.32588154741526876</v>
      </c>
      <c r="AE351" s="3">
        <f t="shared" si="58"/>
        <v>0.69492514096830638</v>
      </c>
      <c r="AI351" s="3">
        <f t="shared" ref="AI351:AI374" si="60">AD351+AE351</f>
        <v>1.0208066883835751</v>
      </c>
      <c r="AR351" t="s">
        <v>1</v>
      </c>
      <c r="AS351" t="s">
        <v>2</v>
      </c>
      <c r="AT351" t="s">
        <v>2</v>
      </c>
      <c r="AU351" t="s">
        <v>2</v>
      </c>
      <c r="AV351" s="10" t="s">
        <v>3</v>
      </c>
    </row>
    <row r="352" spans="1:48" x14ac:dyDescent="0.3">
      <c r="A352" t="s">
        <v>1169</v>
      </c>
      <c r="B352" t="s">
        <v>1170</v>
      </c>
      <c r="C352" s="4" t="s">
        <v>1177</v>
      </c>
      <c r="D352" t="s">
        <v>1178</v>
      </c>
      <c r="E352">
        <v>2009</v>
      </c>
      <c r="F352" t="s">
        <v>2661</v>
      </c>
      <c r="G352" t="s">
        <v>6</v>
      </c>
      <c r="H352" t="s">
        <v>217</v>
      </c>
      <c r="J352" t="s">
        <v>1174</v>
      </c>
      <c r="K352">
        <v>3</v>
      </c>
      <c r="L352">
        <v>3</v>
      </c>
      <c r="N352">
        <v>2921</v>
      </c>
      <c r="P352">
        <v>2468.6</v>
      </c>
      <c r="W352">
        <v>776.2</v>
      </c>
      <c r="Y352">
        <v>2027.6</v>
      </c>
      <c r="AD352" s="3">
        <f t="shared" si="57"/>
        <v>0.26573091407052379</v>
      </c>
      <c r="AE352" s="3">
        <f t="shared" si="58"/>
        <v>0.82135623430284366</v>
      </c>
      <c r="AI352" s="3">
        <f t="shared" si="60"/>
        <v>1.0870871483733675</v>
      </c>
      <c r="AR352" t="s">
        <v>1</v>
      </c>
      <c r="AS352" t="s">
        <v>2</v>
      </c>
      <c r="AT352" t="s">
        <v>2</v>
      </c>
      <c r="AU352" t="s">
        <v>2</v>
      </c>
      <c r="AV352" s="10" t="s">
        <v>3</v>
      </c>
    </row>
    <row r="353" spans="1:48" x14ac:dyDescent="0.3">
      <c r="A353" t="s">
        <v>1169</v>
      </c>
      <c r="B353" t="s">
        <v>1170</v>
      </c>
      <c r="C353" s="4" t="s">
        <v>1177</v>
      </c>
      <c r="D353" t="s">
        <v>1178</v>
      </c>
      <c r="E353">
        <v>2009</v>
      </c>
      <c r="F353" t="s">
        <v>2661</v>
      </c>
      <c r="G353" t="s">
        <v>6</v>
      </c>
      <c r="H353" t="s">
        <v>217</v>
      </c>
      <c r="J353" t="s">
        <v>1175</v>
      </c>
      <c r="K353">
        <v>3</v>
      </c>
      <c r="L353">
        <v>3</v>
      </c>
      <c r="N353">
        <v>2921</v>
      </c>
      <c r="P353">
        <v>3127.3</v>
      </c>
      <c r="W353">
        <v>576.1</v>
      </c>
      <c r="Y353">
        <v>2881.9</v>
      </c>
      <c r="AD353" s="3">
        <f t="shared" si="57"/>
        <v>0.19722697706264977</v>
      </c>
      <c r="AE353" s="3">
        <f t="shared" si="58"/>
        <v>0.9215297541009817</v>
      </c>
      <c r="AI353" s="3">
        <f t="shared" si="60"/>
        <v>1.1187567311636315</v>
      </c>
      <c r="AR353" t="s">
        <v>1</v>
      </c>
      <c r="AS353" t="s">
        <v>2</v>
      </c>
      <c r="AT353" t="s">
        <v>2</v>
      </c>
      <c r="AU353" t="s">
        <v>2</v>
      </c>
      <c r="AV353" s="10" t="s">
        <v>3</v>
      </c>
    </row>
    <row r="354" spans="1:48" x14ac:dyDescent="0.3">
      <c r="A354" t="s">
        <v>1169</v>
      </c>
      <c r="B354" t="s">
        <v>1170</v>
      </c>
      <c r="C354" s="4" t="s">
        <v>1177</v>
      </c>
      <c r="D354" t="s">
        <v>1178</v>
      </c>
      <c r="E354">
        <v>2009</v>
      </c>
      <c r="F354" t="s">
        <v>2661</v>
      </c>
      <c r="G354" t="s">
        <v>6</v>
      </c>
      <c r="H354" t="s">
        <v>217</v>
      </c>
      <c r="J354" t="s">
        <v>1176</v>
      </c>
      <c r="K354">
        <v>3</v>
      </c>
      <c r="L354">
        <v>3</v>
      </c>
      <c r="N354">
        <v>2921</v>
      </c>
      <c r="P354">
        <v>2126.5</v>
      </c>
      <c r="W354">
        <v>1797.5</v>
      </c>
      <c r="Y354">
        <v>710.4</v>
      </c>
      <c r="AD354" s="3">
        <f t="shared" si="57"/>
        <v>0.61537144813420064</v>
      </c>
      <c r="AE354" s="3">
        <f t="shared" si="58"/>
        <v>0.33407006818716201</v>
      </c>
      <c r="AI354" s="3">
        <f t="shared" si="60"/>
        <v>0.94944151632136264</v>
      </c>
      <c r="AR354" t="s">
        <v>1</v>
      </c>
      <c r="AS354" t="s">
        <v>2</v>
      </c>
      <c r="AT354" t="s">
        <v>2</v>
      </c>
      <c r="AU354" t="s">
        <v>2</v>
      </c>
      <c r="AV354" s="10" t="s">
        <v>3</v>
      </c>
    </row>
    <row r="355" spans="1:48" x14ac:dyDescent="0.3">
      <c r="A355" t="s">
        <v>1169</v>
      </c>
      <c r="B355" t="s">
        <v>1170</v>
      </c>
      <c r="C355" s="4" t="s">
        <v>1177</v>
      </c>
      <c r="D355" t="s">
        <v>1178</v>
      </c>
      <c r="E355">
        <v>2010</v>
      </c>
      <c r="F355" t="s">
        <v>2661</v>
      </c>
      <c r="G355" t="s">
        <v>6</v>
      </c>
      <c r="H355" t="s">
        <v>217</v>
      </c>
      <c r="J355" t="s">
        <v>1173</v>
      </c>
      <c r="K355">
        <v>3</v>
      </c>
      <c r="L355">
        <v>3</v>
      </c>
      <c r="N355">
        <v>2864.6</v>
      </c>
      <c r="P355">
        <v>3069</v>
      </c>
      <c r="W355">
        <v>811.6</v>
      </c>
      <c r="Y355">
        <v>2285.9</v>
      </c>
      <c r="AD355" s="3">
        <f t="shared" si="57"/>
        <v>0.28332053340780566</v>
      </c>
      <c r="AE355" s="3">
        <f t="shared" si="58"/>
        <v>0.74483545128706419</v>
      </c>
      <c r="AI355" s="3">
        <f t="shared" si="60"/>
        <v>1.0281559846948698</v>
      </c>
      <c r="AR355" t="s">
        <v>1</v>
      </c>
      <c r="AS355" t="s">
        <v>2</v>
      </c>
      <c r="AT355" t="s">
        <v>2</v>
      </c>
      <c r="AU355" t="s">
        <v>2</v>
      </c>
      <c r="AV355" s="10" t="s">
        <v>3</v>
      </c>
    </row>
    <row r="356" spans="1:48" x14ac:dyDescent="0.3">
      <c r="A356" t="s">
        <v>1169</v>
      </c>
      <c r="B356" t="s">
        <v>1170</v>
      </c>
      <c r="C356" s="4" t="s">
        <v>1177</v>
      </c>
      <c r="D356" t="s">
        <v>1178</v>
      </c>
      <c r="E356">
        <v>2010</v>
      </c>
      <c r="F356" t="s">
        <v>2661</v>
      </c>
      <c r="G356" t="s">
        <v>6</v>
      </c>
      <c r="H356" t="s">
        <v>217</v>
      </c>
      <c r="J356" t="s">
        <v>1174</v>
      </c>
      <c r="K356">
        <v>3</v>
      </c>
      <c r="L356">
        <v>3</v>
      </c>
      <c r="N356">
        <v>2864.6</v>
      </c>
      <c r="P356">
        <v>2197.8000000000002</v>
      </c>
      <c r="W356">
        <v>1051.5999999999999</v>
      </c>
      <c r="Y356">
        <v>1836</v>
      </c>
      <c r="AD356" s="3">
        <f t="shared" si="57"/>
        <v>0.36710186413460866</v>
      </c>
      <c r="AE356" s="3">
        <f t="shared" si="58"/>
        <v>0.8353808353808353</v>
      </c>
      <c r="AI356" s="3">
        <f t="shared" si="60"/>
        <v>1.2024826995154441</v>
      </c>
      <c r="AR356" t="s">
        <v>1</v>
      </c>
      <c r="AS356" t="s">
        <v>2</v>
      </c>
      <c r="AT356" t="s">
        <v>2</v>
      </c>
      <c r="AU356" t="s">
        <v>2</v>
      </c>
      <c r="AV356" s="10" t="s">
        <v>3</v>
      </c>
    </row>
    <row r="357" spans="1:48" x14ac:dyDescent="0.3">
      <c r="A357" t="s">
        <v>1169</v>
      </c>
      <c r="B357" t="s">
        <v>1170</v>
      </c>
      <c r="C357" s="4" t="s">
        <v>1177</v>
      </c>
      <c r="D357" t="s">
        <v>1178</v>
      </c>
      <c r="E357">
        <v>2010</v>
      </c>
      <c r="F357" t="s">
        <v>2661</v>
      </c>
      <c r="G357" t="s">
        <v>6</v>
      </c>
      <c r="H357" t="s">
        <v>217</v>
      </c>
      <c r="J357" t="s">
        <v>1175</v>
      </c>
      <c r="K357">
        <v>3</v>
      </c>
      <c r="L357">
        <v>3</v>
      </c>
      <c r="N357">
        <v>2864.6</v>
      </c>
      <c r="P357">
        <v>4103.1000000000004</v>
      </c>
      <c r="W357">
        <v>561.1</v>
      </c>
      <c r="Y357">
        <v>4219.2</v>
      </c>
      <c r="AD357" s="3">
        <f t="shared" si="57"/>
        <v>0.19587376946170496</v>
      </c>
      <c r="AE357" s="3">
        <f t="shared" si="58"/>
        <v>1.0282956788769466</v>
      </c>
      <c r="AI357" s="3">
        <f t="shared" si="60"/>
        <v>1.2241694483386516</v>
      </c>
      <c r="AR357" t="s">
        <v>1</v>
      </c>
      <c r="AS357" t="s">
        <v>2</v>
      </c>
      <c r="AT357" t="s">
        <v>2</v>
      </c>
      <c r="AU357" t="s">
        <v>2</v>
      </c>
      <c r="AV357" s="10" t="s">
        <v>3</v>
      </c>
    </row>
    <row r="358" spans="1:48" x14ac:dyDescent="0.3">
      <c r="A358" t="s">
        <v>1169</v>
      </c>
      <c r="B358" t="s">
        <v>1170</v>
      </c>
      <c r="C358" s="4" t="s">
        <v>1177</v>
      </c>
      <c r="D358" t="s">
        <v>1178</v>
      </c>
      <c r="E358">
        <v>2010</v>
      </c>
      <c r="F358" t="s">
        <v>2661</v>
      </c>
      <c r="G358" t="s">
        <v>6</v>
      </c>
      <c r="H358" t="s">
        <v>217</v>
      </c>
      <c r="J358" t="s">
        <v>1176</v>
      </c>
      <c r="K358">
        <v>3</v>
      </c>
      <c r="L358">
        <v>3</v>
      </c>
      <c r="N358">
        <v>2864.6</v>
      </c>
      <c r="P358">
        <v>3272.1</v>
      </c>
      <c r="W358">
        <v>1225.4000000000001</v>
      </c>
      <c r="Y358">
        <v>2548.6999999999998</v>
      </c>
      <c r="AD358" s="3">
        <f t="shared" si="57"/>
        <v>0.42777351113593526</v>
      </c>
      <c r="AE358" s="3">
        <f t="shared" si="58"/>
        <v>0.77891873720240823</v>
      </c>
      <c r="AI358" s="3">
        <f t="shared" si="60"/>
        <v>1.2066922483383435</v>
      </c>
      <c r="AR358" t="s">
        <v>1</v>
      </c>
      <c r="AS358" t="s">
        <v>2</v>
      </c>
      <c r="AT358" t="s">
        <v>2</v>
      </c>
      <c r="AU358" t="s">
        <v>2</v>
      </c>
      <c r="AV358" s="10" t="s">
        <v>3</v>
      </c>
    </row>
    <row r="359" spans="1:48" x14ac:dyDescent="0.3">
      <c r="A359" t="s">
        <v>1169</v>
      </c>
      <c r="B359" t="s">
        <v>1170</v>
      </c>
      <c r="C359" s="4" t="s">
        <v>1177</v>
      </c>
      <c r="D359" t="s">
        <v>1172</v>
      </c>
      <c r="E359">
        <v>2007</v>
      </c>
      <c r="F359" t="s">
        <v>2661</v>
      </c>
      <c r="G359" t="s">
        <v>6</v>
      </c>
      <c r="H359" t="s">
        <v>217</v>
      </c>
      <c r="J359" t="s">
        <v>1173</v>
      </c>
      <c r="K359">
        <v>3</v>
      </c>
      <c r="L359">
        <v>3</v>
      </c>
      <c r="N359">
        <v>748.1</v>
      </c>
      <c r="P359">
        <v>1370</v>
      </c>
      <c r="W359">
        <v>356.8</v>
      </c>
      <c r="Y359">
        <v>933.2</v>
      </c>
      <c r="AD359" s="3">
        <f t="shared" si="57"/>
        <v>0.47694158534955222</v>
      </c>
      <c r="AE359" s="3">
        <f t="shared" si="58"/>
        <v>0.68116788321167887</v>
      </c>
      <c r="AI359" s="3">
        <f t="shared" si="60"/>
        <v>1.1581094685612312</v>
      </c>
      <c r="AR359" t="s">
        <v>1</v>
      </c>
      <c r="AS359" t="s">
        <v>2</v>
      </c>
      <c r="AT359" t="s">
        <v>2</v>
      </c>
      <c r="AU359" t="s">
        <v>2</v>
      </c>
      <c r="AV359" s="10" t="s">
        <v>3</v>
      </c>
    </row>
    <row r="360" spans="1:48" x14ac:dyDescent="0.3">
      <c r="A360" t="s">
        <v>1169</v>
      </c>
      <c r="B360" t="s">
        <v>1170</v>
      </c>
      <c r="C360" s="4" t="s">
        <v>1177</v>
      </c>
      <c r="D360" t="s">
        <v>1172</v>
      </c>
      <c r="E360">
        <v>2007</v>
      </c>
      <c r="F360" t="s">
        <v>2661</v>
      </c>
      <c r="G360" t="s">
        <v>6</v>
      </c>
      <c r="H360" t="s">
        <v>217</v>
      </c>
      <c r="J360" t="s">
        <v>1174</v>
      </c>
      <c r="K360">
        <v>3</v>
      </c>
      <c r="L360">
        <v>3</v>
      </c>
      <c r="N360">
        <v>748.1</v>
      </c>
      <c r="P360">
        <v>720</v>
      </c>
      <c r="W360">
        <v>465.7</v>
      </c>
      <c r="Y360">
        <v>554.29999999999995</v>
      </c>
      <c r="AD360" s="3">
        <f t="shared" si="57"/>
        <v>0.62251035957759659</v>
      </c>
      <c r="AE360" s="3">
        <f t="shared" si="58"/>
        <v>0.769861111111111</v>
      </c>
      <c r="AI360" s="3">
        <f t="shared" si="60"/>
        <v>1.3923714706887076</v>
      </c>
      <c r="AR360" t="s">
        <v>1</v>
      </c>
      <c r="AS360" t="s">
        <v>2</v>
      </c>
      <c r="AT360" t="s">
        <v>2</v>
      </c>
      <c r="AU360" t="s">
        <v>2</v>
      </c>
      <c r="AV360" s="10" t="s">
        <v>3</v>
      </c>
    </row>
    <row r="361" spans="1:48" x14ac:dyDescent="0.3">
      <c r="A361" t="s">
        <v>1169</v>
      </c>
      <c r="B361" t="s">
        <v>1170</v>
      </c>
      <c r="C361" s="4" t="s">
        <v>1177</v>
      </c>
      <c r="D361" t="s">
        <v>1172</v>
      </c>
      <c r="E361">
        <v>2007</v>
      </c>
      <c r="F361" t="s">
        <v>2661</v>
      </c>
      <c r="G361" t="s">
        <v>6</v>
      </c>
      <c r="H361" t="s">
        <v>217</v>
      </c>
      <c r="J361" t="s">
        <v>1175</v>
      </c>
      <c r="K361">
        <v>3</v>
      </c>
      <c r="L361">
        <v>3</v>
      </c>
      <c r="N361">
        <v>748.1</v>
      </c>
      <c r="P361">
        <v>1430</v>
      </c>
      <c r="W361">
        <v>310</v>
      </c>
      <c r="Y361">
        <v>1309</v>
      </c>
      <c r="AD361" s="3">
        <f t="shared" si="57"/>
        <v>0.41438310386311988</v>
      </c>
      <c r="AE361" s="3">
        <f t="shared" si="58"/>
        <v>0.91538461538461535</v>
      </c>
      <c r="AI361" s="3">
        <f t="shared" si="60"/>
        <v>1.3297677192477353</v>
      </c>
      <c r="AR361" t="s">
        <v>1</v>
      </c>
      <c r="AS361" t="s">
        <v>2</v>
      </c>
      <c r="AT361" t="s">
        <v>2</v>
      </c>
      <c r="AU361" t="s">
        <v>2</v>
      </c>
      <c r="AV361" s="10" t="s">
        <v>3</v>
      </c>
    </row>
    <row r="362" spans="1:48" x14ac:dyDescent="0.3">
      <c r="A362" t="s">
        <v>1169</v>
      </c>
      <c r="B362" t="s">
        <v>1170</v>
      </c>
      <c r="C362" s="4" t="s">
        <v>1177</v>
      </c>
      <c r="D362" t="s">
        <v>1172</v>
      </c>
      <c r="E362">
        <v>2007</v>
      </c>
      <c r="F362" t="s">
        <v>2661</v>
      </c>
      <c r="G362" t="s">
        <v>6</v>
      </c>
      <c r="H362" t="s">
        <v>217</v>
      </c>
      <c r="J362" t="s">
        <v>1176</v>
      </c>
      <c r="K362">
        <v>3</v>
      </c>
      <c r="L362">
        <v>3</v>
      </c>
      <c r="N362">
        <v>748.1</v>
      </c>
      <c r="P362">
        <v>1270</v>
      </c>
      <c r="W362">
        <v>249.1</v>
      </c>
      <c r="Y362">
        <v>1170.9000000000001</v>
      </c>
      <c r="AD362" s="3">
        <f t="shared" si="57"/>
        <v>0.33297687474936505</v>
      </c>
      <c r="AE362" s="3">
        <f t="shared" si="58"/>
        <v>0.92196850393700791</v>
      </c>
      <c r="AI362" s="3">
        <f t="shared" si="60"/>
        <v>1.2549453786863729</v>
      </c>
      <c r="AR362" t="s">
        <v>1</v>
      </c>
      <c r="AS362" t="s">
        <v>2</v>
      </c>
      <c r="AT362" t="s">
        <v>2</v>
      </c>
      <c r="AU362" t="s">
        <v>2</v>
      </c>
      <c r="AV362" s="10" t="s">
        <v>3</v>
      </c>
    </row>
    <row r="363" spans="1:48" x14ac:dyDescent="0.3">
      <c r="A363" t="s">
        <v>1169</v>
      </c>
      <c r="B363" t="s">
        <v>1170</v>
      </c>
      <c r="C363" s="4" t="s">
        <v>1177</v>
      </c>
      <c r="D363" t="s">
        <v>1172</v>
      </c>
      <c r="E363">
        <v>2008</v>
      </c>
      <c r="F363" t="s">
        <v>2661</v>
      </c>
      <c r="G363" t="s">
        <v>6</v>
      </c>
      <c r="H363" t="s">
        <v>217</v>
      </c>
      <c r="J363" t="s">
        <v>1173</v>
      </c>
      <c r="K363">
        <v>3</v>
      </c>
      <c r="L363">
        <v>3</v>
      </c>
      <c r="N363">
        <v>2000</v>
      </c>
      <c r="P363">
        <v>1680</v>
      </c>
      <c r="W363">
        <v>572.29999999999995</v>
      </c>
      <c r="Y363">
        <v>1287.7</v>
      </c>
      <c r="AD363" s="3">
        <f t="shared" si="57"/>
        <v>0.28614999999999996</v>
      </c>
      <c r="AE363" s="3">
        <f t="shared" si="58"/>
        <v>0.76648809523809525</v>
      </c>
      <c r="AI363" s="3">
        <f t="shared" si="60"/>
        <v>1.0526380952380952</v>
      </c>
      <c r="AR363" t="s">
        <v>1</v>
      </c>
      <c r="AS363" t="s">
        <v>2</v>
      </c>
      <c r="AT363" t="s">
        <v>2</v>
      </c>
      <c r="AU363" t="s">
        <v>2</v>
      </c>
      <c r="AV363" s="10" t="s">
        <v>3</v>
      </c>
    </row>
    <row r="364" spans="1:48" x14ac:dyDescent="0.3">
      <c r="A364" t="s">
        <v>1169</v>
      </c>
      <c r="B364" t="s">
        <v>1170</v>
      </c>
      <c r="C364" s="4" t="s">
        <v>1177</v>
      </c>
      <c r="D364" t="s">
        <v>1172</v>
      </c>
      <c r="E364">
        <v>2008</v>
      </c>
      <c r="F364" t="s">
        <v>2661</v>
      </c>
      <c r="G364" t="s">
        <v>6</v>
      </c>
      <c r="H364" t="s">
        <v>217</v>
      </c>
      <c r="J364" t="s">
        <v>1174</v>
      </c>
      <c r="K364">
        <v>3</v>
      </c>
      <c r="L364">
        <v>3</v>
      </c>
      <c r="N364">
        <v>2000</v>
      </c>
      <c r="P364">
        <v>1320</v>
      </c>
      <c r="W364">
        <v>483.4</v>
      </c>
      <c r="Y364">
        <v>1186.5999999999999</v>
      </c>
      <c r="AD364" s="3">
        <f t="shared" si="57"/>
        <v>0.2417</v>
      </c>
      <c r="AE364" s="3">
        <f t="shared" si="58"/>
        <v>0.89893939393939382</v>
      </c>
      <c r="AI364" s="3">
        <f t="shared" si="60"/>
        <v>1.1406393939393937</v>
      </c>
      <c r="AR364" t="s">
        <v>1</v>
      </c>
      <c r="AS364" t="s">
        <v>2</v>
      </c>
      <c r="AT364" t="s">
        <v>2</v>
      </c>
      <c r="AU364" t="s">
        <v>2</v>
      </c>
      <c r="AV364" s="10" t="s">
        <v>3</v>
      </c>
    </row>
    <row r="365" spans="1:48" x14ac:dyDescent="0.3">
      <c r="A365" t="s">
        <v>1169</v>
      </c>
      <c r="B365" t="s">
        <v>1170</v>
      </c>
      <c r="C365" s="4" t="s">
        <v>1177</v>
      </c>
      <c r="D365" t="s">
        <v>1172</v>
      </c>
      <c r="E365">
        <v>2008</v>
      </c>
      <c r="F365" t="s">
        <v>2661</v>
      </c>
      <c r="G365" t="s">
        <v>6</v>
      </c>
      <c r="H365" t="s">
        <v>217</v>
      </c>
      <c r="J365" t="s">
        <v>1175</v>
      </c>
      <c r="K365">
        <v>3</v>
      </c>
      <c r="L365">
        <v>3</v>
      </c>
      <c r="N365">
        <v>2000</v>
      </c>
      <c r="P365">
        <v>1570</v>
      </c>
      <c r="W365">
        <v>418.3</v>
      </c>
      <c r="Y365">
        <v>2031.7</v>
      </c>
      <c r="AD365" s="3">
        <f t="shared" si="57"/>
        <v>0.20915</v>
      </c>
      <c r="AE365" s="3">
        <f t="shared" si="58"/>
        <v>1.2940764331210191</v>
      </c>
      <c r="AI365" s="3">
        <f t="shared" si="60"/>
        <v>1.503226433121019</v>
      </c>
      <c r="AR365" t="s">
        <v>1</v>
      </c>
      <c r="AS365" t="s">
        <v>2</v>
      </c>
      <c r="AT365" t="s">
        <v>2</v>
      </c>
      <c r="AU365" t="s">
        <v>2</v>
      </c>
      <c r="AV365" s="10" t="s">
        <v>3</v>
      </c>
    </row>
    <row r="366" spans="1:48" x14ac:dyDescent="0.3">
      <c r="A366" t="s">
        <v>1169</v>
      </c>
      <c r="B366" t="s">
        <v>1170</v>
      </c>
      <c r="C366" s="4" t="s">
        <v>1177</v>
      </c>
      <c r="D366" t="s">
        <v>1172</v>
      </c>
      <c r="E366">
        <v>2008</v>
      </c>
      <c r="F366" t="s">
        <v>2661</v>
      </c>
      <c r="G366" t="s">
        <v>6</v>
      </c>
      <c r="H366" t="s">
        <v>217</v>
      </c>
      <c r="J366" t="s">
        <v>1176</v>
      </c>
      <c r="K366">
        <v>3</v>
      </c>
      <c r="L366">
        <v>3</v>
      </c>
      <c r="N366">
        <v>2000</v>
      </c>
      <c r="P366">
        <v>1610</v>
      </c>
      <c r="W366">
        <v>422.2</v>
      </c>
      <c r="Y366">
        <v>1247.8</v>
      </c>
      <c r="AD366" s="3">
        <f t="shared" si="57"/>
        <v>0.21109999999999998</v>
      </c>
      <c r="AE366" s="3">
        <f t="shared" si="58"/>
        <v>0.77503105590062105</v>
      </c>
      <c r="AI366" s="3">
        <f t="shared" si="60"/>
        <v>0.986131055900621</v>
      </c>
      <c r="AR366" t="s">
        <v>1</v>
      </c>
      <c r="AS366" t="s">
        <v>2</v>
      </c>
      <c r="AT366" t="s">
        <v>2</v>
      </c>
      <c r="AU366" t="s">
        <v>2</v>
      </c>
      <c r="AV366" s="10" t="s">
        <v>3</v>
      </c>
    </row>
    <row r="367" spans="1:48" x14ac:dyDescent="0.3">
      <c r="A367" t="s">
        <v>1169</v>
      </c>
      <c r="B367" t="s">
        <v>1170</v>
      </c>
      <c r="C367" s="4" t="s">
        <v>1177</v>
      </c>
      <c r="D367" t="s">
        <v>1172</v>
      </c>
      <c r="E367">
        <v>2009</v>
      </c>
      <c r="F367" t="s">
        <v>2661</v>
      </c>
      <c r="G367" t="s">
        <v>6</v>
      </c>
      <c r="H367" t="s">
        <v>217</v>
      </c>
      <c r="J367" t="s">
        <v>1173</v>
      </c>
      <c r="K367">
        <v>3</v>
      </c>
      <c r="L367">
        <v>3</v>
      </c>
      <c r="N367">
        <v>1570</v>
      </c>
      <c r="P367">
        <v>1980</v>
      </c>
      <c r="W367">
        <v>310.3</v>
      </c>
      <c r="Y367">
        <v>1629.7</v>
      </c>
      <c r="AD367" s="3">
        <f t="shared" si="57"/>
        <v>0.19764331210191083</v>
      </c>
      <c r="AE367" s="3">
        <f t="shared" si="58"/>
        <v>0.82308080808080808</v>
      </c>
      <c r="AI367" s="3">
        <f t="shared" si="60"/>
        <v>1.0207241201827189</v>
      </c>
      <c r="AR367" t="s">
        <v>1</v>
      </c>
      <c r="AS367" t="s">
        <v>2</v>
      </c>
      <c r="AT367" t="s">
        <v>2</v>
      </c>
      <c r="AU367" t="s">
        <v>2</v>
      </c>
      <c r="AV367" s="10" t="s">
        <v>3</v>
      </c>
    </row>
    <row r="368" spans="1:48" x14ac:dyDescent="0.3">
      <c r="A368" t="s">
        <v>1169</v>
      </c>
      <c r="B368" t="s">
        <v>1170</v>
      </c>
      <c r="C368" s="4" t="s">
        <v>1177</v>
      </c>
      <c r="D368" t="s">
        <v>1172</v>
      </c>
      <c r="E368">
        <v>2009</v>
      </c>
      <c r="F368" t="s">
        <v>2661</v>
      </c>
      <c r="G368" t="s">
        <v>6</v>
      </c>
      <c r="H368" t="s">
        <v>217</v>
      </c>
      <c r="J368" t="s">
        <v>1174</v>
      </c>
      <c r="K368">
        <v>3</v>
      </c>
      <c r="L368">
        <v>3</v>
      </c>
      <c r="N368">
        <v>1570</v>
      </c>
      <c r="P368">
        <v>1380</v>
      </c>
      <c r="W368">
        <v>331.7</v>
      </c>
      <c r="Y368">
        <v>1178.3</v>
      </c>
      <c r="AD368" s="3">
        <f t="shared" si="57"/>
        <v>0.21127388535031846</v>
      </c>
      <c r="AE368" s="3">
        <f t="shared" si="58"/>
        <v>0.85384057971014493</v>
      </c>
      <c r="AI368" s="3">
        <f t="shared" si="60"/>
        <v>1.0651144650604634</v>
      </c>
      <c r="AR368" t="s">
        <v>1</v>
      </c>
      <c r="AS368" t="s">
        <v>2</v>
      </c>
      <c r="AT368" t="s">
        <v>2</v>
      </c>
      <c r="AU368" t="s">
        <v>2</v>
      </c>
      <c r="AV368" s="10" t="s">
        <v>3</v>
      </c>
    </row>
    <row r="369" spans="1:49" x14ac:dyDescent="0.3">
      <c r="A369" t="s">
        <v>1169</v>
      </c>
      <c r="B369" t="s">
        <v>1170</v>
      </c>
      <c r="C369" s="4" t="s">
        <v>1177</v>
      </c>
      <c r="D369" t="s">
        <v>1172</v>
      </c>
      <c r="E369">
        <v>2009</v>
      </c>
      <c r="F369" t="s">
        <v>2661</v>
      </c>
      <c r="G369" t="s">
        <v>6</v>
      </c>
      <c r="H369" t="s">
        <v>217</v>
      </c>
      <c r="J369" t="s">
        <v>1175</v>
      </c>
      <c r="K369">
        <v>3</v>
      </c>
      <c r="L369">
        <v>3</v>
      </c>
      <c r="N369">
        <v>1570</v>
      </c>
      <c r="P369">
        <v>2460</v>
      </c>
      <c r="W369">
        <v>354</v>
      </c>
      <c r="Y369">
        <v>1760.2</v>
      </c>
      <c r="AD369" s="3">
        <f t="shared" si="57"/>
        <v>0.22547770700636943</v>
      </c>
      <c r="AE369" s="3">
        <f t="shared" si="58"/>
        <v>0.71552845528455289</v>
      </c>
      <c r="AI369" s="3">
        <f t="shared" si="60"/>
        <v>0.94100616229092227</v>
      </c>
      <c r="AR369" t="s">
        <v>1</v>
      </c>
      <c r="AS369" t="s">
        <v>2</v>
      </c>
      <c r="AT369" t="s">
        <v>2</v>
      </c>
      <c r="AU369" t="s">
        <v>2</v>
      </c>
      <c r="AV369" s="10" t="s">
        <v>3</v>
      </c>
    </row>
    <row r="370" spans="1:49" x14ac:dyDescent="0.3">
      <c r="A370" t="s">
        <v>1169</v>
      </c>
      <c r="B370" t="s">
        <v>1170</v>
      </c>
      <c r="C370" s="4" t="s">
        <v>1177</v>
      </c>
      <c r="D370" t="s">
        <v>1172</v>
      </c>
      <c r="E370">
        <v>2009</v>
      </c>
      <c r="F370" t="s">
        <v>2661</v>
      </c>
      <c r="G370" t="s">
        <v>6</v>
      </c>
      <c r="H370" t="s">
        <v>217</v>
      </c>
      <c r="J370" t="s">
        <v>1176</v>
      </c>
      <c r="K370">
        <v>3</v>
      </c>
      <c r="L370">
        <v>3</v>
      </c>
      <c r="N370">
        <v>1570</v>
      </c>
      <c r="P370">
        <v>2330</v>
      </c>
      <c r="W370">
        <v>375.7</v>
      </c>
      <c r="Y370">
        <v>1707.3</v>
      </c>
      <c r="AD370" s="3">
        <f t="shared" si="57"/>
        <v>0.23929936305732483</v>
      </c>
      <c r="AE370" s="3">
        <f t="shared" si="58"/>
        <v>0.73274678111587976</v>
      </c>
      <c r="AI370" s="3">
        <f t="shared" si="60"/>
        <v>0.97204614417320456</v>
      </c>
      <c r="AR370" t="s">
        <v>1</v>
      </c>
      <c r="AS370" t="s">
        <v>2</v>
      </c>
      <c r="AT370" t="s">
        <v>2</v>
      </c>
      <c r="AU370" t="s">
        <v>2</v>
      </c>
      <c r="AV370" s="10" t="s">
        <v>3</v>
      </c>
    </row>
    <row r="371" spans="1:49" x14ac:dyDescent="0.3">
      <c r="A371" t="s">
        <v>1169</v>
      </c>
      <c r="B371" t="s">
        <v>1170</v>
      </c>
      <c r="C371" s="4" t="s">
        <v>1177</v>
      </c>
      <c r="D371" t="s">
        <v>1172</v>
      </c>
      <c r="E371">
        <v>2010</v>
      </c>
      <c r="F371" t="s">
        <v>2661</v>
      </c>
      <c r="G371" t="s">
        <v>6</v>
      </c>
      <c r="H371" t="s">
        <v>217</v>
      </c>
      <c r="J371" t="s">
        <v>1173</v>
      </c>
      <c r="K371">
        <v>3</v>
      </c>
      <c r="L371">
        <v>3</v>
      </c>
      <c r="N371">
        <v>780</v>
      </c>
      <c r="P371">
        <v>770</v>
      </c>
      <c r="W371">
        <v>160</v>
      </c>
      <c r="Y371">
        <v>950</v>
      </c>
      <c r="AD371" s="3">
        <f t="shared" si="57"/>
        <v>0.20512820512820512</v>
      </c>
      <c r="AE371" s="3">
        <f t="shared" si="58"/>
        <v>1.2337662337662338</v>
      </c>
      <c r="AI371" s="3">
        <f t="shared" si="60"/>
        <v>1.4388944388944389</v>
      </c>
      <c r="AR371" t="s">
        <v>1</v>
      </c>
      <c r="AS371" t="s">
        <v>2</v>
      </c>
      <c r="AT371" t="s">
        <v>2</v>
      </c>
      <c r="AU371" t="s">
        <v>2</v>
      </c>
      <c r="AV371" s="10" t="s">
        <v>3</v>
      </c>
    </row>
    <row r="372" spans="1:49" x14ac:dyDescent="0.3">
      <c r="A372" t="s">
        <v>1169</v>
      </c>
      <c r="B372" t="s">
        <v>1170</v>
      </c>
      <c r="C372" s="4" t="s">
        <v>1177</v>
      </c>
      <c r="D372" t="s">
        <v>1172</v>
      </c>
      <c r="E372">
        <v>2010</v>
      </c>
      <c r="F372" t="s">
        <v>2661</v>
      </c>
      <c r="G372" t="s">
        <v>6</v>
      </c>
      <c r="H372" t="s">
        <v>217</v>
      </c>
      <c r="J372" t="s">
        <v>1174</v>
      </c>
      <c r="K372">
        <v>3</v>
      </c>
      <c r="L372">
        <v>3</v>
      </c>
      <c r="N372">
        <v>780</v>
      </c>
      <c r="P372">
        <v>490</v>
      </c>
      <c r="W372">
        <v>250</v>
      </c>
      <c r="Y372">
        <v>390</v>
      </c>
      <c r="AD372" s="3">
        <f t="shared" si="57"/>
        <v>0.32051282051282054</v>
      </c>
      <c r="AE372" s="3">
        <f t="shared" si="58"/>
        <v>0.79591836734693877</v>
      </c>
      <c r="AI372" s="3">
        <f t="shared" si="60"/>
        <v>1.1164311878597593</v>
      </c>
      <c r="AR372" t="s">
        <v>1</v>
      </c>
      <c r="AS372" t="s">
        <v>2</v>
      </c>
      <c r="AT372" t="s">
        <v>2</v>
      </c>
      <c r="AU372" t="s">
        <v>2</v>
      </c>
      <c r="AV372" s="10" t="s">
        <v>3</v>
      </c>
    </row>
    <row r="373" spans="1:49" x14ac:dyDescent="0.3">
      <c r="A373" t="s">
        <v>1169</v>
      </c>
      <c r="B373" t="s">
        <v>1170</v>
      </c>
      <c r="C373" s="4" t="s">
        <v>1177</v>
      </c>
      <c r="D373" t="s">
        <v>1172</v>
      </c>
      <c r="E373">
        <v>2010</v>
      </c>
      <c r="F373" t="s">
        <v>2661</v>
      </c>
      <c r="G373" t="s">
        <v>6</v>
      </c>
      <c r="H373" t="s">
        <v>217</v>
      </c>
      <c r="J373" t="s">
        <v>1175</v>
      </c>
      <c r="K373">
        <v>3</v>
      </c>
      <c r="L373">
        <v>3</v>
      </c>
      <c r="N373">
        <v>780</v>
      </c>
      <c r="P373">
        <v>2160</v>
      </c>
      <c r="W373">
        <v>290</v>
      </c>
      <c r="Y373">
        <v>1560</v>
      </c>
      <c r="AD373" s="3">
        <f t="shared" si="57"/>
        <v>0.37179487179487181</v>
      </c>
      <c r="AE373" s="3">
        <f t="shared" si="58"/>
        <v>0.72222222222222221</v>
      </c>
      <c r="AI373" s="3">
        <f t="shared" si="60"/>
        <v>1.0940170940170941</v>
      </c>
      <c r="AR373" t="s">
        <v>1</v>
      </c>
      <c r="AS373" t="s">
        <v>2</v>
      </c>
      <c r="AT373" t="s">
        <v>2</v>
      </c>
      <c r="AU373" t="s">
        <v>2</v>
      </c>
      <c r="AV373" s="10" t="s">
        <v>3</v>
      </c>
    </row>
    <row r="374" spans="1:49" x14ac:dyDescent="0.3">
      <c r="A374" t="s">
        <v>1169</v>
      </c>
      <c r="B374" t="s">
        <v>1170</v>
      </c>
      <c r="C374" s="4" t="s">
        <v>1177</v>
      </c>
      <c r="D374" t="s">
        <v>1172</v>
      </c>
      <c r="E374">
        <v>2010</v>
      </c>
      <c r="F374" t="s">
        <v>2661</v>
      </c>
      <c r="G374" t="s">
        <v>6</v>
      </c>
      <c r="H374" t="s">
        <v>217</v>
      </c>
      <c r="J374" t="s">
        <v>1176</v>
      </c>
      <c r="K374">
        <v>3</v>
      </c>
      <c r="L374">
        <v>3</v>
      </c>
      <c r="N374">
        <v>780</v>
      </c>
      <c r="P374">
        <v>1680</v>
      </c>
      <c r="W374">
        <v>170</v>
      </c>
      <c r="Y374">
        <v>890</v>
      </c>
      <c r="AD374" s="3">
        <f t="shared" si="57"/>
        <v>0.21794871794871795</v>
      </c>
      <c r="AE374" s="3">
        <f t="shared" si="58"/>
        <v>0.52976190476190477</v>
      </c>
      <c r="AI374" s="3">
        <f t="shared" si="60"/>
        <v>0.74771062271062272</v>
      </c>
      <c r="AR374" t="s">
        <v>1</v>
      </c>
      <c r="AS374" t="s">
        <v>2</v>
      </c>
      <c r="AT374" t="s">
        <v>2</v>
      </c>
      <c r="AU374" t="s">
        <v>2</v>
      </c>
      <c r="AV374" s="10" t="s">
        <v>3</v>
      </c>
    </row>
    <row r="375" spans="1:49" x14ac:dyDescent="0.3">
      <c r="A375" t="s">
        <v>1179</v>
      </c>
      <c r="B375" t="s">
        <v>268</v>
      </c>
      <c r="C375" s="4" t="s">
        <v>162</v>
      </c>
      <c r="D375" s="4" t="s">
        <v>1185</v>
      </c>
      <c r="E375">
        <v>2011</v>
      </c>
      <c r="F375" t="s">
        <v>2661</v>
      </c>
      <c r="G375" t="s">
        <v>1180</v>
      </c>
      <c r="H375" t="s">
        <v>217</v>
      </c>
      <c r="J375" t="s">
        <v>1181</v>
      </c>
      <c r="K375">
        <v>3</v>
      </c>
      <c r="L375">
        <v>3</v>
      </c>
      <c r="AE375">
        <v>1.22</v>
      </c>
      <c r="AI375">
        <v>1.22</v>
      </c>
      <c r="AQ375">
        <v>0</v>
      </c>
      <c r="AS375" t="s">
        <v>2</v>
      </c>
      <c r="AT375" t="s">
        <v>3</v>
      </c>
      <c r="AU375" t="s">
        <v>2</v>
      </c>
      <c r="AV375" s="10" t="s">
        <v>3</v>
      </c>
      <c r="AW375" t="s">
        <v>1189</v>
      </c>
    </row>
    <row r="376" spans="1:49" x14ac:dyDescent="0.3">
      <c r="A376" t="s">
        <v>1179</v>
      </c>
      <c r="B376" t="s">
        <v>268</v>
      </c>
      <c r="C376" s="4" t="s">
        <v>162</v>
      </c>
      <c r="D376" s="4" t="s">
        <v>1185</v>
      </c>
      <c r="E376">
        <v>2011</v>
      </c>
      <c r="F376" t="s">
        <v>2661</v>
      </c>
      <c r="G376" t="s">
        <v>1180</v>
      </c>
      <c r="H376" t="s">
        <v>217</v>
      </c>
      <c r="J376" t="s">
        <v>1182</v>
      </c>
      <c r="K376">
        <v>3</v>
      </c>
      <c r="L376">
        <v>3</v>
      </c>
      <c r="AE376">
        <v>0.94</v>
      </c>
      <c r="AI376">
        <v>0.94</v>
      </c>
      <c r="AQ376">
        <v>0</v>
      </c>
      <c r="AS376" t="s">
        <v>2</v>
      </c>
      <c r="AT376" t="s">
        <v>3</v>
      </c>
      <c r="AU376" t="s">
        <v>2</v>
      </c>
      <c r="AV376" s="10" t="s">
        <v>3</v>
      </c>
      <c r="AW376" t="s">
        <v>1189</v>
      </c>
    </row>
    <row r="377" spans="1:49" x14ac:dyDescent="0.3">
      <c r="A377" t="s">
        <v>1179</v>
      </c>
      <c r="B377" t="s">
        <v>268</v>
      </c>
      <c r="C377" s="4" t="s">
        <v>162</v>
      </c>
      <c r="D377" s="4" t="s">
        <v>1185</v>
      </c>
      <c r="E377">
        <v>2011</v>
      </c>
      <c r="F377" t="s">
        <v>2661</v>
      </c>
      <c r="G377" t="s">
        <v>1180</v>
      </c>
      <c r="H377" t="s">
        <v>217</v>
      </c>
      <c r="J377" t="s">
        <v>1183</v>
      </c>
      <c r="K377">
        <v>3</v>
      </c>
      <c r="L377">
        <v>3</v>
      </c>
      <c r="AE377">
        <v>0.88</v>
      </c>
      <c r="AF377">
        <f>AI377-AE377</f>
        <v>0.28999999999999992</v>
      </c>
      <c r="AI377">
        <v>1.17</v>
      </c>
      <c r="AQ377">
        <v>0</v>
      </c>
      <c r="AS377" t="s">
        <v>2</v>
      </c>
      <c r="AT377" t="s">
        <v>3</v>
      </c>
      <c r="AU377" t="s">
        <v>2</v>
      </c>
      <c r="AV377" s="10" t="s">
        <v>3</v>
      </c>
      <c r="AW377" t="s">
        <v>1189</v>
      </c>
    </row>
    <row r="378" spans="1:49" x14ac:dyDescent="0.3">
      <c r="A378" t="s">
        <v>1179</v>
      </c>
      <c r="B378" t="s">
        <v>268</v>
      </c>
      <c r="C378" s="4" t="s">
        <v>162</v>
      </c>
      <c r="D378" s="4" t="s">
        <v>1185</v>
      </c>
      <c r="E378">
        <v>2011</v>
      </c>
      <c r="F378" t="s">
        <v>2661</v>
      </c>
      <c r="G378" t="s">
        <v>1180</v>
      </c>
      <c r="H378" t="s">
        <v>217</v>
      </c>
      <c r="J378" t="s">
        <v>1186</v>
      </c>
      <c r="K378">
        <v>3</v>
      </c>
      <c r="L378">
        <v>3</v>
      </c>
      <c r="AE378">
        <v>0.83</v>
      </c>
      <c r="AF378">
        <f>1.01-AE378</f>
        <v>0.18000000000000005</v>
      </c>
      <c r="AG378">
        <f>AI378-AF378-AE378</f>
        <v>0.15999999999999992</v>
      </c>
      <c r="AI378">
        <v>1.17</v>
      </c>
      <c r="AQ378">
        <v>0</v>
      </c>
      <c r="AS378" t="s">
        <v>2</v>
      </c>
      <c r="AT378" t="s">
        <v>3</v>
      </c>
      <c r="AU378" t="s">
        <v>2</v>
      </c>
      <c r="AV378" s="10" t="s">
        <v>3</v>
      </c>
      <c r="AW378" t="s">
        <v>1189</v>
      </c>
    </row>
    <row r="379" spans="1:49" x14ac:dyDescent="0.3">
      <c r="A379" t="s">
        <v>1179</v>
      </c>
      <c r="B379" t="s">
        <v>268</v>
      </c>
      <c r="C379" s="4" t="s">
        <v>162</v>
      </c>
      <c r="D379" s="4" t="s">
        <v>1185</v>
      </c>
      <c r="E379">
        <v>2011</v>
      </c>
      <c r="F379" t="s">
        <v>2661</v>
      </c>
      <c r="G379" t="s">
        <v>34</v>
      </c>
      <c r="H379" t="s">
        <v>217</v>
      </c>
      <c r="J379" t="s">
        <v>1184</v>
      </c>
      <c r="K379">
        <v>3</v>
      </c>
      <c r="L379">
        <v>3</v>
      </c>
      <c r="AE379">
        <v>0.68</v>
      </c>
      <c r="AF379">
        <f>0.84-AE379</f>
        <v>0.15999999999999992</v>
      </c>
      <c r="AG379">
        <f>1.01-AE379-AF379</f>
        <v>0.17000000000000004</v>
      </c>
      <c r="AH379">
        <f>AI379-AG379-AF379-AE379</f>
        <v>8.0000000000000071E-2</v>
      </c>
      <c r="AI379">
        <v>1.0900000000000001</v>
      </c>
      <c r="AQ379">
        <v>0</v>
      </c>
      <c r="AS379" t="s">
        <v>2</v>
      </c>
      <c r="AT379" t="s">
        <v>3</v>
      </c>
      <c r="AU379" t="s">
        <v>2</v>
      </c>
      <c r="AV379" s="10" t="s">
        <v>3</v>
      </c>
      <c r="AW379" t="s">
        <v>1189</v>
      </c>
    </row>
    <row r="380" spans="1:49" x14ac:dyDescent="0.3">
      <c r="A380" t="s">
        <v>1179</v>
      </c>
      <c r="B380" t="s">
        <v>268</v>
      </c>
      <c r="C380" s="4" t="s">
        <v>162</v>
      </c>
      <c r="D380" s="4" t="s">
        <v>1185</v>
      </c>
      <c r="E380">
        <v>2012</v>
      </c>
      <c r="F380" t="s">
        <v>2661</v>
      </c>
      <c r="G380" t="s">
        <v>1180</v>
      </c>
      <c r="H380" t="s">
        <v>217</v>
      </c>
      <c r="J380" t="s">
        <v>1181</v>
      </c>
      <c r="K380">
        <v>3</v>
      </c>
      <c r="L380">
        <v>3</v>
      </c>
      <c r="AD380">
        <v>0.59</v>
      </c>
      <c r="AE380">
        <f>AI380-AD380</f>
        <v>0.39</v>
      </c>
      <c r="AI380">
        <v>0.98</v>
      </c>
      <c r="AQ380">
        <f>838*0.04</f>
        <v>33.520000000000003</v>
      </c>
      <c r="AR380" t="s">
        <v>1</v>
      </c>
      <c r="AS380" t="s">
        <v>2</v>
      </c>
      <c r="AT380" t="s">
        <v>3</v>
      </c>
      <c r="AU380" t="s">
        <v>2</v>
      </c>
      <c r="AV380" s="10" t="s">
        <v>3</v>
      </c>
      <c r="AW380" t="s">
        <v>1189</v>
      </c>
    </row>
    <row r="381" spans="1:49" x14ac:dyDescent="0.3">
      <c r="A381" t="s">
        <v>1179</v>
      </c>
      <c r="B381" t="s">
        <v>268</v>
      </c>
      <c r="C381" s="4" t="s">
        <v>162</v>
      </c>
      <c r="D381" s="4" t="s">
        <v>1185</v>
      </c>
      <c r="E381">
        <v>2012</v>
      </c>
      <c r="F381" t="s">
        <v>2661</v>
      </c>
      <c r="G381" t="s">
        <v>1180</v>
      </c>
      <c r="H381" t="s">
        <v>217</v>
      </c>
      <c r="J381" t="s">
        <v>1182</v>
      </c>
      <c r="K381" s="6">
        <v>3</v>
      </c>
      <c r="L381">
        <v>3</v>
      </c>
      <c r="AD381">
        <v>0.55000000000000004</v>
      </c>
      <c r="AE381">
        <f>0.68-AD381</f>
        <v>0.13</v>
      </c>
      <c r="AF381">
        <f>AI381-AE381-AD381</f>
        <v>0.49</v>
      </c>
      <c r="AI381">
        <v>1.17</v>
      </c>
      <c r="AQ381">
        <f t="shared" ref="AQ381:AQ384" si="61">838*0.04</f>
        <v>33.520000000000003</v>
      </c>
      <c r="AR381" t="s">
        <v>1</v>
      </c>
      <c r="AS381" t="s">
        <v>2</v>
      </c>
      <c r="AT381" t="s">
        <v>3</v>
      </c>
      <c r="AU381" t="s">
        <v>2</v>
      </c>
      <c r="AV381" s="10" t="s">
        <v>3</v>
      </c>
      <c r="AW381" t="s">
        <v>1189</v>
      </c>
    </row>
    <row r="382" spans="1:49" x14ac:dyDescent="0.3">
      <c r="A382" t="s">
        <v>1179</v>
      </c>
      <c r="B382" t="s">
        <v>268</v>
      </c>
      <c r="C382" s="4" t="s">
        <v>162</v>
      </c>
      <c r="D382" s="4" t="s">
        <v>1185</v>
      </c>
      <c r="E382">
        <v>2012</v>
      </c>
      <c r="F382" t="s">
        <v>2661</v>
      </c>
      <c r="G382" t="s">
        <v>1180</v>
      </c>
      <c r="H382" t="s">
        <v>217</v>
      </c>
      <c r="J382" t="s">
        <v>1183</v>
      </c>
      <c r="K382" s="6">
        <v>3</v>
      </c>
      <c r="L382">
        <v>3</v>
      </c>
      <c r="AD382">
        <v>0.43</v>
      </c>
      <c r="AE382">
        <f>0.5-AD382</f>
        <v>7.0000000000000007E-2</v>
      </c>
      <c r="AF382">
        <f>1.04-AD382-AE382</f>
        <v>0.54</v>
      </c>
      <c r="AG382">
        <f>AI382-AF382-AE382-AD382</f>
        <v>0.15999999999999986</v>
      </c>
      <c r="AI382">
        <v>1.2</v>
      </c>
      <c r="AQ382">
        <f t="shared" si="61"/>
        <v>33.520000000000003</v>
      </c>
      <c r="AR382" t="s">
        <v>1</v>
      </c>
      <c r="AS382" t="s">
        <v>2</v>
      </c>
      <c r="AT382" t="s">
        <v>3</v>
      </c>
      <c r="AU382" t="s">
        <v>2</v>
      </c>
      <c r="AV382" s="10" t="s">
        <v>3</v>
      </c>
      <c r="AW382" t="s">
        <v>1189</v>
      </c>
    </row>
    <row r="383" spans="1:49" x14ac:dyDescent="0.3">
      <c r="A383" t="s">
        <v>1179</v>
      </c>
      <c r="B383" t="s">
        <v>268</v>
      </c>
      <c r="C383" s="4" t="s">
        <v>162</v>
      </c>
      <c r="D383" s="4" t="s">
        <v>1185</v>
      </c>
      <c r="E383">
        <v>2012</v>
      </c>
      <c r="F383" t="s">
        <v>2661</v>
      </c>
      <c r="G383" t="s">
        <v>1180</v>
      </c>
      <c r="H383" t="s">
        <v>217</v>
      </c>
      <c r="J383" t="s">
        <v>1186</v>
      </c>
      <c r="K383" s="6">
        <v>3</v>
      </c>
      <c r="L383">
        <v>3</v>
      </c>
      <c r="AD383">
        <v>0.22</v>
      </c>
      <c r="AE383">
        <f>0.29-AD383</f>
        <v>6.9999999999999979E-2</v>
      </c>
      <c r="AF383">
        <f>0.7-AE383-AD383</f>
        <v>0.41000000000000003</v>
      </c>
      <c r="AG383">
        <f>0.82-AF383-AE383-AD383</f>
        <v>0.11999999999999997</v>
      </c>
      <c r="AH383">
        <f>AI383-0.82</f>
        <v>0.14000000000000001</v>
      </c>
      <c r="AI383">
        <v>0.96</v>
      </c>
      <c r="AQ383">
        <f t="shared" si="61"/>
        <v>33.520000000000003</v>
      </c>
      <c r="AR383" t="s">
        <v>1</v>
      </c>
      <c r="AS383" t="s">
        <v>2</v>
      </c>
      <c r="AT383" t="s">
        <v>3</v>
      </c>
      <c r="AU383" t="s">
        <v>2</v>
      </c>
      <c r="AV383" s="10" t="s">
        <v>3</v>
      </c>
      <c r="AW383" t="s">
        <v>1189</v>
      </c>
    </row>
    <row r="384" spans="1:49" x14ac:dyDescent="0.3">
      <c r="A384" t="s">
        <v>1179</v>
      </c>
      <c r="B384" t="s">
        <v>268</v>
      </c>
      <c r="C384" s="4" t="s">
        <v>162</v>
      </c>
      <c r="D384" s="4" t="s">
        <v>1185</v>
      </c>
      <c r="E384">
        <v>2012</v>
      </c>
      <c r="F384" t="s">
        <v>2661</v>
      </c>
      <c r="G384" t="s">
        <v>34</v>
      </c>
      <c r="H384" t="s">
        <v>217</v>
      </c>
      <c r="J384" t="s">
        <v>1184</v>
      </c>
      <c r="K384" s="6">
        <v>3</v>
      </c>
      <c r="L384">
        <v>3</v>
      </c>
      <c r="AD384">
        <v>0.5</v>
      </c>
      <c r="AE384">
        <f>AI384-AD384</f>
        <v>0.55000000000000004</v>
      </c>
      <c r="AI384">
        <v>1.05</v>
      </c>
      <c r="AQ384">
        <f t="shared" si="61"/>
        <v>33.520000000000003</v>
      </c>
      <c r="AR384" t="s">
        <v>1</v>
      </c>
      <c r="AS384" t="s">
        <v>2</v>
      </c>
      <c r="AT384" t="s">
        <v>3</v>
      </c>
      <c r="AU384" t="s">
        <v>2</v>
      </c>
      <c r="AV384" s="10" t="s">
        <v>3</v>
      </c>
      <c r="AW384" t="s">
        <v>1189</v>
      </c>
    </row>
    <row r="385" spans="1:49" x14ac:dyDescent="0.3">
      <c r="A385" t="s">
        <v>1190</v>
      </c>
      <c r="B385" t="s">
        <v>81</v>
      </c>
      <c r="C385" s="4" t="s">
        <v>1191</v>
      </c>
      <c r="D385" s="4" t="s">
        <v>1192</v>
      </c>
      <c r="E385">
        <v>2012</v>
      </c>
      <c r="F385" t="s">
        <v>2661</v>
      </c>
      <c r="G385" t="s">
        <v>1193</v>
      </c>
      <c r="H385" t="s">
        <v>217</v>
      </c>
      <c r="J385" t="s">
        <v>1194</v>
      </c>
      <c r="K385">
        <v>3</v>
      </c>
      <c r="L385">
        <v>3</v>
      </c>
      <c r="N385">
        <v>11605.6</v>
      </c>
      <c r="O385">
        <v>469.4</v>
      </c>
      <c r="P385">
        <v>5367.8</v>
      </c>
      <c r="Q385">
        <v>460.6</v>
      </c>
      <c r="W385">
        <v>10006.799999999999</v>
      </c>
      <c r="X385">
        <v>340.7</v>
      </c>
      <c r="Y385">
        <v>2513.1999999999998</v>
      </c>
      <c r="Z385">
        <v>61.6</v>
      </c>
      <c r="AD385" s="3">
        <f>W385/N385</f>
        <v>0.86223891914248285</v>
      </c>
      <c r="AE385" s="3">
        <f>Y385/P385</f>
        <v>0.46819926226759562</v>
      </c>
      <c r="AI385">
        <v>1.33</v>
      </c>
      <c r="AL385">
        <f>(((X385*SQRT(L385))^2)/(N385^2))+((O385*SQRT(K385))^2)*(W385^2)/(N385^4)</f>
        <v>6.2340256083464754E-3</v>
      </c>
      <c r="AM385">
        <f>(((Z385*SQRT($L385))^2)/(P385^2))+((Q385*SQRT(L385))^2)*(Y385^2)/(P385^4)</f>
        <v>5.2372309779029069E-3</v>
      </c>
      <c r="AO385">
        <f t="shared" ref="AO385:AO386" si="62">AL385+AM385+AN385</f>
        <v>1.1471256586249381E-2</v>
      </c>
      <c r="AP385">
        <f>SQRT(AO385)/AI385</f>
        <v>8.0529287401378616E-2</v>
      </c>
      <c r="AQ385">
        <f>(((95+150)/2)+120+240)*0.46</f>
        <v>221.95000000000002</v>
      </c>
      <c r="AR385" t="s">
        <v>14</v>
      </c>
      <c r="AU385" t="s">
        <v>2</v>
      </c>
      <c r="AV385" s="10" t="s">
        <v>3</v>
      </c>
    </row>
    <row r="386" spans="1:49" x14ac:dyDescent="0.3">
      <c r="A386" t="s">
        <v>1190</v>
      </c>
      <c r="B386" t="s">
        <v>81</v>
      </c>
      <c r="C386" s="4" t="s">
        <v>1191</v>
      </c>
      <c r="D386" s="4" t="s">
        <v>1192</v>
      </c>
      <c r="E386">
        <v>2013</v>
      </c>
      <c r="F386" t="s">
        <v>2661</v>
      </c>
      <c r="G386" t="s">
        <v>1193</v>
      </c>
      <c r="H386" t="s">
        <v>217</v>
      </c>
      <c r="J386" t="s">
        <v>1194</v>
      </c>
      <c r="K386">
        <v>3</v>
      </c>
      <c r="L386">
        <v>3</v>
      </c>
      <c r="N386">
        <v>10746.9</v>
      </c>
      <c r="O386">
        <v>351.5</v>
      </c>
      <c r="P386">
        <v>7250.9</v>
      </c>
      <c r="Q386">
        <v>285.2</v>
      </c>
      <c r="W386">
        <v>9993.2999999999993</v>
      </c>
      <c r="X386">
        <v>332.5</v>
      </c>
      <c r="Y386">
        <v>1906.5</v>
      </c>
      <c r="Z386">
        <v>164.1</v>
      </c>
      <c r="AD386" s="3">
        <f>W386/N386</f>
        <v>0.92987745303296765</v>
      </c>
      <c r="AE386" s="3">
        <f>Y386/P386</f>
        <v>0.26293287729799059</v>
      </c>
      <c r="AI386">
        <v>1.19</v>
      </c>
      <c r="AL386">
        <f>(((X386*SQRT(L386))^2)/(N386^2))+((O386*SQRT(K386))^2)*(W386^2)/(N386^4)</f>
        <v>5.6466551642895008E-3</v>
      </c>
      <c r="AM386">
        <f>(((Z386*SQRT($L386))^2)/(P386^2))+((Q386*SQRT(L386))^2)*(Y386^2)/(P386^4)</f>
        <v>1.8574457969083135E-3</v>
      </c>
      <c r="AO386">
        <f t="shared" si="62"/>
        <v>7.5041009611978146E-3</v>
      </c>
      <c r="AP386">
        <f>SQRT(AO386)/AI386</f>
        <v>7.2795137859865827E-2</v>
      </c>
      <c r="AQ386">
        <f>(((95+150)/2)+120+240)*0.46</f>
        <v>221.95000000000002</v>
      </c>
      <c r="AR386" t="s">
        <v>14</v>
      </c>
      <c r="AU386" t="s">
        <v>2</v>
      </c>
      <c r="AV386" s="10" t="s">
        <v>3</v>
      </c>
    </row>
    <row r="387" spans="1:49" s="12" customFormat="1" x14ac:dyDescent="0.3">
      <c r="A387" s="10" t="s">
        <v>1198</v>
      </c>
      <c r="B387" s="10" t="s">
        <v>282</v>
      </c>
      <c r="C387" s="16" t="s">
        <v>1200</v>
      </c>
      <c r="D387" s="16"/>
      <c r="E387" s="10">
        <v>2011</v>
      </c>
      <c r="F387" t="s">
        <v>2661</v>
      </c>
      <c r="G387" s="10" t="s">
        <v>22</v>
      </c>
      <c r="H387" s="10" t="s">
        <v>217</v>
      </c>
      <c r="I387" s="10" t="s">
        <v>1195</v>
      </c>
      <c r="J387" s="10" t="s">
        <v>1202</v>
      </c>
      <c r="K387" s="10">
        <v>2</v>
      </c>
      <c r="L387" s="10">
        <v>2</v>
      </c>
      <c r="M387" s="53"/>
      <c r="N387" s="10">
        <v>2389</v>
      </c>
      <c r="O387" s="10"/>
      <c r="P387" s="10">
        <v>2325</v>
      </c>
      <c r="Q387" s="10"/>
      <c r="R387" s="10">
        <v>1748</v>
      </c>
      <c r="S387" s="10"/>
      <c r="T387" s="10"/>
      <c r="U387" s="10"/>
      <c r="V387" s="10">
        <v>3359</v>
      </c>
      <c r="W387" s="10"/>
      <c r="X387" s="10"/>
      <c r="Y387" s="10"/>
      <c r="Z387" s="10"/>
      <c r="AA387" s="10"/>
      <c r="AB387" s="10"/>
      <c r="AC387" s="10"/>
      <c r="AD387" s="10"/>
      <c r="AE387" s="10"/>
      <c r="AF387" s="10"/>
      <c r="AG387" s="10"/>
      <c r="AH387" s="10"/>
      <c r="AI387" s="14">
        <f>MIN(V387/R387,V387/P387,V387/N387)</f>
        <v>1.4060276266220175</v>
      </c>
      <c r="AJ387" s="10"/>
      <c r="AK387" s="10"/>
      <c r="AL387" s="10"/>
      <c r="AM387"/>
      <c r="AN387" s="10"/>
      <c r="AO387" s="10"/>
      <c r="AP387" s="10"/>
      <c r="AQ387" s="10">
        <v>0</v>
      </c>
      <c r="AR387" s="10"/>
      <c r="AS387" s="10"/>
      <c r="AT387" s="10" t="s">
        <v>3</v>
      </c>
      <c r="AU387" s="10" t="s">
        <v>2</v>
      </c>
      <c r="AV387" s="10" t="s">
        <v>3</v>
      </c>
      <c r="AW387" s="10" t="s">
        <v>2408</v>
      </c>
    </row>
    <row r="388" spans="1:49" s="12" customFormat="1" x14ac:dyDescent="0.3">
      <c r="A388" s="10" t="s">
        <v>1198</v>
      </c>
      <c r="B388" s="10" t="s">
        <v>282</v>
      </c>
      <c r="C388" s="16" t="s">
        <v>1200</v>
      </c>
      <c r="D388" s="16"/>
      <c r="E388" s="10">
        <v>2011</v>
      </c>
      <c r="F388" t="s">
        <v>2661</v>
      </c>
      <c r="G388" s="10" t="s">
        <v>22</v>
      </c>
      <c r="H388" s="10" t="s">
        <v>217</v>
      </c>
      <c r="I388" s="10" t="s">
        <v>1196</v>
      </c>
      <c r="J388" s="10" t="s">
        <v>1201</v>
      </c>
      <c r="K388" s="10">
        <v>2</v>
      </c>
      <c r="L388" s="10">
        <v>2</v>
      </c>
      <c r="M388" s="53"/>
      <c r="N388" s="10">
        <v>1378</v>
      </c>
      <c r="O388" s="10"/>
      <c r="P388" s="10">
        <v>4119</v>
      </c>
      <c r="Q388" s="10"/>
      <c r="R388" s="10">
        <v>2028</v>
      </c>
      <c r="S388" s="10"/>
      <c r="T388" s="10"/>
      <c r="U388" s="10"/>
      <c r="V388" s="10">
        <v>4674</v>
      </c>
      <c r="W388" s="10"/>
      <c r="X388" s="10"/>
      <c r="Y388" s="10"/>
      <c r="Z388" s="10"/>
      <c r="AA388" s="10"/>
      <c r="AB388" s="10"/>
      <c r="AC388" s="10"/>
      <c r="AD388" s="10"/>
      <c r="AE388" s="10"/>
      <c r="AF388" s="10"/>
      <c r="AG388" s="14"/>
      <c r="AH388" s="10"/>
      <c r="AI388" s="14">
        <f>MIN(V388/R388,V388/P388,V388/N388)</f>
        <v>1.1347414420975965</v>
      </c>
      <c r="AJ388" s="10"/>
      <c r="AK388" s="10"/>
      <c r="AL388" s="10"/>
      <c r="AM388"/>
      <c r="AN388" s="10"/>
      <c r="AO388" s="10"/>
      <c r="AP388" s="10"/>
      <c r="AQ388" s="10">
        <v>23.3</v>
      </c>
      <c r="AR388" s="10" t="s">
        <v>2037</v>
      </c>
      <c r="AS388" s="10"/>
      <c r="AT388" s="10" t="s">
        <v>3</v>
      </c>
      <c r="AU388" s="10" t="s">
        <v>2</v>
      </c>
      <c r="AV388" s="10" t="s">
        <v>3</v>
      </c>
      <c r="AW388" s="10" t="s">
        <v>2408</v>
      </c>
    </row>
    <row r="389" spans="1:49" s="12" customFormat="1" x14ac:dyDescent="0.3">
      <c r="A389" s="10" t="s">
        <v>1198</v>
      </c>
      <c r="B389" s="10" t="s">
        <v>282</v>
      </c>
      <c r="C389" s="16" t="s">
        <v>1200</v>
      </c>
      <c r="D389" s="16"/>
      <c r="E389" s="10">
        <v>2011</v>
      </c>
      <c r="F389" t="s">
        <v>2661</v>
      </c>
      <c r="G389" s="10" t="s">
        <v>22</v>
      </c>
      <c r="H389" s="10" t="s">
        <v>217</v>
      </c>
      <c r="I389" s="10" t="s">
        <v>1197</v>
      </c>
      <c r="J389" s="10" t="s">
        <v>1201</v>
      </c>
      <c r="K389" s="10">
        <v>2</v>
      </c>
      <c r="L389" s="10">
        <v>2</v>
      </c>
      <c r="M389" s="53"/>
      <c r="N389" s="10">
        <v>1048</v>
      </c>
      <c r="O389" s="10"/>
      <c r="P389" s="10">
        <v>2734</v>
      </c>
      <c r="Q389" s="10"/>
      <c r="R389" s="10">
        <v>1285</v>
      </c>
      <c r="S389" s="10"/>
      <c r="T389" s="10"/>
      <c r="U389" s="10"/>
      <c r="V389" s="10">
        <v>4050</v>
      </c>
      <c r="W389" s="10"/>
      <c r="X389" s="10"/>
      <c r="Y389" s="10"/>
      <c r="Z389" s="10"/>
      <c r="AA389" s="10"/>
      <c r="AB389" s="10"/>
      <c r="AC389" s="10"/>
      <c r="AD389" s="10"/>
      <c r="AE389" s="10"/>
      <c r="AF389" s="10"/>
      <c r="AG389" s="14"/>
      <c r="AH389" s="10"/>
      <c r="AI389" s="14">
        <f>MIN(V389/R389,V389/P389,V389/N389)</f>
        <v>1.48134601316752</v>
      </c>
      <c r="AJ389" s="10"/>
      <c r="AK389" s="10"/>
      <c r="AL389" s="10"/>
      <c r="AM389"/>
      <c r="AN389" s="10"/>
      <c r="AO389" s="10"/>
      <c r="AP389" s="10"/>
      <c r="AQ389" s="10">
        <v>37</v>
      </c>
      <c r="AR389" s="10" t="s">
        <v>2037</v>
      </c>
      <c r="AS389" s="10"/>
      <c r="AT389" s="10" t="s">
        <v>3</v>
      </c>
      <c r="AU389" s="10" t="s">
        <v>2</v>
      </c>
      <c r="AV389" s="10" t="s">
        <v>3</v>
      </c>
      <c r="AW389" s="10" t="s">
        <v>2408</v>
      </c>
    </row>
    <row r="390" spans="1:49" s="12" customFormat="1" x14ac:dyDescent="0.3">
      <c r="A390" s="10" t="s">
        <v>1247</v>
      </c>
      <c r="B390" s="10" t="s">
        <v>81</v>
      </c>
      <c r="C390" s="16" t="s">
        <v>1248</v>
      </c>
      <c r="D390" s="16" t="s">
        <v>1249</v>
      </c>
      <c r="E390" s="10">
        <v>2010</v>
      </c>
      <c r="F390" t="s">
        <v>2661</v>
      </c>
      <c r="G390" s="10" t="s">
        <v>1250</v>
      </c>
      <c r="H390" s="10" t="s">
        <v>17</v>
      </c>
      <c r="I390" s="10" t="s">
        <v>1252</v>
      </c>
      <c r="J390" s="10" t="s">
        <v>1251</v>
      </c>
      <c r="K390" s="10">
        <v>4</v>
      </c>
      <c r="L390" s="10">
        <v>4</v>
      </c>
      <c r="M390" s="53"/>
      <c r="N390" s="25">
        <v>4075</v>
      </c>
      <c r="O390" s="25">
        <v>269</v>
      </c>
      <c r="P390" s="10"/>
      <c r="Q390" s="10"/>
      <c r="R390" s="10"/>
      <c r="S390" s="10"/>
      <c r="T390" s="10"/>
      <c r="U390" s="10"/>
      <c r="V390" s="10"/>
      <c r="W390" s="25">
        <v>4771</v>
      </c>
      <c r="X390" s="25">
        <v>229</v>
      </c>
      <c r="Y390" s="10"/>
      <c r="Z390" s="10"/>
      <c r="AA390" s="10"/>
      <c r="AB390" s="10"/>
      <c r="AC390" s="10"/>
      <c r="AD390" s="14">
        <f t="shared" ref="AD390:AD413" si="63">W390/N390</f>
        <v>1.1707975460122699</v>
      </c>
      <c r="AE390" s="10"/>
      <c r="AF390" s="10"/>
      <c r="AG390" s="10"/>
      <c r="AH390" s="10"/>
      <c r="AI390" s="14">
        <f t="shared" ref="AI390:AI407" si="64">AD390</f>
        <v>1.1707975460122699</v>
      </c>
      <c r="AJ390" s="10"/>
      <c r="AK390" s="10"/>
      <c r="AL390" s="10">
        <f t="shared" ref="AL390:AL402" si="65">(((X390*SQRT(L390))^2)/(N390^2))+((O390*SQRT(K390))^2)*(W390^2)/(N390^4)</f>
        <v>3.6525228818192534E-2</v>
      </c>
      <c r="AM390"/>
      <c r="AN390" s="10"/>
      <c r="AO390" s="10">
        <f t="shared" ref="AO390:AO408" si="66">AL390+AM390+AN390</f>
        <v>3.6525228818192534E-2</v>
      </c>
      <c r="AP390" s="10">
        <f t="shared" ref="AP390:AP402" si="67">SQRT(AO390)/AI390</f>
        <v>0.16323552080013029</v>
      </c>
      <c r="AQ390" s="10"/>
      <c r="AR390" s="10"/>
      <c r="AS390" s="10" t="s">
        <v>2</v>
      </c>
      <c r="AT390" s="10"/>
      <c r="AU390" s="10" t="s">
        <v>2</v>
      </c>
      <c r="AV390" s="10" t="s">
        <v>2</v>
      </c>
      <c r="AW390" s="10"/>
    </row>
    <row r="391" spans="1:49" s="12" customFormat="1" x14ac:dyDescent="0.3">
      <c r="A391" s="10" t="s">
        <v>1247</v>
      </c>
      <c r="B391" s="10" t="s">
        <v>81</v>
      </c>
      <c r="C391" s="16" t="s">
        <v>1248</v>
      </c>
      <c r="D391" s="16" t="s">
        <v>1249</v>
      </c>
      <c r="E391" s="10">
        <v>2010</v>
      </c>
      <c r="F391" t="s">
        <v>2661</v>
      </c>
      <c r="G391" s="10" t="s">
        <v>1250</v>
      </c>
      <c r="H391" s="10" t="s">
        <v>17</v>
      </c>
      <c r="I391" s="10" t="s">
        <v>1253</v>
      </c>
      <c r="J391" s="10" t="s">
        <v>1251</v>
      </c>
      <c r="K391" s="10">
        <v>4</v>
      </c>
      <c r="L391" s="10">
        <v>4</v>
      </c>
      <c r="M391" s="53"/>
      <c r="N391" s="10">
        <v>4814</v>
      </c>
      <c r="O391" s="10">
        <v>116</v>
      </c>
      <c r="P391" s="10"/>
      <c r="Q391" s="10"/>
      <c r="R391" s="10"/>
      <c r="S391" s="10"/>
      <c r="T391" s="10"/>
      <c r="U391" s="10"/>
      <c r="V391" s="10"/>
      <c r="W391" s="10">
        <v>5726</v>
      </c>
      <c r="X391" s="10">
        <v>204</v>
      </c>
      <c r="Y391" s="10"/>
      <c r="Z391" s="10"/>
      <c r="AA391" s="10"/>
      <c r="AB391" s="10"/>
      <c r="AC391" s="10"/>
      <c r="AD391" s="14">
        <f t="shared" si="63"/>
        <v>1.1894474449522228</v>
      </c>
      <c r="AE391" s="10"/>
      <c r="AF391" s="10"/>
      <c r="AG391" s="10"/>
      <c r="AH391" s="10"/>
      <c r="AI391" s="14">
        <f t="shared" si="64"/>
        <v>1.1894474449522228</v>
      </c>
      <c r="AJ391" s="10"/>
      <c r="AK391" s="10"/>
      <c r="AL391" s="10">
        <f t="shared" si="65"/>
        <v>1.0468937620871779E-2</v>
      </c>
      <c r="AM391"/>
      <c r="AN391" s="10"/>
      <c r="AO391" s="10">
        <f t="shared" si="66"/>
        <v>1.0468937620871779E-2</v>
      </c>
      <c r="AP391" s="10">
        <f t="shared" si="67"/>
        <v>8.6021309255839978E-2</v>
      </c>
      <c r="AQ391" s="10"/>
      <c r="AR391" s="10"/>
      <c r="AS391" s="10" t="s">
        <v>2</v>
      </c>
      <c r="AT391" s="10"/>
      <c r="AU391" s="10" t="s">
        <v>2</v>
      </c>
      <c r="AV391" s="10" t="s">
        <v>2</v>
      </c>
      <c r="AW391" s="10"/>
    </row>
    <row r="392" spans="1:49" s="12" customFormat="1" x14ac:dyDescent="0.3">
      <c r="A392" s="10" t="s">
        <v>1254</v>
      </c>
      <c r="B392" s="10" t="s">
        <v>637</v>
      </c>
      <c r="C392" s="10" t="s">
        <v>1255</v>
      </c>
      <c r="D392" s="10" t="s">
        <v>1256</v>
      </c>
      <c r="E392" s="10" t="s">
        <v>1262</v>
      </c>
      <c r="F392" t="s">
        <v>2661</v>
      </c>
      <c r="G392" s="10" t="s">
        <v>34</v>
      </c>
      <c r="H392" s="10" t="s">
        <v>17</v>
      </c>
      <c r="I392" s="10" t="s">
        <v>1258</v>
      </c>
      <c r="J392" s="10" t="s">
        <v>1257</v>
      </c>
      <c r="K392" s="10">
        <v>4</v>
      </c>
      <c r="L392" s="10">
        <v>4</v>
      </c>
      <c r="M392" s="53"/>
      <c r="N392" s="25">
        <f>15.24*13333/1000</f>
        <v>203.19492000000002</v>
      </c>
      <c r="O392" s="25">
        <f>8.83*13333/1000</f>
        <v>117.73039</v>
      </c>
      <c r="P392" s="10"/>
      <c r="Q392" s="10"/>
      <c r="R392" s="10"/>
      <c r="S392" s="10"/>
      <c r="T392" s="10"/>
      <c r="U392" s="10"/>
      <c r="V392" s="10"/>
      <c r="W392" s="25">
        <f>59.32*13333/1000</f>
        <v>790.91356000000007</v>
      </c>
      <c r="X392" s="25">
        <f>14.12*13333/1000</f>
        <v>188.26195999999999</v>
      </c>
      <c r="Y392" s="10"/>
      <c r="Z392" s="10"/>
      <c r="AA392" s="10"/>
      <c r="AB392" s="10"/>
      <c r="AC392" s="10"/>
      <c r="AD392" s="14">
        <f t="shared" si="63"/>
        <v>3.8923884514435696</v>
      </c>
      <c r="AE392" s="10"/>
      <c r="AF392" s="10"/>
      <c r="AG392" s="10"/>
      <c r="AH392" s="10"/>
      <c r="AI392" s="14">
        <f t="shared" si="64"/>
        <v>3.8923884514435696</v>
      </c>
      <c r="AJ392" s="10"/>
      <c r="AK392" s="10"/>
      <c r="AL392" s="10">
        <f t="shared" si="65"/>
        <v>23.778026922663251</v>
      </c>
      <c r="AM392"/>
      <c r="AN392" s="10"/>
      <c r="AO392" s="10">
        <f t="shared" si="66"/>
        <v>23.778026922663251</v>
      </c>
      <c r="AP392" s="10">
        <f t="shared" si="67"/>
        <v>1.2527711164999067</v>
      </c>
      <c r="AQ392" s="10"/>
      <c r="AR392" s="10"/>
      <c r="AS392" s="10" t="s">
        <v>2</v>
      </c>
      <c r="AT392" s="10"/>
      <c r="AU392" s="10" t="s">
        <v>2</v>
      </c>
      <c r="AV392" s="10" t="s">
        <v>2</v>
      </c>
      <c r="AW392" s="10" t="s">
        <v>1263</v>
      </c>
    </row>
    <row r="393" spans="1:49" s="12" customFormat="1" x14ac:dyDescent="0.3">
      <c r="A393" s="10" t="s">
        <v>1254</v>
      </c>
      <c r="B393" s="10" t="s">
        <v>637</v>
      </c>
      <c r="C393" s="10" t="s">
        <v>1255</v>
      </c>
      <c r="D393" s="10" t="s">
        <v>1256</v>
      </c>
      <c r="E393" s="10" t="s">
        <v>1262</v>
      </c>
      <c r="F393" t="s">
        <v>2661</v>
      </c>
      <c r="G393" s="10" t="s">
        <v>34</v>
      </c>
      <c r="H393" s="10" t="s">
        <v>17</v>
      </c>
      <c r="I393" s="10" t="s">
        <v>1259</v>
      </c>
      <c r="J393" s="10" t="s">
        <v>1257</v>
      </c>
      <c r="K393" s="10">
        <v>4</v>
      </c>
      <c r="L393" s="10">
        <v>4</v>
      </c>
      <c r="M393" s="53"/>
      <c r="N393" s="25">
        <f t="shared" ref="N393:N395" si="68">15.24*13333/1000</f>
        <v>203.19492000000002</v>
      </c>
      <c r="O393" s="25">
        <f t="shared" ref="O393:O395" si="69">8.83*13333/1000</f>
        <v>117.73039</v>
      </c>
      <c r="P393" s="10"/>
      <c r="Q393" s="10"/>
      <c r="R393" s="10"/>
      <c r="S393" s="10"/>
      <c r="T393" s="10"/>
      <c r="U393" s="10"/>
      <c r="V393" s="10"/>
      <c r="W393" s="25">
        <f>58.15*13333/1000</f>
        <v>775.31394999999998</v>
      </c>
      <c r="X393" s="25">
        <f>15.72*13333/1000</f>
        <v>209.59476000000001</v>
      </c>
      <c r="Y393" s="10"/>
      <c r="Z393" s="10"/>
      <c r="AA393" s="10"/>
      <c r="AB393" s="10"/>
      <c r="AC393" s="10"/>
      <c r="AD393" s="14">
        <f t="shared" si="63"/>
        <v>3.8156167979002618</v>
      </c>
      <c r="AE393" s="10"/>
      <c r="AF393" s="10"/>
      <c r="AG393" s="10"/>
      <c r="AH393" s="10"/>
      <c r="AI393" s="14">
        <f t="shared" si="64"/>
        <v>3.8156167979002618</v>
      </c>
      <c r="AJ393" s="10"/>
      <c r="AK393" s="10"/>
      <c r="AL393" s="10">
        <f t="shared" si="65"/>
        <v>23.805675732557273</v>
      </c>
      <c r="AM393"/>
      <c r="AN393" s="10"/>
      <c r="AO393" s="10">
        <f t="shared" si="66"/>
        <v>23.805675732557273</v>
      </c>
      <c r="AP393" s="10">
        <f t="shared" si="67"/>
        <v>1.2787201379714328</v>
      </c>
      <c r="AQ393" s="10"/>
      <c r="AR393" s="10"/>
      <c r="AS393" s="10" t="s">
        <v>2</v>
      </c>
      <c r="AT393" s="10"/>
      <c r="AU393" s="10" t="s">
        <v>2</v>
      </c>
      <c r="AV393" s="10" t="s">
        <v>2</v>
      </c>
      <c r="AW393" s="10" t="s">
        <v>1263</v>
      </c>
    </row>
    <row r="394" spans="1:49" s="12" customFormat="1" x14ac:dyDescent="0.3">
      <c r="A394" s="10" t="s">
        <v>1254</v>
      </c>
      <c r="B394" s="10" t="s">
        <v>637</v>
      </c>
      <c r="C394" s="10" t="s">
        <v>1255</v>
      </c>
      <c r="D394" s="10" t="s">
        <v>1256</v>
      </c>
      <c r="E394" s="10" t="s">
        <v>1262</v>
      </c>
      <c r="F394" t="s">
        <v>2661</v>
      </c>
      <c r="G394" s="10" t="s">
        <v>34</v>
      </c>
      <c r="H394" s="10" t="s">
        <v>17</v>
      </c>
      <c r="I394" s="10" t="s">
        <v>1260</v>
      </c>
      <c r="J394" s="10" t="s">
        <v>1257</v>
      </c>
      <c r="K394" s="10">
        <v>4</v>
      </c>
      <c r="L394" s="10">
        <v>4</v>
      </c>
      <c r="M394" s="53"/>
      <c r="N394" s="25">
        <f t="shared" si="68"/>
        <v>203.19492000000002</v>
      </c>
      <c r="O394" s="25">
        <f t="shared" si="69"/>
        <v>117.73039</v>
      </c>
      <c r="P394" s="10"/>
      <c r="Q394" s="10"/>
      <c r="R394" s="10"/>
      <c r="S394" s="10"/>
      <c r="T394" s="10"/>
      <c r="U394" s="10"/>
      <c r="V394" s="10"/>
      <c r="W394" s="25">
        <f>57.81*13333/1000</f>
        <v>770.78072999999995</v>
      </c>
      <c r="X394" s="25">
        <f>14.1*13333/1000</f>
        <v>187.99529999999999</v>
      </c>
      <c r="Y394" s="10"/>
      <c r="Z394" s="10"/>
      <c r="AA394" s="10"/>
      <c r="AB394" s="10"/>
      <c r="AC394" s="10"/>
      <c r="AD394" s="14">
        <f t="shared" si="63"/>
        <v>3.7933070866141727</v>
      </c>
      <c r="AE394" s="10"/>
      <c r="AF394" s="10"/>
      <c r="AG394" s="10"/>
      <c r="AH394" s="10"/>
      <c r="AI394" s="14">
        <f t="shared" si="64"/>
        <v>3.7933070866141727</v>
      </c>
      <c r="AJ394" s="10"/>
      <c r="AK394" s="10"/>
      <c r="AL394" s="10">
        <f t="shared" si="65"/>
        <v>22.745751811880424</v>
      </c>
      <c r="AM394"/>
      <c r="AN394" s="10"/>
      <c r="AO394" s="10">
        <f t="shared" si="66"/>
        <v>22.745751811880424</v>
      </c>
      <c r="AP394" s="10">
        <f t="shared" si="67"/>
        <v>1.2572804010526939</v>
      </c>
      <c r="AQ394" s="10"/>
      <c r="AR394" s="10"/>
      <c r="AS394" s="10" t="s">
        <v>2</v>
      </c>
      <c r="AT394" s="10"/>
      <c r="AU394" s="10" t="s">
        <v>2</v>
      </c>
      <c r="AV394" s="10" t="s">
        <v>2</v>
      </c>
      <c r="AW394" s="10" t="s">
        <v>1263</v>
      </c>
    </row>
    <row r="395" spans="1:49" s="12" customFormat="1" x14ac:dyDescent="0.3">
      <c r="A395" s="10" t="s">
        <v>1254</v>
      </c>
      <c r="B395" s="10" t="s">
        <v>637</v>
      </c>
      <c r="C395" s="10" t="s">
        <v>1255</v>
      </c>
      <c r="D395" s="10" t="s">
        <v>1256</v>
      </c>
      <c r="E395" s="10" t="s">
        <v>1262</v>
      </c>
      <c r="F395" t="s">
        <v>2661</v>
      </c>
      <c r="G395" s="10" t="s">
        <v>34</v>
      </c>
      <c r="H395" s="10" t="s">
        <v>17</v>
      </c>
      <c r="I395" s="10" t="s">
        <v>1261</v>
      </c>
      <c r="J395" s="10" t="s">
        <v>1257</v>
      </c>
      <c r="K395" s="10">
        <v>4</v>
      </c>
      <c r="L395" s="10">
        <v>4</v>
      </c>
      <c r="M395" s="53"/>
      <c r="N395" s="25">
        <f t="shared" si="68"/>
        <v>203.19492000000002</v>
      </c>
      <c r="O395" s="25">
        <f t="shared" si="69"/>
        <v>117.73039</v>
      </c>
      <c r="P395" s="10"/>
      <c r="Q395" s="10"/>
      <c r="R395" s="10"/>
      <c r="S395" s="10"/>
      <c r="T395" s="10"/>
      <c r="U395" s="10"/>
      <c r="V395" s="10"/>
      <c r="W395" s="25">
        <f>62.38*13333/1000</f>
        <v>831.71253999999999</v>
      </c>
      <c r="X395" s="25">
        <f>14.9*13333/1000</f>
        <v>198.66170000000002</v>
      </c>
      <c r="Y395" s="10"/>
      <c r="Z395" s="10"/>
      <c r="AA395" s="10"/>
      <c r="AB395" s="10"/>
      <c r="AC395" s="10"/>
      <c r="AD395" s="14">
        <f t="shared" si="63"/>
        <v>4.0931758530183719</v>
      </c>
      <c r="AE395" s="10"/>
      <c r="AF395" s="10"/>
      <c r="AG395" s="10"/>
      <c r="AH395" s="10"/>
      <c r="AI395" s="14">
        <f t="shared" si="64"/>
        <v>4.0931758530183719</v>
      </c>
      <c r="AJ395" s="10"/>
      <c r="AK395" s="10"/>
      <c r="AL395" s="10">
        <f t="shared" si="65"/>
        <v>26.320910158665491</v>
      </c>
      <c r="AM395"/>
      <c r="AN395" s="10"/>
      <c r="AO395" s="10">
        <f t="shared" si="66"/>
        <v>26.320910158665491</v>
      </c>
      <c r="AP395" s="10">
        <f t="shared" si="67"/>
        <v>1.2534010321104265</v>
      </c>
      <c r="AQ395" s="10"/>
      <c r="AR395" s="10"/>
      <c r="AS395" s="10" t="s">
        <v>2</v>
      </c>
      <c r="AT395" s="10"/>
      <c r="AU395" s="10" t="s">
        <v>2</v>
      </c>
      <c r="AV395" s="10" t="s">
        <v>2</v>
      </c>
      <c r="AW395" s="10" t="s">
        <v>1263</v>
      </c>
    </row>
    <row r="396" spans="1:49" s="12" customFormat="1" x14ac:dyDescent="0.3">
      <c r="A396" s="10" t="s">
        <v>1254</v>
      </c>
      <c r="B396" s="10" t="s">
        <v>637</v>
      </c>
      <c r="C396" s="10" t="s">
        <v>1255</v>
      </c>
      <c r="D396" s="10" t="s">
        <v>1256</v>
      </c>
      <c r="E396" s="10" t="s">
        <v>1262</v>
      </c>
      <c r="F396" t="s">
        <v>2661</v>
      </c>
      <c r="G396" s="10" t="s">
        <v>34</v>
      </c>
      <c r="H396" s="10" t="s">
        <v>17</v>
      </c>
      <c r="I396" s="10" t="s">
        <v>1264</v>
      </c>
      <c r="J396" s="10" t="s">
        <v>1257</v>
      </c>
      <c r="K396" s="10">
        <v>4</v>
      </c>
      <c r="L396" s="10">
        <v>4</v>
      </c>
      <c r="M396" s="53"/>
      <c r="N396" s="25">
        <f>74.2*13333/1000</f>
        <v>989.30860000000007</v>
      </c>
      <c r="O396" s="25">
        <f>15.16*13333/1000</f>
        <v>202.12827999999999</v>
      </c>
      <c r="P396" s="10"/>
      <c r="Q396" s="10"/>
      <c r="R396" s="10"/>
      <c r="S396" s="10"/>
      <c r="T396" s="10"/>
      <c r="U396" s="10"/>
      <c r="V396" s="10"/>
      <c r="W396" s="25">
        <f>82.22*13333/1000</f>
        <v>1096.2392600000001</v>
      </c>
      <c r="X396" s="25">
        <f>15.82*13333/1000</f>
        <v>210.92805999999999</v>
      </c>
      <c r="Y396" s="10"/>
      <c r="Z396" s="10"/>
      <c r="AA396" s="10"/>
      <c r="AB396" s="10"/>
      <c r="AC396" s="10"/>
      <c r="AD396" s="14">
        <f t="shared" si="63"/>
        <v>1.1080862533692721</v>
      </c>
      <c r="AE396" s="10"/>
      <c r="AF396" s="10"/>
      <c r="AG396" s="10"/>
      <c r="AH396" s="10"/>
      <c r="AI396" s="14">
        <f t="shared" si="64"/>
        <v>1.1080862533692721</v>
      </c>
      <c r="AJ396" s="10"/>
      <c r="AK396" s="10"/>
      <c r="AL396" s="10">
        <f t="shared" si="65"/>
        <v>0.38685053537179837</v>
      </c>
      <c r="AM396"/>
      <c r="AN396" s="10"/>
      <c r="AO396" s="10">
        <f t="shared" si="66"/>
        <v>0.38685053537179837</v>
      </c>
      <c r="AP396" s="10">
        <f t="shared" si="67"/>
        <v>0.56130386664444654</v>
      </c>
      <c r="AQ396" s="10"/>
      <c r="AR396" s="10"/>
      <c r="AS396" s="10" t="s">
        <v>3</v>
      </c>
      <c r="AT396" s="10"/>
      <c r="AU396" s="10" t="s">
        <v>2</v>
      </c>
      <c r="AV396" s="10" t="s">
        <v>2</v>
      </c>
      <c r="AW396" s="10" t="s">
        <v>1263</v>
      </c>
    </row>
    <row r="397" spans="1:49" s="12" customFormat="1" x14ac:dyDescent="0.3">
      <c r="A397" s="10" t="s">
        <v>1254</v>
      </c>
      <c r="B397" s="10" t="s">
        <v>637</v>
      </c>
      <c r="C397" s="10" t="s">
        <v>1255</v>
      </c>
      <c r="D397" s="10" t="s">
        <v>1256</v>
      </c>
      <c r="E397" s="10" t="s">
        <v>1262</v>
      </c>
      <c r="F397" t="s">
        <v>2661</v>
      </c>
      <c r="G397" s="10" t="s">
        <v>34</v>
      </c>
      <c r="H397" s="10" t="s">
        <v>17</v>
      </c>
      <c r="I397" s="10" t="s">
        <v>1265</v>
      </c>
      <c r="J397" s="10" t="s">
        <v>1257</v>
      </c>
      <c r="K397" s="10">
        <v>4</v>
      </c>
      <c r="L397" s="10">
        <v>4</v>
      </c>
      <c r="M397" s="53"/>
      <c r="N397" s="25">
        <f t="shared" ref="N397:N399" si="70">74.2*13333/1000</f>
        <v>989.30860000000007</v>
      </c>
      <c r="O397" s="25">
        <f t="shared" ref="O397:O399" si="71">15.16*13333/1000</f>
        <v>202.12827999999999</v>
      </c>
      <c r="P397" s="10"/>
      <c r="Q397" s="10"/>
      <c r="R397" s="10"/>
      <c r="S397" s="10"/>
      <c r="T397" s="10"/>
      <c r="U397" s="10"/>
      <c r="V397" s="10"/>
      <c r="W397" s="25">
        <f>81.2*13333/1000</f>
        <v>1082.6396000000002</v>
      </c>
      <c r="X397" s="25">
        <f>17.18*13333/1000</f>
        <v>229.06094000000002</v>
      </c>
      <c r="Y397" s="10"/>
      <c r="Z397" s="10"/>
      <c r="AA397" s="10"/>
      <c r="AB397" s="10"/>
      <c r="AC397" s="10"/>
      <c r="AD397" s="14">
        <f t="shared" si="63"/>
        <v>1.0943396226415096</v>
      </c>
      <c r="AE397" s="10"/>
      <c r="AF397" s="10"/>
      <c r="AG397" s="10"/>
      <c r="AH397" s="10"/>
      <c r="AI397" s="14">
        <f t="shared" si="64"/>
        <v>1.0943396226415096</v>
      </c>
      <c r="AJ397" s="10"/>
      <c r="AK397" s="10"/>
      <c r="AL397" s="10">
        <f t="shared" si="65"/>
        <v>0.41440178465207189</v>
      </c>
      <c r="AM397"/>
      <c r="AN397" s="10"/>
      <c r="AO397" s="10">
        <f t="shared" si="66"/>
        <v>0.41440178465207189</v>
      </c>
      <c r="AP397" s="10">
        <f t="shared" si="67"/>
        <v>0.58824559617328376</v>
      </c>
      <c r="AQ397" s="10"/>
      <c r="AR397" s="10"/>
      <c r="AS397" s="10" t="s">
        <v>3</v>
      </c>
      <c r="AT397" s="10"/>
      <c r="AU397" s="10" t="s">
        <v>2</v>
      </c>
      <c r="AV397" s="10" t="s">
        <v>2</v>
      </c>
      <c r="AW397" s="10" t="s">
        <v>1263</v>
      </c>
    </row>
    <row r="398" spans="1:49" s="12" customFormat="1" x14ac:dyDescent="0.3">
      <c r="A398" s="10" t="s">
        <v>1254</v>
      </c>
      <c r="B398" s="10" t="s">
        <v>637</v>
      </c>
      <c r="C398" s="10" t="s">
        <v>1255</v>
      </c>
      <c r="D398" s="10" t="s">
        <v>1256</v>
      </c>
      <c r="E398" s="10" t="s">
        <v>1262</v>
      </c>
      <c r="F398" t="s">
        <v>2661</v>
      </c>
      <c r="G398" s="10" t="s">
        <v>34</v>
      </c>
      <c r="H398" s="10" t="s">
        <v>17</v>
      </c>
      <c r="I398" s="10" t="s">
        <v>1266</v>
      </c>
      <c r="J398" s="10" t="s">
        <v>1257</v>
      </c>
      <c r="K398" s="10">
        <v>4</v>
      </c>
      <c r="L398" s="10">
        <v>4</v>
      </c>
      <c r="M398" s="53"/>
      <c r="N398" s="25">
        <f t="shared" si="70"/>
        <v>989.30860000000007</v>
      </c>
      <c r="O398" s="25">
        <f t="shared" si="71"/>
        <v>202.12827999999999</v>
      </c>
      <c r="P398" s="10"/>
      <c r="Q398" s="10"/>
      <c r="R398" s="10"/>
      <c r="S398" s="10"/>
      <c r="T398" s="10"/>
      <c r="U398" s="10"/>
      <c r="V398" s="10"/>
      <c r="W398" s="25">
        <f>80.88*13333/1000</f>
        <v>1078.3730399999999</v>
      </c>
      <c r="X398" s="25">
        <f>19.17*13333/1000</f>
        <v>255.59361000000001</v>
      </c>
      <c r="Y398" s="10"/>
      <c r="Z398" s="10"/>
      <c r="AA398" s="10"/>
      <c r="AB398" s="10"/>
      <c r="AC398" s="10"/>
      <c r="AD398" s="14">
        <f t="shared" si="63"/>
        <v>1.0900269541778975</v>
      </c>
      <c r="AE398" s="10"/>
      <c r="AF398" s="10"/>
      <c r="AG398" s="10"/>
      <c r="AH398" s="10"/>
      <c r="AI398" s="14">
        <f t="shared" si="64"/>
        <v>1.0900269541778975</v>
      </c>
      <c r="AJ398" s="10"/>
      <c r="AK398" s="10"/>
      <c r="AL398" s="10">
        <f t="shared" si="65"/>
        <v>0.46538327976693683</v>
      </c>
      <c r="AM398"/>
      <c r="AN398" s="10"/>
      <c r="AO398" s="10">
        <f t="shared" si="66"/>
        <v>0.46538327976693683</v>
      </c>
      <c r="AP398" s="10">
        <f t="shared" si="67"/>
        <v>0.62584696525859784</v>
      </c>
      <c r="AQ398" s="10"/>
      <c r="AR398" s="10"/>
      <c r="AS398" s="10" t="s">
        <v>3</v>
      </c>
      <c r="AT398" s="10"/>
      <c r="AU398" s="10" t="s">
        <v>2</v>
      </c>
      <c r="AV398" s="10" t="s">
        <v>2</v>
      </c>
      <c r="AW398" s="10" t="s">
        <v>1263</v>
      </c>
    </row>
    <row r="399" spans="1:49" s="12" customFormat="1" x14ac:dyDescent="0.3">
      <c r="A399" s="10" t="s">
        <v>1254</v>
      </c>
      <c r="B399" s="10" t="s">
        <v>637</v>
      </c>
      <c r="C399" s="10" t="s">
        <v>1255</v>
      </c>
      <c r="D399" s="10" t="s">
        <v>1256</v>
      </c>
      <c r="E399" s="10" t="s">
        <v>1262</v>
      </c>
      <c r="F399" t="s">
        <v>2661</v>
      </c>
      <c r="G399" s="10" t="s">
        <v>34</v>
      </c>
      <c r="H399" s="10" t="s">
        <v>17</v>
      </c>
      <c r="I399" s="10" t="s">
        <v>1267</v>
      </c>
      <c r="J399" s="10" t="s">
        <v>1257</v>
      </c>
      <c r="K399" s="10">
        <v>4</v>
      </c>
      <c r="L399" s="10">
        <v>4</v>
      </c>
      <c r="M399" s="53"/>
      <c r="N399" s="25">
        <f t="shared" si="70"/>
        <v>989.30860000000007</v>
      </c>
      <c r="O399" s="25">
        <f t="shared" si="71"/>
        <v>202.12827999999999</v>
      </c>
      <c r="P399" s="10"/>
      <c r="Q399" s="10"/>
      <c r="R399" s="10"/>
      <c r="S399" s="10"/>
      <c r="T399" s="10"/>
      <c r="U399" s="10"/>
      <c r="V399" s="10"/>
      <c r="W399" s="25">
        <f>83.9*13333/1000</f>
        <v>1118.6387000000002</v>
      </c>
      <c r="X399" s="25">
        <f>18.49*13333/1000</f>
        <v>246.52716999999998</v>
      </c>
      <c r="Y399" s="10"/>
      <c r="Z399" s="10"/>
      <c r="AA399" s="10"/>
      <c r="AB399" s="10"/>
      <c r="AC399" s="10"/>
      <c r="AD399" s="14">
        <f t="shared" si="63"/>
        <v>1.1307277628032346</v>
      </c>
      <c r="AE399" s="10"/>
      <c r="AF399" s="10"/>
      <c r="AG399" s="10"/>
      <c r="AH399" s="10"/>
      <c r="AI399" s="14">
        <f t="shared" si="64"/>
        <v>1.1307277628032346</v>
      </c>
      <c r="AJ399" s="10"/>
      <c r="AK399" s="10"/>
      <c r="AL399" s="10">
        <f t="shared" si="65"/>
        <v>0.46187003481979227</v>
      </c>
      <c r="AM399"/>
      <c r="AN399" s="10"/>
      <c r="AO399" s="10">
        <f t="shared" si="66"/>
        <v>0.46187003481979227</v>
      </c>
      <c r="AP399" s="10">
        <f t="shared" si="67"/>
        <v>0.60103787167709866</v>
      </c>
      <c r="AQ399" s="10"/>
      <c r="AR399" s="10"/>
      <c r="AS399" s="10" t="s">
        <v>3</v>
      </c>
      <c r="AT399" s="10"/>
      <c r="AU399" s="10" t="s">
        <v>2</v>
      </c>
      <c r="AV399" s="10" t="s">
        <v>2</v>
      </c>
      <c r="AW399" s="10" t="s">
        <v>1263</v>
      </c>
    </row>
    <row r="400" spans="1:49" s="10" customFormat="1" x14ac:dyDescent="0.3">
      <c r="A400" s="10" t="s">
        <v>1268</v>
      </c>
      <c r="B400" s="10" t="s">
        <v>29</v>
      </c>
      <c r="C400" s="10" t="s">
        <v>1270</v>
      </c>
      <c r="D400" s="10" t="s">
        <v>1269</v>
      </c>
      <c r="E400" s="10">
        <v>2000</v>
      </c>
      <c r="F400" t="s">
        <v>2661</v>
      </c>
      <c r="G400" s="10" t="s">
        <v>1274</v>
      </c>
      <c r="H400" s="10" t="s">
        <v>17</v>
      </c>
      <c r="J400" s="10" t="s">
        <v>1272</v>
      </c>
      <c r="K400" s="10">
        <v>4</v>
      </c>
      <c r="L400" s="10">
        <v>4</v>
      </c>
      <c r="M400" s="53"/>
      <c r="N400" s="25">
        <f>0.35*9158</f>
        <v>3205.2999999999997</v>
      </c>
      <c r="O400" s="25">
        <f>0.01*9158</f>
        <v>91.58</v>
      </c>
      <c r="W400" s="25">
        <f>0.33*9158</f>
        <v>3022.1400000000003</v>
      </c>
      <c r="X400" s="25">
        <f>0.01*9158</f>
        <v>91.58</v>
      </c>
      <c r="AD400" s="14">
        <f t="shared" si="63"/>
        <v>0.94285714285714306</v>
      </c>
      <c r="AI400" s="14">
        <f t="shared" si="64"/>
        <v>0.94285714285714306</v>
      </c>
      <c r="AL400" s="10">
        <f t="shared" si="65"/>
        <v>6.1680966264056666E-3</v>
      </c>
      <c r="AM400"/>
      <c r="AO400" s="10">
        <f t="shared" si="66"/>
        <v>6.1680966264056666E-3</v>
      </c>
      <c r="AP400" s="10">
        <f t="shared" si="67"/>
        <v>8.3297063001251545E-2</v>
      </c>
      <c r="AQ400" s="25">
        <f>0.01985*0.46*2*9158</f>
        <v>167.24339600000002</v>
      </c>
      <c r="AR400" s="10" t="s">
        <v>14</v>
      </c>
      <c r="AS400" s="10" t="s">
        <v>2</v>
      </c>
      <c r="AT400" s="10" t="s">
        <v>3</v>
      </c>
      <c r="AU400" s="10" t="s">
        <v>2</v>
      </c>
      <c r="AV400" s="10" t="s">
        <v>3</v>
      </c>
      <c r="AW400" s="10" t="s">
        <v>2409</v>
      </c>
    </row>
    <row r="401" spans="1:49" s="10" customFormat="1" x14ac:dyDescent="0.3">
      <c r="A401" s="10" t="s">
        <v>1268</v>
      </c>
      <c r="B401" s="10" t="s">
        <v>29</v>
      </c>
      <c r="C401" s="10" t="s">
        <v>1270</v>
      </c>
      <c r="D401" s="10" t="s">
        <v>1269</v>
      </c>
      <c r="E401" s="10">
        <v>2000</v>
      </c>
      <c r="F401" t="s">
        <v>2661</v>
      </c>
      <c r="G401" s="10" t="s">
        <v>1274</v>
      </c>
      <c r="H401" s="10" t="s">
        <v>17</v>
      </c>
      <c r="J401" s="10" t="s">
        <v>1271</v>
      </c>
      <c r="K401" s="10">
        <v>4</v>
      </c>
      <c r="L401" s="10">
        <v>4</v>
      </c>
      <c r="M401" s="53"/>
      <c r="N401" s="25">
        <f t="shared" ref="N401:N402" si="72">0.35*9158</f>
        <v>3205.2999999999997</v>
      </c>
      <c r="O401" s="25">
        <f t="shared" ref="O401:O402" si="73">0.01*9158</f>
        <v>91.58</v>
      </c>
      <c r="W401" s="25">
        <f>0.4*9158</f>
        <v>3663.2000000000003</v>
      </c>
      <c r="X401" s="25">
        <f>0.02*9158</f>
        <v>183.16</v>
      </c>
      <c r="AD401" s="14">
        <f t="shared" si="63"/>
        <v>1.142857142857143</v>
      </c>
      <c r="AI401" s="3">
        <f t="shared" si="64"/>
        <v>1.142857142857143</v>
      </c>
      <c r="AL401">
        <f t="shared" si="65"/>
        <v>1.7326114119117039E-2</v>
      </c>
      <c r="AM401"/>
      <c r="AN401"/>
      <c r="AO401">
        <f t="shared" si="66"/>
        <v>1.7326114119117039E-2</v>
      </c>
      <c r="AP401">
        <f t="shared" si="67"/>
        <v>0.11517511068997928</v>
      </c>
      <c r="AQ401" s="25">
        <f t="shared" ref="AQ401:AQ402" si="74">0.01985*0.46*2*9158</f>
        <v>167.24339600000002</v>
      </c>
      <c r="AR401" s="10" t="s">
        <v>14</v>
      </c>
      <c r="AS401" s="10" t="s">
        <v>2</v>
      </c>
      <c r="AT401" s="10" t="s">
        <v>3</v>
      </c>
      <c r="AU401" s="10" t="s">
        <v>2</v>
      </c>
      <c r="AV401" s="10" t="s">
        <v>3</v>
      </c>
      <c r="AW401" s="10" t="s">
        <v>2409</v>
      </c>
    </row>
    <row r="402" spans="1:49" s="10" customFormat="1" x14ac:dyDescent="0.3">
      <c r="A402" s="10" t="s">
        <v>1268</v>
      </c>
      <c r="B402" s="10" t="s">
        <v>29</v>
      </c>
      <c r="C402" s="10" t="s">
        <v>1270</v>
      </c>
      <c r="D402" s="10" t="s">
        <v>1269</v>
      </c>
      <c r="E402" s="10">
        <v>2000</v>
      </c>
      <c r="F402" t="s">
        <v>2661</v>
      </c>
      <c r="G402" s="10" t="s">
        <v>1274</v>
      </c>
      <c r="H402" s="10" t="s">
        <v>17</v>
      </c>
      <c r="J402" s="10" t="s">
        <v>1273</v>
      </c>
      <c r="K402" s="10">
        <v>4</v>
      </c>
      <c r="L402" s="10">
        <v>4</v>
      </c>
      <c r="M402" s="53"/>
      <c r="N402" s="25">
        <f t="shared" si="72"/>
        <v>3205.2999999999997</v>
      </c>
      <c r="O402" s="25">
        <f t="shared" si="73"/>
        <v>91.58</v>
      </c>
      <c r="W402" s="25">
        <f>0.39*9158</f>
        <v>3571.6200000000003</v>
      </c>
      <c r="X402" s="25">
        <f>0.01*9158</f>
        <v>91.58</v>
      </c>
      <c r="AD402" s="14">
        <f t="shared" si="63"/>
        <v>1.1142857142857145</v>
      </c>
      <c r="AI402" s="3">
        <f t="shared" si="64"/>
        <v>1.1142857142857145</v>
      </c>
      <c r="AL402">
        <f t="shared" si="65"/>
        <v>7.3196168263223692E-3</v>
      </c>
      <c r="AM402"/>
      <c r="AN402"/>
      <c r="AO402">
        <f t="shared" si="66"/>
        <v>7.3196168263223692E-3</v>
      </c>
      <c r="AP402">
        <f t="shared" si="67"/>
        <v>7.6779912126440447E-2</v>
      </c>
      <c r="AQ402" s="25">
        <f t="shared" si="74"/>
        <v>167.24339600000002</v>
      </c>
      <c r="AR402" s="10" t="s">
        <v>14</v>
      </c>
      <c r="AS402" s="10" t="s">
        <v>2</v>
      </c>
      <c r="AT402" s="10" t="s">
        <v>3</v>
      </c>
      <c r="AU402" s="10" t="s">
        <v>2</v>
      </c>
      <c r="AV402" s="10" t="s">
        <v>3</v>
      </c>
      <c r="AW402" s="10" t="s">
        <v>2409</v>
      </c>
    </row>
    <row r="403" spans="1:49" x14ac:dyDescent="0.3">
      <c r="A403" s="10" t="s">
        <v>1275</v>
      </c>
      <c r="B403" s="10" t="s">
        <v>29</v>
      </c>
      <c r="C403" s="10" t="s">
        <v>1270</v>
      </c>
      <c r="D403" s="10" t="s">
        <v>1277</v>
      </c>
      <c r="E403" s="10">
        <v>1995</v>
      </c>
      <c r="F403" t="s">
        <v>2661</v>
      </c>
      <c r="G403" s="10" t="s">
        <v>34</v>
      </c>
      <c r="H403" s="10" t="s">
        <v>17</v>
      </c>
      <c r="J403" s="10" t="s">
        <v>1278</v>
      </c>
      <c r="K403" s="10">
        <v>4</v>
      </c>
      <c r="L403" s="10">
        <v>4</v>
      </c>
      <c r="N403">
        <v>568</v>
      </c>
      <c r="W403">
        <v>1804</v>
      </c>
      <c r="AC403" s="10"/>
      <c r="AD403" s="14">
        <f t="shared" si="63"/>
        <v>3.176056338028169</v>
      </c>
      <c r="AE403" s="10"/>
      <c r="AF403" s="10"/>
      <c r="AI403" s="3">
        <f t="shared" si="64"/>
        <v>3.176056338028169</v>
      </c>
      <c r="AQ403" s="5">
        <f>75*0.16+174+0.16</f>
        <v>186.16</v>
      </c>
      <c r="AR403" s="10" t="s">
        <v>14</v>
      </c>
      <c r="AS403" s="10" t="s">
        <v>3</v>
      </c>
      <c r="AT403" s="10" t="s">
        <v>3</v>
      </c>
      <c r="AU403" s="10" t="s">
        <v>2</v>
      </c>
      <c r="AV403" s="10" t="s">
        <v>3</v>
      </c>
      <c r="AW403" s="10" t="s">
        <v>2410</v>
      </c>
    </row>
    <row r="404" spans="1:49" x14ac:dyDescent="0.3">
      <c r="A404" s="10" t="s">
        <v>1275</v>
      </c>
      <c r="B404" s="10" t="s">
        <v>29</v>
      </c>
      <c r="C404" s="10" t="s">
        <v>1270</v>
      </c>
      <c r="D404" s="10" t="s">
        <v>1277</v>
      </c>
      <c r="E404" s="10">
        <v>1995</v>
      </c>
      <c r="F404" t="s">
        <v>2661</v>
      </c>
      <c r="G404" s="10" t="s">
        <v>34</v>
      </c>
      <c r="H404" s="10" t="s">
        <v>17</v>
      </c>
      <c r="J404" s="10" t="s">
        <v>1281</v>
      </c>
      <c r="K404" s="10">
        <v>4</v>
      </c>
      <c r="L404" s="10">
        <v>4</v>
      </c>
      <c r="N404">
        <v>568</v>
      </c>
      <c r="W404">
        <v>1030</v>
      </c>
      <c r="AC404" s="10"/>
      <c r="AD404" s="14">
        <f t="shared" si="63"/>
        <v>1.8133802816901408</v>
      </c>
      <c r="AE404" s="10"/>
      <c r="AF404" s="10"/>
      <c r="AI404" s="3">
        <f t="shared" si="64"/>
        <v>1.8133802816901408</v>
      </c>
      <c r="AQ404" s="5">
        <f t="shared" ref="AQ404:AQ405" si="75">75*0.16+174+0.16</f>
        <v>186.16</v>
      </c>
      <c r="AR404" s="10" t="s">
        <v>14</v>
      </c>
      <c r="AS404" s="10" t="s">
        <v>3</v>
      </c>
      <c r="AT404" s="10" t="s">
        <v>3</v>
      </c>
      <c r="AU404" s="10" t="s">
        <v>2</v>
      </c>
      <c r="AV404" s="10" t="s">
        <v>3</v>
      </c>
      <c r="AW404" s="10" t="s">
        <v>2410</v>
      </c>
    </row>
    <row r="405" spans="1:49" x14ac:dyDescent="0.3">
      <c r="A405" s="10" t="s">
        <v>1275</v>
      </c>
      <c r="B405" s="10" t="s">
        <v>29</v>
      </c>
      <c r="C405" s="10" t="s">
        <v>1270</v>
      </c>
      <c r="D405" s="10" t="s">
        <v>1277</v>
      </c>
      <c r="E405" s="10">
        <v>1995</v>
      </c>
      <c r="F405" t="s">
        <v>2661</v>
      </c>
      <c r="G405" s="10" t="s">
        <v>34</v>
      </c>
      <c r="H405" s="10" t="s">
        <v>17</v>
      </c>
      <c r="J405" s="10" t="s">
        <v>1280</v>
      </c>
      <c r="K405" s="10">
        <v>4</v>
      </c>
      <c r="L405" s="10">
        <v>4</v>
      </c>
      <c r="N405">
        <v>568</v>
      </c>
      <c r="W405">
        <v>905</v>
      </c>
      <c r="AC405" s="10"/>
      <c r="AD405" s="14">
        <f t="shared" si="63"/>
        <v>1.5933098591549295</v>
      </c>
      <c r="AE405" s="10"/>
      <c r="AF405" s="10"/>
      <c r="AI405" s="3">
        <f t="shared" si="64"/>
        <v>1.5933098591549295</v>
      </c>
      <c r="AQ405" s="5">
        <f t="shared" si="75"/>
        <v>186.16</v>
      </c>
      <c r="AR405" s="10" t="s">
        <v>14</v>
      </c>
      <c r="AS405" s="10" t="s">
        <v>3</v>
      </c>
      <c r="AT405" s="10" t="s">
        <v>3</v>
      </c>
      <c r="AU405" s="10" t="s">
        <v>2</v>
      </c>
      <c r="AV405" s="10" t="s">
        <v>3</v>
      </c>
      <c r="AW405" s="10" t="s">
        <v>2410</v>
      </c>
    </row>
    <row r="406" spans="1:49" x14ac:dyDescent="0.3">
      <c r="A406" s="10" t="s">
        <v>1275</v>
      </c>
      <c r="B406" s="10" t="s">
        <v>29</v>
      </c>
      <c r="C406" s="10" t="s">
        <v>1270</v>
      </c>
      <c r="D406" s="10" t="s">
        <v>1276</v>
      </c>
      <c r="E406" s="10">
        <v>1996</v>
      </c>
      <c r="F406" t="s">
        <v>2661</v>
      </c>
      <c r="J406" s="10" t="s">
        <v>1278</v>
      </c>
      <c r="K406" s="10">
        <v>4</v>
      </c>
      <c r="L406" s="10">
        <v>4</v>
      </c>
      <c r="N406">
        <v>5989</v>
      </c>
      <c r="W406">
        <v>10718</v>
      </c>
      <c r="AC406" s="10"/>
      <c r="AD406" s="14">
        <f t="shared" si="63"/>
        <v>1.7896142928702621</v>
      </c>
      <c r="AE406" s="10"/>
      <c r="AF406" s="10"/>
      <c r="AI406" s="3">
        <f t="shared" si="64"/>
        <v>1.7896142928702621</v>
      </c>
      <c r="AQ406" s="5">
        <f>56+174*0.15+174*0.46</f>
        <v>162.13999999999999</v>
      </c>
      <c r="AR406" s="10" t="s">
        <v>14</v>
      </c>
      <c r="AS406" s="10" t="s">
        <v>3</v>
      </c>
      <c r="AU406" s="10" t="s">
        <v>2</v>
      </c>
      <c r="AV406" s="10" t="s">
        <v>3</v>
      </c>
      <c r="AW406" s="10" t="s">
        <v>2410</v>
      </c>
    </row>
    <row r="407" spans="1:49" x14ac:dyDescent="0.3">
      <c r="A407" s="10" t="s">
        <v>1275</v>
      </c>
      <c r="B407" s="10" t="s">
        <v>29</v>
      </c>
      <c r="C407" s="10" t="s">
        <v>1270</v>
      </c>
      <c r="D407" s="10" t="s">
        <v>1276</v>
      </c>
      <c r="E407" s="10">
        <v>1996</v>
      </c>
      <c r="F407" t="s">
        <v>2661</v>
      </c>
      <c r="J407" s="10" t="s">
        <v>1279</v>
      </c>
      <c r="K407" s="10">
        <v>4</v>
      </c>
      <c r="L407" s="10">
        <v>4</v>
      </c>
      <c r="N407">
        <v>5989</v>
      </c>
      <c r="W407">
        <v>7871</v>
      </c>
      <c r="AC407" s="10"/>
      <c r="AD407" s="14">
        <f t="shared" si="63"/>
        <v>1.3142427784271165</v>
      </c>
      <c r="AE407" s="10"/>
      <c r="AF407" s="10"/>
      <c r="AI407" s="3">
        <f t="shared" si="64"/>
        <v>1.3142427784271165</v>
      </c>
      <c r="AQ407" s="5">
        <f>56+174*0.15+174*0.46</f>
        <v>162.13999999999999</v>
      </c>
      <c r="AR407" s="10" t="s">
        <v>14</v>
      </c>
      <c r="AS407" s="10" t="s">
        <v>3</v>
      </c>
      <c r="AU407" s="10" t="s">
        <v>2</v>
      </c>
      <c r="AV407" s="10" t="s">
        <v>3</v>
      </c>
      <c r="AW407" s="10" t="s">
        <v>2410</v>
      </c>
    </row>
    <row r="408" spans="1:49" x14ac:dyDescent="0.3">
      <c r="A408" s="10" t="s">
        <v>1285</v>
      </c>
      <c r="B408" s="10" t="s">
        <v>29</v>
      </c>
      <c r="C408" s="10" t="s">
        <v>1282</v>
      </c>
      <c r="D408" s="4" t="s">
        <v>1283</v>
      </c>
      <c r="E408" s="10">
        <v>1984</v>
      </c>
      <c r="F408" t="s">
        <v>2661</v>
      </c>
      <c r="G408" s="10" t="s">
        <v>872</v>
      </c>
      <c r="H408" s="10" t="s">
        <v>17</v>
      </c>
      <c r="J408" s="10" t="s">
        <v>1284</v>
      </c>
      <c r="K408" s="10">
        <v>3</v>
      </c>
      <c r="L408" s="10">
        <v>3</v>
      </c>
      <c r="N408" s="5">
        <f>128.6*60*96/(0.45*1000)</f>
        <v>1646.08</v>
      </c>
      <c r="O408" s="5">
        <f>(8.6*60*96/(0.45*1000))/SQRT(K408)</f>
        <v>63.554717632394009</v>
      </c>
      <c r="W408" s="5">
        <f>129.2*60*84/(0.45*1000)</f>
        <v>1447.0399999999997</v>
      </c>
      <c r="X408" s="5">
        <f>(8*60*84/(0.45*1000))/SQRT(L408)</f>
        <v>51.730584119390471</v>
      </c>
      <c r="AC408" s="10"/>
      <c r="AD408" s="14">
        <f t="shared" si="63"/>
        <v>0.87908242612752707</v>
      </c>
      <c r="AE408" s="10"/>
      <c r="AF408" s="10"/>
      <c r="AI408" s="3">
        <f>AD408</f>
        <v>0.87908242612752707</v>
      </c>
      <c r="AL408">
        <f>(((X408*SQRT(L408))^2)/(N408^2))+((O408*SQRT(K408))^2)*(W408^2)/(N408^4)</f>
        <v>6.4188839521964088E-3</v>
      </c>
      <c r="AO408">
        <f t="shared" si="66"/>
        <v>6.4188839521964088E-3</v>
      </c>
      <c r="AP408">
        <f>SQRT(AO408)/AI408</f>
        <v>9.1138140618878635E-2</v>
      </c>
      <c r="AQ408" s="5">
        <f>0.18*393.1</f>
        <v>70.757999999999996</v>
      </c>
      <c r="AR408" s="10" t="s">
        <v>14</v>
      </c>
      <c r="AS408" s="10" t="s">
        <v>3</v>
      </c>
      <c r="AU408" s="10" t="s">
        <v>2</v>
      </c>
      <c r="AV408" s="10" t="s">
        <v>3</v>
      </c>
      <c r="AW408" s="10" t="s">
        <v>2411</v>
      </c>
    </row>
    <row r="409" spans="1:49" x14ac:dyDescent="0.3">
      <c r="A409" s="10" t="s">
        <v>1320</v>
      </c>
      <c r="B409" s="10" t="s">
        <v>477</v>
      </c>
      <c r="C409" s="10" t="s">
        <v>1321</v>
      </c>
      <c r="D409" s="16" t="s">
        <v>1322</v>
      </c>
      <c r="E409" s="10">
        <v>1991</v>
      </c>
      <c r="F409" t="s">
        <v>2661</v>
      </c>
      <c r="G409" s="10" t="s">
        <v>34</v>
      </c>
      <c r="H409" s="10" t="s">
        <v>217</v>
      </c>
      <c r="I409" s="10"/>
      <c r="J409" s="10" t="s">
        <v>1323</v>
      </c>
      <c r="K409" s="10">
        <v>4</v>
      </c>
      <c r="L409" s="10">
        <v>4</v>
      </c>
      <c r="N409" s="10">
        <v>1142</v>
      </c>
      <c r="O409" s="10"/>
      <c r="P409" s="10">
        <v>1680</v>
      </c>
      <c r="W409">
        <v>837</v>
      </c>
      <c r="Y409">
        <v>1133</v>
      </c>
      <c r="AC409" s="10"/>
      <c r="AD409" s="14">
        <f t="shared" si="63"/>
        <v>0.73292469352014011</v>
      </c>
      <c r="AE409" s="14">
        <f>Y409/P409</f>
        <v>0.67440476190476195</v>
      </c>
      <c r="AF409" s="10"/>
      <c r="AI409" s="3">
        <f>SUM(AD409:AH409)</f>
        <v>1.4073294554249021</v>
      </c>
      <c r="AQ409">
        <v>0</v>
      </c>
      <c r="AR409" s="10" t="s">
        <v>14</v>
      </c>
      <c r="AS409" s="10" t="s">
        <v>3</v>
      </c>
      <c r="AU409" s="10" t="s">
        <v>2</v>
      </c>
      <c r="AV409" s="10" t="s">
        <v>3</v>
      </c>
    </row>
    <row r="410" spans="1:49" x14ac:dyDescent="0.3">
      <c r="A410" s="10" t="s">
        <v>1320</v>
      </c>
      <c r="B410" s="10" t="s">
        <v>477</v>
      </c>
      <c r="C410" s="10" t="s">
        <v>1321</v>
      </c>
      <c r="D410" s="16" t="s">
        <v>1322</v>
      </c>
      <c r="E410" s="10">
        <v>1992</v>
      </c>
      <c r="F410" t="s">
        <v>2661</v>
      </c>
      <c r="G410" s="10" t="s">
        <v>34</v>
      </c>
      <c r="H410" s="10" t="s">
        <v>217</v>
      </c>
      <c r="I410" s="10"/>
      <c r="J410" s="10" t="s">
        <v>1323</v>
      </c>
      <c r="K410" s="10">
        <v>4</v>
      </c>
      <c r="L410" s="10">
        <v>4</v>
      </c>
      <c r="N410" s="10">
        <v>2014</v>
      </c>
      <c r="O410" s="10"/>
      <c r="P410" s="10">
        <v>334</v>
      </c>
      <c r="W410">
        <v>1547</v>
      </c>
      <c r="Y410">
        <v>345</v>
      </c>
      <c r="AC410" s="10"/>
      <c r="AD410" s="14">
        <f t="shared" si="63"/>
        <v>0.76812313803376364</v>
      </c>
      <c r="AE410" s="14">
        <f>Y410/P410</f>
        <v>1.032934131736527</v>
      </c>
      <c r="AF410" s="10"/>
      <c r="AI410" s="3">
        <f t="shared" ref="AI410:AI413" si="76">SUM(AD410:AH410)</f>
        <v>1.8010572697702907</v>
      </c>
      <c r="AQ410">
        <v>0</v>
      </c>
      <c r="AR410" s="10" t="s">
        <v>14</v>
      </c>
      <c r="AS410" s="10" t="s">
        <v>3</v>
      </c>
      <c r="AU410" s="10" t="s">
        <v>2</v>
      </c>
      <c r="AV410" s="10" t="s">
        <v>3</v>
      </c>
    </row>
    <row r="411" spans="1:49" x14ac:dyDescent="0.3">
      <c r="A411" s="10" t="s">
        <v>1320</v>
      </c>
      <c r="B411" s="10" t="s">
        <v>477</v>
      </c>
      <c r="C411" s="10" t="s">
        <v>1321</v>
      </c>
      <c r="D411" s="16" t="s">
        <v>1322</v>
      </c>
      <c r="E411" s="10">
        <v>1993</v>
      </c>
      <c r="F411" t="s">
        <v>2661</v>
      </c>
      <c r="G411" s="10" t="s">
        <v>34</v>
      </c>
      <c r="H411" s="10" t="s">
        <v>217</v>
      </c>
      <c r="I411" s="10"/>
      <c r="J411" s="10" t="s">
        <v>1323</v>
      </c>
      <c r="K411" s="10">
        <v>4</v>
      </c>
      <c r="L411" s="10">
        <v>4</v>
      </c>
      <c r="N411" s="10">
        <v>1099</v>
      </c>
      <c r="O411" s="10"/>
      <c r="P411" s="10">
        <v>234</v>
      </c>
      <c r="W411">
        <v>925</v>
      </c>
      <c r="Y411">
        <v>49</v>
      </c>
      <c r="AC411" s="10"/>
      <c r="AD411" s="14">
        <f t="shared" si="63"/>
        <v>0.84167424931756141</v>
      </c>
      <c r="AE411" s="14">
        <f>Y411/P411</f>
        <v>0.20940170940170941</v>
      </c>
      <c r="AF411" s="10"/>
      <c r="AI411" s="3">
        <f t="shared" si="76"/>
        <v>1.0510759587192708</v>
      </c>
      <c r="AQ411">
        <v>0</v>
      </c>
      <c r="AR411" s="10" t="s">
        <v>14</v>
      </c>
      <c r="AS411" s="10" t="s">
        <v>3</v>
      </c>
      <c r="AU411" s="10" t="s">
        <v>2</v>
      </c>
      <c r="AV411" s="10" t="s">
        <v>3</v>
      </c>
    </row>
    <row r="412" spans="1:49" x14ac:dyDescent="0.3">
      <c r="A412" s="10" t="s">
        <v>1320</v>
      </c>
      <c r="B412" s="10" t="s">
        <v>477</v>
      </c>
      <c r="C412" s="10" t="s">
        <v>1321</v>
      </c>
      <c r="D412" s="16" t="s">
        <v>1322</v>
      </c>
      <c r="E412" s="10">
        <v>1994</v>
      </c>
      <c r="F412" t="s">
        <v>2661</v>
      </c>
      <c r="G412" s="10" t="s">
        <v>34</v>
      </c>
      <c r="H412" s="10" t="s">
        <v>217</v>
      </c>
      <c r="I412" s="10"/>
      <c r="J412" s="10" t="s">
        <v>1323</v>
      </c>
      <c r="K412" s="10">
        <v>4</v>
      </c>
      <c r="L412" s="10">
        <v>4</v>
      </c>
      <c r="N412" s="10">
        <v>1289</v>
      </c>
      <c r="O412" s="10"/>
      <c r="P412" s="10">
        <v>128</v>
      </c>
      <c r="W412">
        <v>1021</v>
      </c>
      <c r="Y412">
        <v>128</v>
      </c>
      <c r="AD412" s="14">
        <f t="shared" si="63"/>
        <v>0.79208688906128777</v>
      </c>
      <c r="AE412" s="14">
        <f>Y412/P412</f>
        <v>1</v>
      </c>
      <c r="AI412" s="3">
        <f t="shared" si="76"/>
        <v>1.7920868890612878</v>
      </c>
      <c r="AQ412">
        <v>0</v>
      </c>
      <c r="AR412" s="10" t="s">
        <v>14</v>
      </c>
      <c r="AS412" s="10" t="s">
        <v>3</v>
      </c>
      <c r="AU412" s="10" t="s">
        <v>2</v>
      </c>
      <c r="AV412" s="10" t="s">
        <v>3</v>
      </c>
    </row>
    <row r="413" spans="1:49" x14ac:dyDescent="0.3">
      <c r="A413" s="10" t="s">
        <v>1320</v>
      </c>
      <c r="B413" s="10" t="s">
        <v>477</v>
      </c>
      <c r="C413" s="10" t="s">
        <v>1321</v>
      </c>
      <c r="D413" s="16" t="s">
        <v>1322</v>
      </c>
      <c r="E413" s="10">
        <v>1995</v>
      </c>
      <c r="F413" t="s">
        <v>2661</v>
      </c>
      <c r="G413" s="10" t="s">
        <v>34</v>
      </c>
      <c r="H413" s="10" t="s">
        <v>217</v>
      </c>
      <c r="I413" s="10"/>
      <c r="J413" s="10" t="s">
        <v>1323</v>
      </c>
      <c r="K413" s="10">
        <v>4</v>
      </c>
      <c r="L413" s="10">
        <v>4</v>
      </c>
      <c r="N413" s="10">
        <v>1625</v>
      </c>
      <c r="O413" s="10"/>
      <c r="P413" s="10">
        <v>201</v>
      </c>
      <c r="W413">
        <v>1391</v>
      </c>
      <c r="Y413">
        <v>196</v>
      </c>
      <c r="AD413" s="14">
        <f t="shared" si="63"/>
        <v>0.85599999999999998</v>
      </c>
      <c r="AE413" s="14">
        <f>Y413/P413</f>
        <v>0.97512437810945274</v>
      </c>
      <c r="AI413" s="3">
        <f t="shared" si="76"/>
        <v>1.8311243781094526</v>
      </c>
      <c r="AQ413">
        <v>0</v>
      </c>
      <c r="AR413" s="10" t="s">
        <v>14</v>
      </c>
      <c r="AS413" s="10" t="s">
        <v>3</v>
      </c>
      <c r="AU413" s="10" t="s">
        <v>2</v>
      </c>
      <c r="AV413" s="10" t="s">
        <v>3</v>
      </c>
    </row>
    <row r="414" spans="1:49" s="12" customFormat="1" x14ac:dyDescent="0.3">
      <c r="A414" s="10" t="s">
        <v>1325</v>
      </c>
      <c r="B414" s="10" t="s">
        <v>441</v>
      </c>
      <c r="C414" s="10" t="s">
        <v>694</v>
      </c>
      <c r="D414" s="10"/>
      <c r="E414" s="10">
        <v>1970</v>
      </c>
      <c r="F414" t="s">
        <v>2661</v>
      </c>
      <c r="G414" s="10" t="s">
        <v>34</v>
      </c>
      <c r="H414" s="10" t="s">
        <v>217</v>
      </c>
      <c r="I414" s="10"/>
      <c r="J414" s="10" t="s">
        <v>1326</v>
      </c>
      <c r="K414" s="10">
        <v>4</v>
      </c>
      <c r="L414" s="10">
        <v>4</v>
      </c>
      <c r="M414" s="53"/>
      <c r="N414" s="10">
        <v>8261</v>
      </c>
      <c r="O414" s="10"/>
      <c r="P414" s="10">
        <v>9171</v>
      </c>
      <c r="Q414" s="10"/>
      <c r="R414" s="10"/>
      <c r="S414" s="10"/>
      <c r="T414" s="10"/>
      <c r="U414" s="10"/>
      <c r="V414" s="10">
        <v>9115</v>
      </c>
      <c r="W414" s="10"/>
      <c r="X414" s="10"/>
      <c r="Y414" s="10"/>
      <c r="Z414" s="10"/>
      <c r="AA414" s="10"/>
      <c r="AB414" s="10"/>
      <c r="AC414" s="10"/>
      <c r="AD414" s="10"/>
      <c r="AE414" s="10"/>
      <c r="AF414" s="10"/>
      <c r="AG414" s="10"/>
      <c r="AH414" s="10"/>
      <c r="AI414" s="14">
        <f>MIN(V414/P414,V414/N414)</f>
        <v>0.99389379566023339</v>
      </c>
      <c r="AJ414" s="10"/>
      <c r="AK414" s="10"/>
      <c r="AL414" s="10"/>
      <c r="AM414"/>
      <c r="AN414" s="10"/>
      <c r="AO414" s="10"/>
      <c r="AP414" s="10"/>
      <c r="AQ414" s="10">
        <v>112</v>
      </c>
      <c r="AR414" s="10" t="s">
        <v>14</v>
      </c>
      <c r="AS414" s="10"/>
      <c r="AT414" s="10"/>
      <c r="AU414" s="10" t="s">
        <v>2</v>
      </c>
      <c r="AV414" s="10" t="s">
        <v>3</v>
      </c>
      <c r="AW414" s="10" t="s">
        <v>1328</v>
      </c>
    </row>
    <row r="415" spans="1:49" s="12" customFormat="1" x14ac:dyDescent="0.3">
      <c r="A415" s="10" t="s">
        <v>1325</v>
      </c>
      <c r="B415" s="10" t="s">
        <v>441</v>
      </c>
      <c r="C415" s="10" t="s">
        <v>694</v>
      </c>
      <c r="D415" s="10"/>
      <c r="E415" s="10">
        <v>1970</v>
      </c>
      <c r="F415" t="s">
        <v>2661</v>
      </c>
      <c r="G415" s="10" t="s">
        <v>34</v>
      </c>
      <c r="H415" s="10" t="s">
        <v>217</v>
      </c>
      <c r="I415" s="10"/>
      <c r="J415" s="10" t="s">
        <v>1327</v>
      </c>
      <c r="K415" s="10">
        <v>4</v>
      </c>
      <c r="L415" s="10">
        <v>4</v>
      </c>
      <c r="M415" s="53"/>
      <c r="N415" s="10">
        <v>8261</v>
      </c>
      <c r="O415" s="10"/>
      <c r="P415" s="10">
        <v>8660</v>
      </c>
      <c r="Q415" s="10"/>
      <c r="R415" s="10"/>
      <c r="S415" s="10"/>
      <c r="T415" s="10"/>
      <c r="U415" s="10"/>
      <c r="V415" s="10">
        <v>7891</v>
      </c>
      <c r="W415" s="10"/>
      <c r="X415" s="10"/>
      <c r="Y415" s="10"/>
      <c r="Z415" s="10"/>
      <c r="AA415" s="10"/>
      <c r="AB415" s="10"/>
      <c r="AC415" s="10"/>
      <c r="AD415" s="10"/>
      <c r="AE415" s="10"/>
      <c r="AF415" s="10"/>
      <c r="AG415" s="10"/>
      <c r="AH415" s="10"/>
      <c r="AI415" s="14">
        <f>MIN(V415/P415,V415/N415)</f>
        <v>0.91120092378752882</v>
      </c>
      <c r="AJ415" s="10"/>
      <c r="AK415" s="10"/>
      <c r="AL415" s="10"/>
      <c r="AM415"/>
      <c r="AN415" s="10"/>
      <c r="AO415" s="10"/>
      <c r="AP415" s="10"/>
      <c r="AQ415" s="10">
        <v>112</v>
      </c>
      <c r="AR415" s="10" t="s">
        <v>14</v>
      </c>
      <c r="AS415" s="10"/>
      <c r="AT415" s="10"/>
      <c r="AU415" s="10" t="s">
        <v>2</v>
      </c>
      <c r="AV415" s="10" t="s">
        <v>3</v>
      </c>
      <c r="AW415" s="10" t="s">
        <v>1328</v>
      </c>
    </row>
    <row r="416" spans="1:49" s="12" customFormat="1" x14ac:dyDescent="0.3">
      <c r="A416" s="10" t="s">
        <v>1329</v>
      </c>
      <c r="B416" s="10" t="s">
        <v>300</v>
      </c>
      <c r="C416" s="10" t="s">
        <v>1331</v>
      </c>
      <c r="D416" s="16" t="s">
        <v>1330</v>
      </c>
      <c r="E416" s="10">
        <v>1988</v>
      </c>
      <c r="F416" t="s">
        <v>2661</v>
      </c>
      <c r="G416" s="10"/>
      <c r="H416" s="10" t="s">
        <v>17</v>
      </c>
      <c r="I416" s="10" t="s">
        <v>1333</v>
      </c>
      <c r="J416" s="10" t="s">
        <v>1332</v>
      </c>
      <c r="K416" s="10">
        <v>3</v>
      </c>
      <c r="L416" s="10">
        <v>3</v>
      </c>
      <c r="M416" s="53"/>
      <c r="N416" s="10">
        <v>13.8</v>
      </c>
      <c r="O416" s="10"/>
      <c r="P416" s="10"/>
      <c r="Q416" s="10"/>
      <c r="R416" s="10"/>
      <c r="S416" s="10"/>
      <c r="T416" s="10"/>
      <c r="U416" s="10"/>
      <c r="V416" s="10">
        <v>13</v>
      </c>
      <c r="W416" s="10"/>
      <c r="X416" s="10"/>
      <c r="Y416" s="10"/>
      <c r="Z416" s="10"/>
      <c r="AA416" s="10"/>
      <c r="AB416" s="10"/>
      <c r="AC416" s="10"/>
      <c r="AD416" s="10"/>
      <c r="AE416" s="10"/>
      <c r="AF416" s="10"/>
      <c r="AG416" s="10"/>
      <c r="AH416" s="10"/>
      <c r="AI416" s="14">
        <f t="shared" ref="AI416:AI421" si="77">V416/N416</f>
        <v>0.94202898550724634</v>
      </c>
      <c r="AJ416" s="10"/>
      <c r="AK416" s="10"/>
      <c r="AL416" s="10"/>
      <c r="AM416"/>
      <c r="AN416" s="10"/>
      <c r="AO416" s="10"/>
      <c r="AP416" s="10"/>
      <c r="AQ416" s="10"/>
      <c r="AR416" s="10"/>
      <c r="AS416" s="10" t="s">
        <v>3</v>
      </c>
      <c r="AT416" s="10" t="s">
        <v>2</v>
      </c>
      <c r="AU416" s="10" t="s">
        <v>2</v>
      </c>
      <c r="AV416" s="10" t="s">
        <v>3</v>
      </c>
      <c r="AW416" s="10" t="s">
        <v>1337</v>
      </c>
    </row>
    <row r="417" spans="1:49" s="12" customFormat="1" x14ac:dyDescent="0.3">
      <c r="A417" s="10" t="s">
        <v>1329</v>
      </c>
      <c r="B417" s="10" t="s">
        <v>300</v>
      </c>
      <c r="C417" s="10" t="s">
        <v>1331</v>
      </c>
      <c r="D417" s="16" t="s">
        <v>1330</v>
      </c>
      <c r="E417" s="10">
        <v>1988</v>
      </c>
      <c r="F417" t="s">
        <v>2661</v>
      </c>
      <c r="G417" s="10"/>
      <c r="H417" s="10" t="s">
        <v>17</v>
      </c>
      <c r="I417" s="10" t="s">
        <v>1334</v>
      </c>
      <c r="J417" s="10" t="s">
        <v>1332</v>
      </c>
      <c r="K417" s="10">
        <v>3</v>
      </c>
      <c r="L417" s="10">
        <v>3</v>
      </c>
      <c r="M417" s="53"/>
      <c r="N417" s="10">
        <v>13.8</v>
      </c>
      <c r="O417" s="10"/>
      <c r="P417" s="10"/>
      <c r="Q417" s="10"/>
      <c r="R417" s="10"/>
      <c r="S417" s="10"/>
      <c r="T417" s="10"/>
      <c r="U417" s="10"/>
      <c r="V417" s="10">
        <v>13.6</v>
      </c>
      <c r="W417" s="10"/>
      <c r="X417" s="10"/>
      <c r="Y417" s="10"/>
      <c r="Z417" s="10"/>
      <c r="AA417" s="10"/>
      <c r="AB417" s="10"/>
      <c r="AC417" s="10"/>
      <c r="AD417" s="10"/>
      <c r="AE417" s="10"/>
      <c r="AF417" s="10"/>
      <c r="AG417" s="10"/>
      <c r="AH417" s="10"/>
      <c r="AI417" s="14">
        <f t="shared" si="77"/>
        <v>0.98550724637681153</v>
      </c>
      <c r="AJ417" s="10"/>
      <c r="AK417" s="10"/>
      <c r="AL417" s="10"/>
      <c r="AM417"/>
      <c r="AN417" s="10"/>
      <c r="AO417" s="10"/>
      <c r="AP417" s="10"/>
      <c r="AQ417" s="10"/>
      <c r="AR417" s="10"/>
      <c r="AS417" s="10" t="s">
        <v>3</v>
      </c>
      <c r="AT417" s="10" t="s">
        <v>2</v>
      </c>
      <c r="AU417" s="10" t="s">
        <v>2</v>
      </c>
      <c r="AV417" s="10" t="s">
        <v>3</v>
      </c>
      <c r="AW417" s="10" t="s">
        <v>1337</v>
      </c>
    </row>
    <row r="418" spans="1:49" s="12" customFormat="1" x14ac:dyDescent="0.3">
      <c r="A418" s="10" t="s">
        <v>1329</v>
      </c>
      <c r="B418" s="10" t="s">
        <v>300</v>
      </c>
      <c r="C418" s="10" t="s">
        <v>1331</v>
      </c>
      <c r="D418" s="16" t="s">
        <v>1330</v>
      </c>
      <c r="E418" s="10">
        <v>1988</v>
      </c>
      <c r="F418" t="s">
        <v>2661</v>
      </c>
      <c r="G418" s="10"/>
      <c r="H418" s="10" t="s">
        <v>17</v>
      </c>
      <c r="I418" s="10" t="s">
        <v>1335</v>
      </c>
      <c r="J418" s="10" t="s">
        <v>1332</v>
      </c>
      <c r="K418" s="10">
        <v>3</v>
      </c>
      <c r="L418" s="10">
        <v>3</v>
      </c>
      <c r="M418" s="53"/>
      <c r="N418" s="10">
        <v>13.6</v>
      </c>
      <c r="O418" s="10"/>
      <c r="P418" s="10"/>
      <c r="Q418" s="10"/>
      <c r="R418" s="10"/>
      <c r="S418" s="10"/>
      <c r="T418" s="10"/>
      <c r="U418" s="10"/>
      <c r="V418" s="10">
        <v>12.3</v>
      </c>
      <c r="W418" s="10"/>
      <c r="X418" s="10"/>
      <c r="Y418" s="10"/>
      <c r="Z418" s="10"/>
      <c r="AA418" s="10"/>
      <c r="AB418" s="10"/>
      <c r="AC418" s="10"/>
      <c r="AD418" s="10"/>
      <c r="AE418" s="10"/>
      <c r="AF418" s="10"/>
      <c r="AG418" s="10"/>
      <c r="AH418" s="10"/>
      <c r="AI418" s="14">
        <f t="shared" si="77"/>
        <v>0.90441176470588247</v>
      </c>
      <c r="AJ418" s="10"/>
      <c r="AK418" s="10"/>
      <c r="AL418" s="10"/>
      <c r="AM418"/>
      <c r="AN418" s="10"/>
      <c r="AO418" s="10"/>
      <c r="AP418" s="10"/>
      <c r="AQ418" s="10"/>
      <c r="AR418" s="10"/>
      <c r="AS418" s="10" t="s">
        <v>3</v>
      </c>
      <c r="AT418" s="10" t="s">
        <v>2</v>
      </c>
      <c r="AU418" s="10" t="s">
        <v>2</v>
      </c>
      <c r="AV418" s="10" t="s">
        <v>3</v>
      </c>
      <c r="AW418" s="10" t="s">
        <v>1337</v>
      </c>
    </row>
    <row r="419" spans="1:49" s="12" customFormat="1" x14ac:dyDescent="0.3">
      <c r="A419" s="10" t="s">
        <v>1329</v>
      </c>
      <c r="B419" s="10" t="s">
        <v>300</v>
      </c>
      <c r="C419" s="10" t="s">
        <v>1331</v>
      </c>
      <c r="D419" s="16" t="s">
        <v>1330</v>
      </c>
      <c r="E419" s="10">
        <v>1988</v>
      </c>
      <c r="F419" t="s">
        <v>2661</v>
      </c>
      <c r="G419" s="10"/>
      <c r="H419" s="10" t="s">
        <v>17</v>
      </c>
      <c r="I419" s="10" t="s">
        <v>1336</v>
      </c>
      <c r="J419" s="10" t="s">
        <v>1332</v>
      </c>
      <c r="K419" s="10">
        <v>3</v>
      </c>
      <c r="L419" s="10">
        <v>3</v>
      </c>
      <c r="M419" s="53"/>
      <c r="N419" s="10">
        <v>13.6</v>
      </c>
      <c r="O419" s="10"/>
      <c r="P419" s="10"/>
      <c r="Q419" s="10"/>
      <c r="R419" s="10"/>
      <c r="S419" s="10"/>
      <c r="T419" s="10"/>
      <c r="U419" s="10"/>
      <c r="V419" s="10">
        <v>13.1</v>
      </c>
      <c r="W419" s="10"/>
      <c r="X419" s="10"/>
      <c r="Y419" s="10"/>
      <c r="Z419" s="10"/>
      <c r="AA419" s="10"/>
      <c r="AB419" s="10"/>
      <c r="AC419" s="10"/>
      <c r="AD419" s="10"/>
      <c r="AE419" s="10"/>
      <c r="AF419" s="10"/>
      <c r="AG419" s="10"/>
      <c r="AH419" s="10"/>
      <c r="AI419" s="14">
        <f t="shared" si="77"/>
        <v>0.96323529411764708</v>
      </c>
      <c r="AJ419" s="10"/>
      <c r="AK419" s="10"/>
      <c r="AL419" s="10"/>
      <c r="AM419"/>
      <c r="AN419" s="10"/>
      <c r="AO419" s="10"/>
      <c r="AP419" s="10"/>
      <c r="AQ419" s="10"/>
      <c r="AR419" s="10"/>
      <c r="AS419" s="10" t="s">
        <v>3</v>
      </c>
      <c r="AT419" s="10" t="s">
        <v>2</v>
      </c>
      <c r="AU419" s="10" t="s">
        <v>2</v>
      </c>
      <c r="AV419" s="10" t="s">
        <v>3</v>
      </c>
      <c r="AW419" s="10" t="s">
        <v>1337</v>
      </c>
    </row>
    <row r="420" spans="1:49" x14ac:dyDescent="0.3">
      <c r="A420" s="10" t="s">
        <v>1329</v>
      </c>
      <c r="B420" s="10" t="s">
        <v>300</v>
      </c>
      <c r="C420" s="10" t="s">
        <v>1331</v>
      </c>
      <c r="D420" s="16" t="s">
        <v>1330</v>
      </c>
      <c r="E420" s="10">
        <v>1989</v>
      </c>
      <c r="F420" t="s">
        <v>2661</v>
      </c>
      <c r="G420" s="10"/>
      <c r="H420" s="10" t="s">
        <v>17</v>
      </c>
      <c r="I420" s="10" t="s">
        <v>1338</v>
      </c>
      <c r="J420" s="10" t="s">
        <v>1332</v>
      </c>
      <c r="K420" s="10">
        <v>4</v>
      </c>
      <c r="L420" s="10">
        <v>4</v>
      </c>
      <c r="N420" s="10">
        <v>19.5</v>
      </c>
      <c r="O420" s="10"/>
      <c r="P420" s="10"/>
      <c r="Q420" s="10"/>
      <c r="R420" s="10"/>
      <c r="S420" s="10"/>
      <c r="T420" s="10"/>
      <c r="U420" s="10"/>
      <c r="V420" s="10">
        <v>19.399999999999999</v>
      </c>
      <c r="W420" s="10"/>
      <c r="X420" s="10"/>
      <c r="Y420" s="10"/>
      <c r="Z420" s="10"/>
      <c r="AA420" s="10"/>
      <c r="AB420" s="10"/>
      <c r="AC420" s="10"/>
      <c r="AD420" s="10"/>
      <c r="AE420" s="10"/>
      <c r="AF420" s="10"/>
      <c r="AG420" s="10"/>
      <c r="AH420" s="10"/>
      <c r="AI420" s="14">
        <f t="shared" si="77"/>
        <v>0.99487179487179478</v>
      </c>
      <c r="AJ420" s="10"/>
      <c r="AK420" s="10"/>
      <c r="AL420" s="10"/>
      <c r="AN420" s="10"/>
      <c r="AO420" s="10"/>
      <c r="AP420" s="10"/>
      <c r="AQ420" s="10"/>
      <c r="AR420" s="10"/>
      <c r="AS420" s="10" t="s">
        <v>3</v>
      </c>
      <c r="AT420" s="10" t="s">
        <v>2</v>
      </c>
      <c r="AU420" s="10" t="s">
        <v>2</v>
      </c>
      <c r="AV420" s="10" t="s">
        <v>3</v>
      </c>
      <c r="AW420" s="10" t="s">
        <v>1337</v>
      </c>
    </row>
    <row r="421" spans="1:49" x14ac:dyDescent="0.3">
      <c r="A421" s="10" t="s">
        <v>1329</v>
      </c>
      <c r="B421" s="10" t="s">
        <v>300</v>
      </c>
      <c r="C421" s="10" t="s">
        <v>1331</v>
      </c>
      <c r="D421" s="16" t="s">
        <v>1330</v>
      </c>
      <c r="E421" s="10">
        <v>1989</v>
      </c>
      <c r="F421" t="s">
        <v>2661</v>
      </c>
      <c r="G421" s="10"/>
      <c r="H421" s="10" t="s">
        <v>17</v>
      </c>
      <c r="I421" s="10" t="s">
        <v>1339</v>
      </c>
      <c r="J421" s="10" t="s">
        <v>1332</v>
      </c>
      <c r="K421" s="10">
        <v>4</v>
      </c>
      <c r="L421" s="10">
        <v>4</v>
      </c>
      <c r="N421" s="10">
        <v>19.5</v>
      </c>
      <c r="O421" s="10"/>
      <c r="P421" s="10"/>
      <c r="Q421" s="10"/>
      <c r="R421" s="10"/>
      <c r="S421" s="10"/>
      <c r="T421" s="10"/>
      <c r="U421" s="10"/>
      <c r="V421" s="10">
        <v>20</v>
      </c>
      <c r="W421" s="10"/>
      <c r="X421" s="10"/>
      <c r="Y421" s="10"/>
      <c r="Z421" s="10"/>
      <c r="AA421" s="10"/>
      <c r="AB421" s="10"/>
      <c r="AC421" s="10"/>
      <c r="AD421" s="10"/>
      <c r="AE421" s="10"/>
      <c r="AF421" s="10"/>
      <c r="AG421" s="10"/>
      <c r="AH421" s="10"/>
      <c r="AI421" s="14">
        <f t="shared" si="77"/>
        <v>1.0256410256410255</v>
      </c>
      <c r="AJ421" s="10"/>
      <c r="AK421" s="10"/>
      <c r="AL421" s="10"/>
      <c r="AN421" s="10"/>
      <c r="AO421" s="10"/>
      <c r="AP421" s="10"/>
      <c r="AQ421" s="10"/>
      <c r="AR421" s="10"/>
      <c r="AS421" s="10" t="s">
        <v>3</v>
      </c>
      <c r="AT421" s="10" t="s">
        <v>2</v>
      </c>
      <c r="AU421" s="10" t="s">
        <v>2</v>
      </c>
      <c r="AV421" s="10" t="s">
        <v>3</v>
      </c>
      <c r="AW421" s="10" t="s">
        <v>1337</v>
      </c>
    </row>
    <row r="422" spans="1:49" s="10" customFormat="1" x14ac:dyDescent="0.3">
      <c r="A422" s="10" t="s">
        <v>1340</v>
      </c>
      <c r="B422" s="10" t="s">
        <v>29</v>
      </c>
      <c r="C422" s="10" t="s">
        <v>1342</v>
      </c>
      <c r="D422" s="16" t="s">
        <v>1341</v>
      </c>
      <c r="E422" s="10">
        <v>1981</v>
      </c>
      <c r="F422" t="s">
        <v>2661</v>
      </c>
      <c r="G422" s="16" t="s">
        <v>34</v>
      </c>
      <c r="H422" s="10" t="s">
        <v>17</v>
      </c>
      <c r="I422" s="10" t="s">
        <v>1346</v>
      </c>
      <c r="J422" s="10" t="s">
        <v>1332</v>
      </c>
      <c r="K422" s="10">
        <v>4</v>
      </c>
      <c r="L422" s="10">
        <v>4</v>
      </c>
      <c r="M422" s="53"/>
      <c r="N422" s="10">
        <v>60.8</v>
      </c>
      <c r="P422" s="10">
        <v>23.5</v>
      </c>
      <c r="W422" s="10">
        <v>52.6</v>
      </c>
      <c r="AI422" s="14">
        <v>1.04</v>
      </c>
      <c r="AM422"/>
      <c r="AQ422" s="10">
        <v>157</v>
      </c>
      <c r="AR422" s="10" t="s">
        <v>14</v>
      </c>
      <c r="AS422" s="10" t="s">
        <v>3</v>
      </c>
      <c r="AU422" s="10" t="s">
        <v>2</v>
      </c>
      <c r="AV422" s="10" t="s">
        <v>3</v>
      </c>
      <c r="AW422" s="10" t="s">
        <v>1352</v>
      </c>
    </row>
    <row r="423" spans="1:49" s="10" customFormat="1" x14ac:dyDescent="0.3">
      <c r="A423" s="10" t="s">
        <v>1340</v>
      </c>
      <c r="B423" s="10" t="s">
        <v>29</v>
      </c>
      <c r="C423" s="10" t="s">
        <v>1342</v>
      </c>
      <c r="D423" s="16" t="s">
        <v>1341</v>
      </c>
      <c r="E423" s="10">
        <v>1981</v>
      </c>
      <c r="F423" t="s">
        <v>2661</v>
      </c>
      <c r="G423" s="16" t="s">
        <v>34</v>
      </c>
      <c r="H423" s="10" t="s">
        <v>17</v>
      </c>
      <c r="I423" s="10" t="s">
        <v>1347</v>
      </c>
      <c r="J423" s="10" t="s">
        <v>1332</v>
      </c>
      <c r="K423" s="10">
        <v>4</v>
      </c>
      <c r="L423" s="10">
        <v>4</v>
      </c>
      <c r="M423" s="53"/>
      <c r="N423" s="10">
        <v>62.7</v>
      </c>
      <c r="P423" s="10">
        <v>23.5</v>
      </c>
      <c r="W423" s="10">
        <v>61.1</v>
      </c>
      <c r="AI423" s="14">
        <v>1.1299999999999999</v>
      </c>
      <c r="AM423"/>
      <c r="AQ423" s="10">
        <v>157</v>
      </c>
      <c r="AR423" s="10" t="s">
        <v>14</v>
      </c>
      <c r="AS423" s="10" t="s">
        <v>3</v>
      </c>
      <c r="AU423" s="10" t="s">
        <v>2</v>
      </c>
      <c r="AV423" s="10" t="s">
        <v>3</v>
      </c>
      <c r="AW423" s="10" t="s">
        <v>1352</v>
      </c>
    </row>
    <row r="424" spans="1:49" s="10" customFormat="1" x14ac:dyDescent="0.3">
      <c r="A424" s="10" t="s">
        <v>1340</v>
      </c>
      <c r="B424" s="10" t="s">
        <v>29</v>
      </c>
      <c r="C424" s="10" t="s">
        <v>1342</v>
      </c>
      <c r="D424" s="16" t="s">
        <v>1341</v>
      </c>
      <c r="E424" s="10">
        <v>1981</v>
      </c>
      <c r="F424" t="s">
        <v>2661</v>
      </c>
      <c r="G424" s="16" t="s">
        <v>34</v>
      </c>
      <c r="H424" s="10" t="s">
        <v>17</v>
      </c>
      <c r="I424" s="10" t="s">
        <v>1348</v>
      </c>
      <c r="J424" s="10" t="s">
        <v>1332</v>
      </c>
      <c r="K424" s="10">
        <v>4</v>
      </c>
      <c r="L424" s="10">
        <v>4</v>
      </c>
      <c r="M424" s="53"/>
      <c r="N424" s="10">
        <v>62</v>
      </c>
      <c r="P424" s="10">
        <v>23.5</v>
      </c>
      <c r="W424" s="10">
        <v>61.1</v>
      </c>
      <c r="AI424" s="14">
        <v>1.1200000000000001</v>
      </c>
      <c r="AM424"/>
      <c r="AQ424" s="10">
        <v>157</v>
      </c>
      <c r="AR424" s="10" t="s">
        <v>14</v>
      </c>
      <c r="AS424" s="10" t="s">
        <v>3</v>
      </c>
      <c r="AU424" s="10" t="s">
        <v>2</v>
      </c>
      <c r="AV424" s="10" t="s">
        <v>3</v>
      </c>
      <c r="AW424" s="10" t="s">
        <v>1352</v>
      </c>
    </row>
    <row r="425" spans="1:49" s="10" customFormat="1" x14ac:dyDescent="0.3">
      <c r="A425" s="10" t="s">
        <v>1340</v>
      </c>
      <c r="B425" s="10" t="s">
        <v>29</v>
      </c>
      <c r="C425" s="10" t="s">
        <v>1342</v>
      </c>
      <c r="D425" s="16" t="s">
        <v>1341</v>
      </c>
      <c r="E425" s="10">
        <v>1981</v>
      </c>
      <c r="F425" t="s">
        <v>2661</v>
      </c>
      <c r="G425" s="16" t="s">
        <v>34</v>
      </c>
      <c r="H425" s="10" t="s">
        <v>17</v>
      </c>
      <c r="I425" s="10" t="s">
        <v>1349</v>
      </c>
      <c r="J425" s="10" t="s">
        <v>1332</v>
      </c>
      <c r="K425" s="10">
        <v>4</v>
      </c>
      <c r="L425" s="10">
        <v>4</v>
      </c>
      <c r="M425" s="53"/>
      <c r="N425" s="10">
        <v>60.8</v>
      </c>
      <c r="P425" s="10">
        <v>23.5</v>
      </c>
      <c r="W425" s="10">
        <v>47.1</v>
      </c>
      <c r="AI425" s="14">
        <v>1.05</v>
      </c>
      <c r="AL425"/>
      <c r="AM425"/>
      <c r="AN425"/>
      <c r="AO425"/>
      <c r="AP425"/>
      <c r="AQ425" s="10">
        <v>157</v>
      </c>
      <c r="AR425" s="10" t="s">
        <v>14</v>
      </c>
      <c r="AS425" s="10" t="s">
        <v>3</v>
      </c>
      <c r="AU425" s="10" t="s">
        <v>2</v>
      </c>
      <c r="AV425" s="10" t="s">
        <v>3</v>
      </c>
      <c r="AW425" s="10" t="s">
        <v>1352</v>
      </c>
    </row>
    <row r="426" spans="1:49" s="10" customFormat="1" x14ac:dyDescent="0.3">
      <c r="A426" s="10" t="s">
        <v>1340</v>
      </c>
      <c r="B426" s="10" t="s">
        <v>29</v>
      </c>
      <c r="C426" s="10" t="s">
        <v>1342</v>
      </c>
      <c r="D426" s="16" t="s">
        <v>1341</v>
      </c>
      <c r="E426" s="10">
        <v>1981</v>
      </c>
      <c r="F426" t="s">
        <v>2661</v>
      </c>
      <c r="G426" s="16" t="s">
        <v>34</v>
      </c>
      <c r="H426" s="10" t="s">
        <v>17</v>
      </c>
      <c r="I426" s="10" t="s">
        <v>1350</v>
      </c>
      <c r="J426" s="10" t="s">
        <v>1332</v>
      </c>
      <c r="K426" s="10">
        <v>4</v>
      </c>
      <c r="L426" s="10">
        <v>4</v>
      </c>
      <c r="M426" s="53"/>
      <c r="N426" s="10">
        <v>62.7</v>
      </c>
      <c r="P426" s="10">
        <v>23.5</v>
      </c>
      <c r="W426" s="10">
        <v>54.7</v>
      </c>
      <c r="AI426" s="14">
        <v>1.17</v>
      </c>
      <c r="AL426"/>
      <c r="AM426"/>
      <c r="AN426"/>
      <c r="AO426"/>
      <c r="AP426"/>
      <c r="AQ426" s="10">
        <v>157</v>
      </c>
      <c r="AR426" s="10" t="s">
        <v>14</v>
      </c>
      <c r="AS426" s="10" t="s">
        <v>3</v>
      </c>
      <c r="AU426" s="10" t="s">
        <v>2</v>
      </c>
      <c r="AV426" s="10" t="s">
        <v>3</v>
      </c>
      <c r="AW426" s="10" t="s">
        <v>1352</v>
      </c>
    </row>
    <row r="427" spans="1:49" s="10" customFormat="1" x14ac:dyDescent="0.3">
      <c r="A427" s="10" t="s">
        <v>1340</v>
      </c>
      <c r="B427" s="10" t="s">
        <v>29</v>
      </c>
      <c r="C427" s="10" t="s">
        <v>1342</v>
      </c>
      <c r="D427" s="16" t="s">
        <v>1341</v>
      </c>
      <c r="E427" s="10">
        <v>1981</v>
      </c>
      <c r="F427" t="s">
        <v>2661</v>
      </c>
      <c r="G427" s="16" t="s">
        <v>34</v>
      </c>
      <c r="H427" s="10" t="s">
        <v>17</v>
      </c>
      <c r="I427" s="10" t="s">
        <v>1351</v>
      </c>
      <c r="J427" s="10" t="s">
        <v>1332</v>
      </c>
      <c r="K427" s="10">
        <v>4</v>
      </c>
      <c r="L427" s="10">
        <v>4</v>
      </c>
      <c r="M427" s="53"/>
      <c r="N427" s="10">
        <v>62</v>
      </c>
      <c r="P427" s="10">
        <v>23.5</v>
      </c>
      <c r="W427" s="10">
        <v>59.6</v>
      </c>
      <c r="AI427" s="14">
        <v>1.18</v>
      </c>
      <c r="AL427"/>
      <c r="AM427"/>
      <c r="AN427"/>
      <c r="AO427"/>
      <c r="AP427"/>
      <c r="AQ427" s="10">
        <v>157</v>
      </c>
      <c r="AR427" s="10" t="s">
        <v>14</v>
      </c>
      <c r="AS427" s="10" t="s">
        <v>3</v>
      </c>
      <c r="AU427" s="10" t="s">
        <v>2</v>
      </c>
      <c r="AV427" s="10" t="s">
        <v>3</v>
      </c>
      <c r="AW427" s="10" t="s">
        <v>1352</v>
      </c>
    </row>
    <row r="428" spans="1:49" s="10" customFormat="1" x14ac:dyDescent="0.3">
      <c r="A428" s="10" t="s">
        <v>1340</v>
      </c>
      <c r="B428" s="10" t="s">
        <v>29</v>
      </c>
      <c r="C428" s="10" t="s">
        <v>1342</v>
      </c>
      <c r="D428" s="16" t="s">
        <v>1341</v>
      </c>
      <c r="E428" s="10">
        <v>1982</v>
      </c>
      <c r="F428" t="s">
        <v>2661</v>
      </c>
      <c r="G428" s="16" t="s">
        <v>34</v>
      </c>
      <c r="H428" s="10" t="s">
        <v>17</v>
      </c>
      <c r="I428" s="10" t="s">
        <v>1343</v>
      </c>
      <c r="J428" s="10" t="s">
        <v>1332</v>
      </c>
      <c r="K428" s="10">
        <v>4</v>
      </c>
      <c r="L428" s="10">
        <v>4</v>
      </c>
      <c r="M428" s="53"/>
      <c r="N428" s="10">
        <v>54.8</v>
      </c>
      <c r="P428" s="10">
        <v>25.4</v>
      </c>
      <c r="W428" s="10">
        <v>40.4</v>
      </c>
      <c r="AI428" s="14">
        <v>0.99</v>
      </c>
      <c r="AL428"/>
      <c r="AM428"/>
      <c r="AN428"/>
      <c r="AO428"/>
      <c r="AP428"/>
      <c r="AQ428" s="10">
        <v>157</v>
      </c>
      <c r="AR428" s="10" t="s">
        <v>14</v>
      </c>
      <c r="AS428" s="10" t="s">
        <v>3</v>
      </c>
      <c r="AU428" s="10" t="s">
        <v>2</v>
      </c>
      <c r="AV428" s="10" t="s">
        <v>3</v>
      </c>
      <c r="AW428" s="10" t="s">
        <v>1352</v>
      </c>
    </row>
    <row r="429" spans="1:49" s="10" customFormat="1" x14ac:dyDescent="0.3">
      <c r="A429" s="10" t="s">
        <v>1340</v>
      </c>
      <c r="B429" s="10" t="s">
        <v>29</v>
      </c>
      <c r="C429" s="10" t="s">
        <v>1342</v>
      </c>
      <c r="D429" s="16" t="s">
        <v>1341</v>
      </c>
      <c r="E429" s="10">
        <v>1982</v>
      </c>
      <c r="F429" t="s">
        <v>2661</v>
      </c>
      <c r="G429" s="16" t="s">
        <v>34</v>
      </c>
      <c r="H429" s="10" t="s">
        <v>17</v>
      </c>
      <c r="I429" s="10" t="s">
        <v>1344</v>
      </c>
      <c r="J429" s="10" t="s">
        <v>1332</v>
      </c>
      <c r="K429" s="10">
        <v>4</v>
      </c>
      <c r="L429" s="10">
        <v>4</v>
      </c>
      <c r="M429" s="53"/>
      <c r="N429" s="10">
        <v>56.4</v>
      </c>
      <c r="P429" s="10">
        <v>25.4</v>
      </c>
      <c r="W429" s="10">
        <v>46.3</v>
      </c>
      <c r="AI429" s="14">
        <v>1.0900000000000001</v>
      </c>
      <c r="AL429"/>
      <c r="AM429"/>
      <c r="AN429"/>
      <c r="AO429"/>
      <c r="AP429"/>
      <c r="AQ429" s="10">
        <v>157</v>
      </c>
      <c r="AR429" s="10" t="s">
        <v>14</v>
      </c>
      <c r="AS429" s="10" t="s">
        <v>3</v>
      </c>
      <c r="AU429" s="10" t="s">
        <v>2</v>
      </c>
      <c r="AV429" s="10" t="s">
        <v>3</v>
      </c>
      <c r="AW429" s="10" t="s">
        <v>1352</v>
      </c>
    </row>
    <row r="430" spans="1:49" s="10" customFormat="1" x14ac:dyDescent="0.3">
      <c r="A430" s="10" t="s">
        <v>1340</v>
      </c>
      <c r="B430" s="10" t="s">
        <v>29</v>
      </c>
      <c r="C430" s="10" t="s">
        <v>1342</v>
      </c>
      <c r="D430" s="16" t="s">
        <v>1341</v>
      </c>
      <c r="E430" s="10">
        <v>1982</v>
      </c>
      <c r="F430" t="s">
        <v>2661</v>
      </c>
      <c r="G430" s="16" t="s">
        <v>34</v>
      </c>
      <c r="H430" s="10" t="s">
        <v>17</v>
      </c>
      <c r="I430" s="10" t="s">
        <v>1345</v>
      </c>
      <c r="J430" s="10" t="s">
        <v>1332</v>
      </c>
      <c r="K430" s="10">
        <v>4</v>
      </c>
      <c r="L430" s="10">
        <v>4</v>
      </c>
      <c r="M430" s="53"/>
      <c r="N430" s="10">
        <v>55.6</v>
      </c>
      <c r="P430" s="10">
        <v>25.4</v>
      </c>
      <c r="W430" s="10">
        <v>48.6</v>
      </c>
      <c r="AI430" s="14">
        <v>1.1000000000000001</v>
      </c>
      <c r="AL430"/>
      <c r="AM430"/>
      <c r="AN430"/>
      <c r="AO430"/>
      <c r="AP430"/>
      <c r="AQ430" s="10">
        <v>157</v>
      </c>
      <c r="AR430" s="10" t="s">
        <v>14</v>
      </c>
      <c r="AS430" s="10" t="s">
        <v>3</v>
      </c>
      <c r="AU430" s="10" t="s">
        <v>2</v>
      </c>
      <c r="AV430" s="10" t="s">
        <v>3</v>
      </c>
      <c r="AW430" s="10" t="s">
        <v>1352</v>
      </c>
    </row>
    <row r="431" spans="1:49" s="10" customFormat="1" x14ac:dyDescent="0.3">
      <c r="A431" s="10" t="s">
        <v>1340</v>
      </c>
      <c r="B431" s="10" t="s">
        <v>29</v>
      </c>
      <c r="C431" s="10" t="s">
        <v>1342</v>
      </c>
      <c r="D431" s="16" t="s">
        <v>1341</v>
      </c>
      <c r="E431" s="10">
        <v>1982</v>
      </c>
      <c r="F431" t="s">
        <v>2661</v>
      </c>
      <c r="G431" s="16" t="s">
        <v>34</v>
      </c>
      <c r="H431" s="10" t="s">
        <v>17</v>
      </c>
      <c r="I431" s="10" t="s">
        <v>1349</v>
      </c>
      <c r="J431" s="10" t="s">
        <v>1332</v>
      </c>
      <c r="K431" s="10">
        <v>4</v>
      </c>
      <c r="L431" s="10">
        <v>4</v>
      </c>
      <c r="M431" s="53"/>
      <c r="N431" s="10">
        <v>54.8</v>
      </c>
      <c r="P431" s="10">
        <v>25.4</v>
      </c>
      <c r="W431" s="10">
        <v>47.1</v>
      </c>
      <c r="AI431" s="14">
        <v>1.07</v>
      </c>
      <c r="AL431"/>
      <c r="AM431"/>
      <c r="AN431"/>
      <c r="AO431"/>
      <c r="AP431"/>
      <c r="AQ431" s="10">
        <v>157</v>
      </c>
      <c r="AR431" s="10" t="s">
        <v>14</v>
      </c>
      <c r="AS431" s="10" t="s">
        <v>3</v>
      </c>
      <c r="AU431" s="10" t="s">
        <v>2</v>
      </c>
      <c r="AV431" s="10" t="s">
        <v>3</v>
      </c>
      <c r="AW431" s="10" t="s">
        <v>1352</v>
      </c>
    </row>
    <row r="432" spans="1:49" s="10" customFormat="1" x14ac:dyDescent="0.3">
      <c r="A432" s="10" t="s">
        <v>1340</v>
      </c>
      <c r="B432" s="10" t="s">
        <v>29</v>
      </c>
      <c r="C432" s="10" t="s">
        <v>1342</v>
      </c>
      <c r="D432" s="16" t="s">
        <v>1341</v>
      </c>
      <c r="E432" s="10">
        <v>1982</v>
      </c>
      <c r="F432" t="s">
        <v>2661</v>
      </c>
      <c r="G432" s="16" t="s">
        <v>34</v>
      </c>
      <c r="H432" s="10" t="s">
        <v>17</v>
      </c>
      <c r="I432" s="10" t="s">
        <v>1350</v>
      </c>
      <c r="J432" s="10" t="s">
        <v>1332</v>
      </c>
      <c r="K432" s="10">
        <v>4</v>
      </c>
      <c r="L432" s="10">
        <v>4</v>
      </c>
      <c r="M432" s="53"/>
      <c r="N432" s="10">
        <v>56.4</v>
      </c>
      <c r="P432" s="10">
        <v>25.4</v>
      </c>
      <c r="W432" s="10">
        <v>48.4</v>
      </c>
      <c r="AI432" s="14">
        <v>1.1000000000000001</v>
      </c>
      <c r="AL432"/>
      <c r="AM432"/>
      <c r="AN432"/>
      <c r="AO432"/>
      <c r="AP432"/>
      <c r="AQ432" s="10">
        <v>157</v>
      </c>
      <c r="AR432" s="10" t="s">
        <v>14</v>
      </c>
      <c r="AS432" s="10" t="s">
        <v>3</v>
      </c>
      <c r="AU432" s="10" t="s">
        <v>2</v>
      </c>
      <c r="AV432" s="10" t="s">
        <v>3</v>
      </c>
      <c r="AW432" s="10" t="s">
        <v>1352</v>
      </c>
    </row>
    <row r="433" spans="1:49" s="10" customFormat="1" x14ac:dyDescent="0.3">
      <c r="A433" s="10" t="s">
        <v>1340</v>
      </c>
      <c r="B433" s="10" t="s">
        <v>29</v>
      </c>
      <c r="C433" s="10" t="s">
        <v>1342</v>
      </c>
      <c r="D433" s="16" t="s">
        <v>1341</v>
      </c>
      <c r="E433" s="10">
        <v>1982</v>
      </c>
      <c r="F433" t="s">
        <v>2661</v>
      </c>
      <c r="G433" s="16" t="s">
        <v>34</v>
      </c>
      <c r="H433" s="10" t="s">
        <v>17</v>
      </c>
      <c r="I433" s="10" t="s">
        <v>1351</v>
      </c>
      <c r="J433" s="10" t="s">
        <v>1332</v>
      </c>
      <c r="K433" s="10">
        <v>4</v>
      </c>
      <c r="L433" s="10">
        <v>4</v>
      </c>
      <c r="M433" s="53"/>
      <c r="N433" s="10">
        <v>55.6</v>
      </c>
      <c r="P433" s="10">
        <v>25.4</v>
      </c>
      <c r="W433" s="10">
        <v>52.5</v>
      </c>
      <c r="AI433" s="14">
        <v>1.1599999999999999</v>
      </c>
      <c r="AM433"/>
      <c r="AQ433" s="10">
        <v>157</v>
      </c>
      <c r="AR433" s="10" t="s">
        <v>14</v>
      </c>
      <c r="AS433" s="10" t="s">
        <v>3</v>
      </c>
      <c r="AU433" s="10" t="s">
        <v>2</v>
      </c>
      <c r="AV433" s="10" t="s">
        <v>3</v>
      </c>
      <c r="AW433" s="10" t="s">
        <v>1352</v>
      </c>
    </row>
    <row r="434" spans="1:49" s="12" customFormat="1" x14ac:dyDescent="0.3">
      <c r="A434" s="10" t="s">
        <v>1353</v>
      </c>
      <c r="B434" s="10" t="s">
        <v>441</v>
      </c>
      <c r="C434" s="10" t="s">
        <v>1356</v>
      </c>
      <c r="D434" s="16" t="s">
        <v>1354</v>
      </c>
      <c r="E434" s="10">
        <v>1976</v>
      </c>
      <c r="F434" t="s">
        <v>2661</v>
      </c>
      <c r="G434" s="16" t="s">
        <v>34</v>
      </c>
      <c r="H434" s="10" t="s">
        <v>17</v>
      </c>
      <c r="I434" s="10" t="s">
        <v>1357</v>
      </c>
      <c r="J434" s="10" t="s">
        <v>1355</v>
      </c>
      <c r="K434" s="10">
        <v>4</v>
      </c>
      <c r="L434" s="10">
        <v>4</v>
      </c>
      <c r="M434" s="53"/>
      <c r="N434" s="10">
        <v>9396</v>
      </c>
      <c r="O434" s="10"/>
      <c r="P434" s="10"/>
      <c r="Q434" s="10"/>
      <c r="R434" s="10"/>
      <c r="S434" s="10"/>
      <c r="T434" s="10"/>
      <c r="U434" s="10"/>
      <c r="V434" s="10">
        <v>9050</v>
      </c>
      <c r="W434" s="10"/>
      <c r="X434" s="10"/>
      <c r="Y434" s="10"/>
      <c r="Z434" s="10"/>
      <c r="AA434" s="10"/>
      <c r="AB434" s="10"/>
      <c r="AC434" s="10"/>
      <c r="AD434" s="10"/>
      <c r="AE434" s="10"/>
      <c r="AF434" s="10"/>
      <c r="AG434" s="10"/>
      <c r="AH434" s="10"/>
      <c r="AI434" s="14">
        <f t="shared" ref="AI434:AI457" si="78">V434/N434</f>
        <v>0.96317581949765863</v>
      </c>
      <c r="AJ434" s="10"/>
      <c r="AK434" s="10"/>
      <c r="AL434" s="10"/>
      <c r="AM434"/>
      <c r="AN434" s="10"/>
      <c r="AO434" s="10"/>
      <c r="AP434" s="10"/>
      <c r="AQ434" s="10">
        <f>0.08*560+112</f>
        <v>156.80000000000001</v>
      </c>
      <c r="AR434" s="10" t="s">
        <v>14</v>
      </c>
      <c r="AS434" s="10"/>
      <c r="AT434" s="10"/>
      <c r="AU434" s="10" t="s">
        <v>2</v>
      </c>
      <c r="AV434" s="10" t="s">
        <v>3</v>
      </c>
      <c r="AW434" s="10" t="s">
        <v>1337</v>
      </c>
    </row>
    <row r="435" spans="1:49" s="12" customFormat="1" x14ac:dyDescent="0.3">
      <c r="A435" s="10" t="s">
        <v>1353</v>
      </c>
      <c r="B435" s="10" t="s">
        <v>441</v>
      </c>
      <c r="C435" s="10" t="s">
        <v>1356</v>
      </c>
      <c r="D435" s="16" t="s">
        <v>1354</v>
      </c>
      <c r="E435" s="10">
        <v>1976</v>
      </c>
      <c r="F435" t="s">
        <v>2661</v>
      </c>
      <c r="G435" s="16" t="s">
        <v>34</v>
      </c>
      <c r="H435" s="10" t="s">
        <v>17</v>
      </c>
      <c r="I435" s="10" t="s">
        <v>1358</v>
      </c>
      <c r="J435" s="10" t="s">
        <v>1355</v>
      </c>
      <c r="K435" s="10">
        <v>4</v>
      </c>
      <c r="L435" s="10">
        <v>4</v>
      </c>
      <c r="M435" s="53"/>
      <c r="N435" s="10">
        <v>9573</v>
      </c>
      <c r="O435" s="10"/>
      <c r="P435" s="10"/>
      <c r="Q435" s="10"/>
      <c r="R435" s="10"/>
      <c r="S435" s="10"/>
      <c r="T435" s="10"/>
      <c r="U435" s="10"/>
      <c r="V435" s="10">
        <v>8825</v>
      </c>
      <c r="W435" s="10"/>
      <c r="X435" s="10"/>
      <c r="Y435" s="10"/>
      <c r="Z435" s="10"/>
      <c r="AA435" s="10"/>
      <c r="AB435" s="10"/>
      <c r="AC435" s="10"/>
      <c r="AD435" s="10"/>
      <c r="AE435" s="10"/>
      <c r="AF435" s="10"/>
      <c r="AG435" s="10"/>
      <c r="AH435" s="10"/>
      <c r="AI435" s="14">
        <f t="shared" si="78"/>
        <v>0.92186357463699986</v>
      </c>
      <c r="AJ435" s="10"/>
      <c r="AK435" s="10"/>
      <c r="AL435" s="10"/>
      <c r="AM435"/>
      <c r="AN435" s="10"/>
      <c r="AO435" s="10"/>
      <c r="AP435" s="10"/>
      <c r="AQ435" s="10">
        <f t="shared" ref="AQ435:AQ457" si="79">0.08*560+112</f>
        <v>156.80000000000001</v>
      </c>
      <c r="AR435" s="10" t="s">
        <v>14</v>
      </c>
      <c r="AS435" s="10"/>
      <c r="AT435" s="10"/>
      <c r="AU435" s="10" t="s">
        <v>2</v>
      </c>
      <c r="AV435" s="10" t="s">
        <v>3</v>
      </c>
      <c r="AW435" s="10" t="s">
        <v>1337</v>
      </c>
    </row>
    <row r="436" spans="1:49" s="12" customFormat="1" x14ac:dyDescent="0.3">
      <c r="A436" s="10" t="s">
        <v>1353</v>
      </c>
      <c r="B436" s="10" t="s">
        <v>441</v>
      </c>
      <c r="C436" s="10" t="s">
        <v>1356</v>
      </c>
      <c r="D436" s="16" t="s">
        <v>1354</v>
      </c>
      <c r="E436" s="10">
        <v>1976</v>
      </c>
      <c r="F436" t="s">
        <v>2661</v>
      </c>
      <c r="G436" s="16" t="s">
        <v>34</v>
      </c>
      <c r="H436" s="10" t="s">
        <v>17</v>
      </c>
      <c r="I436" s="10" t="s">
        <v>1359</v>
      </c>
      <c r="J436" s="10" t="s">
        <v>1355</v>
      </c>
      <c r="K436" s="10">
        <v>4</v>
      </c>
      <c r="L436" s="10">
        <v>4</v>
      </c>
      <c r="M436" s="53"/>
      <c r="N436" s="10">
        <v>9396</v>
      </c>
      <c r="O436" s="10"/>
      <c r="P436" s="10"/>
      <c r="Q436" s="10"/>
      <c r="R436" s="10"/>
      <c r="S436" s="10"/>
      <c r="T436" s="10"/>
      <c r="U436" s="10"/>
      <c r="V436" s="10">
        <v>8947</v>
      </c>
      <c r="W436" s="10"/>
      <c r="X436" s="10"/>
      <c r="Y436" s="10"/>
      <c r="Z436" s="10"/>
      <c r="AA436" s="10"/>
      <c r="AB436" s="10"/>
      <c r="AC436" s="10"/>
      <c r="AD436" s="10"/>
      <c r="AE436" s="10"/>
      <c r="AF436" s="10"/>
      <c r="AG436" s="10"/>
      <c r="AH436" s="10"/>
      <c r="AI436" s="14">
        <f t="shared" si="78"/>
        <v>0.95221370796083438</v>
      </c>
      <c r="AJ436" s="10"/>
      <c r="AK436" s="10"/>
      <c r="AL436" s="10"/>
      <c r="AM436"/>
      <c r="AN436" s="10"/>
      <c r="AO436" s="10"/>
      <c r="AP436" s="10"/>
      <c r="AQ436" s="10">
        <f t="shared" si="79"/>
        <v>156.80000000000001</v>
      </c>
      <c r="AR436" s="10" t="s">
        <v>14</v>
      </c>
      <c r="AS436" s="10"/>
      <c r="AT436" s="10"/>
      <c r="AU436" s="10" t="s">
        <v>2</v>
      </c>
      <c r="AV436" s="10" t="s">
        <v>3</v>
      </c>
      <c r="AW436" s="10" t="s">
        <v>1337</v>
      </c>
    </row>
    <row r="437" spans="1:49" s="12" customFormat="1" x14ac:dyDescent="0.3">
      <c r="A437" s="10" t="s">
        <v>1353</v>
      </c>
      <c r="B437" s="10" t="s">
        <v>441</v>
      </c>
      <c r="C437" s="10" t="s">
        <v>1356</v>
      </c>
      <c r="D437" s="16" t="s">
        <v>1354</v>
      </c>
      <c r="E437" s="10">
        <v>1976</v>
      </c>
      <c r="F437" t="s">
        <v>2661</v>
      </c>
      <c r="G437" s="16" t="s">
        <v>34</v>
      </c>
      <c r="H437" s="10" t="s">
        <v>17</v>
      </c>
      <c r="I437" s="10" t="s">
        <v>1360</v>
      </c>
      <c r="J437" s="10" t="s">
        <v>1355</v>
      </c>
      <c r="K437" s="10">
        <v>4</v>
      </c>
      <c r="L437" s="10">
        <v>4</v>
      </c>
      <c r="M437" s="53"/>
      <c r="N437" s="10">
        <v>9573</v>
      </c>
      <c r="O437" s="10"/>
      <c r="P437" s="10"/>
      <c r="Q437" s="10"/>
      <c r="R437" s="10"/>
      <c r="S437" s="10"/>
      <c r="T437" s="10"/>
      <c r="U437" s="10"/>
      <c r="V437" s="10">
        <v>10544</v>
      </c>
      <c r="W437" s="10"/>
      <c r="X437" s="10"/>
      <c r="Y437" s="10"/>
      <c r="Z437" s="10"/>
      <c r="AA437" s="10"/>
      <c r="AB437" s="10"/>
      <c r="AC437" s="10"/>
      <c r="AD437" s="10"/>
      <c r="AE437" s="10"/>
      <c r="AF437" s="10"/>
      <c r="AG437" s="10"/>
      <c r="AH437" s="10"/>
      <c r="AI437" s="14">
        <f t="shared" si="78"/>
        <v>1.1014311083254988</v>
      </c>
      <c r="AJ437" s="10"/>
      <c r="AK437" s="10"/>
      <c r="AL437" s="10"/>
      <c r="AM437"/>
      <c r="AN437" s="10"/>
      <c r="AO437" s="10"/>
      <c r="AP437" s="10"/>
      <c r="AQ437" s="10">
        <f t="shared" si="79"/>
        <v>156.80000000000001</v>
      </c>
      <c r="AR437" s="10" t="s">
        <v>14</v>
      </c>
      <c r="AS437" s="10"/>
      <c r="AT437" s="10"/>
      <c r="AU437" s="10" t="s">
        <v>2</v>
      </c>
      <c r="AV437" s="10" t="s">
        <v>3</v>
      </c>
      <c r="AW437" s="10" t="s">
        <v>1337</v>
      </c>
    </row>
    <row r="438" spans="1:49" s="12" customFormat="1" x14ac:dyDescent="0.3">
      <c r="A438" s="10" t="s">
        <v>1353</v>
      </c>
      <c r="B438" s="10" t="s">
        <v>441</v>
      </c>
      <c r="C438" s="10" t="s">
        <v>1356</v>
      </c>
      <c r="D438" s="16" t="s">
        <v>1354</v>
      </c>
      <c r="E438" s="10">
        <v>1976</v>
      </c>
      <c r="F438" t="s">
        <v>2661</v>
      </c>
      <c r="G438" s="16" t="s">
        <v>34</v>
      </c>
      <c r="H438" s="10" t="s">
        <v>17</v>
      </c>
      <c r="I438" s="10" t="s">
        <v>1361</v>
      </c>
      <c r="J438" s="10" t="s">
        <v>1355</v>
      </c>
      <c r="K438" s="10">
        <v>4</v>
      </c>
      <c r="L438" s="10">
        <v>4</v>
      </c>
      <c r="M438" s="53"/>
      <c r="N438" s="10">
        <v>9396</v>
      </c>
      <c r="O438" s="10"/>
      <c r="P438" s="10"/>
      <c r="Q438" s="10"/>
      <c r="R438" s="10"/>
      <c r="S438" s="10"/>
      <c r="T438" s="10"/>
      <c r="U438" s="10"/>
      <c r="V438" s="10">
        <v>8780</v>
      </c>
      <c r="W438" s="10"/>
      <c r="X438" s="10"/>
      <c r="Y438" s="10"/>
      <c r="Z438" s="10"/>
      <c r="AA438" s="10"/>
      <c r="AB438" s="10"/>
      <c r="AC438" s="10"/>
      <c r="AD438" s="10"/>
      <c r="AE438" s="10"/>
      <c r="AF438" s="10"/>
      <c r="AG438" s="10"/>
      <c r="AH438" s="10"/>
      <c r="AI438" s="14">
        <f t="shared" si="78"/>
        <v>0.93444018731375056</v>
      </c>
      <c r="AJ438" s="10"/>
      <c r="AK438" s="10"/>
      <c r="AL438" s="10"/>
      <c r="AM438"/>
      <c r="AN438" s="10"/>
      <c r="AO438" s="10"/>
      <c r="AP438" s="10"/>
      <c r="AQ438" s="10">
        <f t="shared" si="79"/>
        <v>156.80000000000001</v>
      </c>
      <c r="AR438" s="10" t="s">
        <v>14</v>
      </c>
      <c r="AS438" s="10"/>
      <c r="AT438" s="10"/>
      <c r="AU438" s="10" t="s">
        <v>2</v>
      </c>
      <c r="AV438" s="10" t="s">
        <v>3</v>
      </c>
      <c r="AW438" s="10" t="s">
        <v>1337</v>
      </c>
    </row>
    <row r="439" spans="1:49" s="12" customFormat="1" x14ac:dyDescent="0.3">
      <c r="A439" s="10" t="s">
        <v>1353</v>
      </c>
      <c r="B439" s="10" t="s">
        <v>441</v>
      </c>
      <c r="C439" s="10" t="s">
        <v>1356</v>
      </c>
      <c r="D439" s="16" t="s">
        <v>1354</v>
      </c>
      <c r="E439" s="10">
        <v>1976</v>
      </c>
      <c r="F439" t="s">
        <v>2661</v>
      </c>
      <c r="G439" s="16" t="s">
        <v>34</v>
      </c>
      <c r="H439" s="10" t="s">
        <v>17</v>
      </c>
      <c r="I439" s="10" t="s">
        <v>1362</v>
      </c>
      <c r="J439" s="10" t="s">
        <v>1355</v>
      </c>
      <c r="K439" s="10">
        <v>4</v>
      </c>
      <c r="L439" s="10">
        <v>4</v>
      </c>
      <c r="M439" s="53"/>
      <c r="N439" s="10">
        <v>9573</v>
      </c>
      <c r="O439" s="10"/>
      <c r="P439" s="10"/>
      <c r="Q439" s="10"/>
      <c r="R439" s="10"/>
      <c r="S439" s="10"/>
      <c r="T439" s="10"/>
      <c r="U439" s="10"/>
      <c r="V439" s="10">
        <v>8441</v>
      </c>
      <c r="W439" s="10"/>
      <c r="X439" s="10"/>
      <c r="Y439" s="10"/>
      <c r="Z439" s="10"/>
      <c r="AA439" s="10"/>
      <c r="AB439" s="10"/>
      <c r="AC439" s="10"/>
      <c r="AD439" s="10"/>
      <c r="AE439" s="10"/>
      <c r="AF439" s="10"/>
      <c r="AG439" s="10"/>
      <c r="AH439" s="10"/>
      <c r="AI439" s="14">
        <f t="shared" si="78"/>
        <v>0.8817507573383474</v>
      </c>
      <c r="AJ439" s="10"/>
      <c r="AK439" s="10"/>
      <c r="AL439" s="10"/>
      <c r="AM439"/>
      <c r="AN439" s="10"/>
      <c r="AO439" s="10"/>
      <c r="AP439" s="10"/>
      <c r="AQ439" s="10">
        <f t="shared" si="79"/>
        <v>156.80000000000001</v>
      </c>
      <c r="AR439" s="10" t="s">
        <v>14</v>
      </c>
      <c r="AS439" s="10"/>
      <c r="AT439" s="10"/>
      <c r="AU439" s="10" t="s">
        <v>2</v>
      </c>
      <c r="AV439" s="10" t="s">
        <v>3</v>
      </c>
      <c r="AW439" s="10" t="s">
        <v>1337</v>
      </c>
    </row>
    <row r="440" spans="1:49" s="12" customFormat="1" x14ac:dyDescent="0.3">
      <c r="A440" s="10" t="s">
        <v>1353</v>
      </c>
      <c r="B440" s="10" t="s">
        <v>441</v>
      </c>
      <c r="C440" s="10" t="s">
        <v>1356</v>
      </c>
      <c r="D440" s="16" t="s">
        <v>1354</v>
      </c>
      <c r="E440" s="10">
        <v>1976</v>
      </c>
      <c r="F440" t="s">
        <v>2661</v>
      </c>
      <c r="G440" s="16" t="s">
        <v>34</v>
      </c>
      <c r="H440" s="10" t="s">
        <v>17</v>
      </c>
      <c r="I440" s="10" t="s">
        <v>1363</v>
      </c>
      <c r="J440" s="10" t="s">
        <v>1355</v>
      </c>
      <c r="K440" s="10">
        <v>4</v>
      </c>
      <c r="L440" s="10">
        <v>4</v>
      </c>
      <c r="M440" s="53"/>
      <c r="N440" s="10">
        <v>9158</v>
      </c>
      <c r="O440" s="10"/>
      <c r="P440" s="10"/>
      <c r="Q440" s="10"/>
      <c r="R440" s="10"/>
      <c r="S440" s="10"/>
      <c r="T440" s="10"/>
      <c r="U440" s="10"/>
      <c r="V440" s="10">
        <v>8432</v>
      </c>
      <c r="W440" s="10"/>
      <c r="X440" s="10"/>
      <c r="Y440" s="10"/>
      <c r="Z440" s="10"/>
      <c r="AA440" s="10"/>
      <c r="AB440" s="10"/>
      <c r="AC440" s="10"/>
      <c r="AD440" s="10"/>
      <c r="AE440" s="10"/>
      <c r="AF440" s="10"/>
      <c r="AG440" s="10"/>
      <c r="AH440" s="10"/>
      <c r="AI440" s="14">
        <f t="shared" si="78"/>
        <v>0.92072504913736619</v>
      </c>
      <c r="AJ440" s="10"/>
      <c r="AK440" s="10"/>
      <c r="AL440" s="10"/>
      <c r="AM440"/>
      <c r="AN440" s="10"/>
      <c r="AO440" s="10"/>
      <c r="AP440" s="10"/>
      <c r="AQ440" s="10">
        <f t="shared" si="79"/>
        <v>156.80000000000001</v>
      </c>
      <c r="AR440" s="10" t="s">
        <v>14</v>
      </c>
      <c r="AS440" s="10"/>
      <c r="AT440" s="10"/>
      <c r="AU440" s="10" t="s">
        <v>2</v>
      </c>
      <c r="AV440" s="10" t="s">
        <v>3</v>
      </c>
      <c r="AW440" s="10" t="s">
        <v>1337</v>
      </c>
    </row>
    <row r="441" spans="1:49" s="12" customFormat="1" x14ac:dyDescent="0.3">
      <c r="A441" s="10" t="s">
        <v>1353</v>
      </c>
      <c r="B441" s="10" t="s">
        <v>441</v>
      </c>
      <c r="C441" s="10" t="s">
        <v>1356</v>
      </c>
      <c r="D441" s="16" t="s">
        <v>1354</v>
      </c>
      <c r="E441" s="10">
        <v>1976</v>
      </c>
      <c r="F441" t="s">
        <v>2661</v>
      </c>
      <c r="G441" s="16" t="s">
        <v>34</v>
      </c>
      <c r="H441" s="10" t="s">
        <v>17</v>
      </c>
      <c r="I441" s="10" t="s">
        <v>1364</v>
      </c>
      <c r="J441" s="10" t="s">
        <v>1355</v>
      </c>
      <c r="K441" s="10">
        <v>4</v>
      </c>
      <c r="L441" s="10">
        <v>4</v>
      </c>
      <c r="M441" s="53"/>
      <c r="N441" s="10">
        <v>10988</v>
      </c>
      <c r="O441" s="10"/>
      <c r="P441" s="10"/>
      <c r="Q441" s="10"/>
      <c r="R441" s="10"/>
      <c r="S441" s="10"/>
      <c r="T441" s="10"/>
      <c r="U441" s="10"/>
      <c r="V441" s="10">
        <v>9246</v>
      </c>
      <c r="W441" s="10"/>
      <c r="X441" s="10"/>
      <c r="Y441" s="10"/>
      <c r="Z441" s="10"/>
      <c r="AA441" s="10"/>
      <c r="AB441" s="10"/>
      <c r="AC441" s="10"/>
      <c r="AD441" s="10"/>
      <c r="AE441" s="10"/>
      <c r="AF441" s="10"/>
      <c r="AG441" s="10"/>
      <c r="AH441" s="10"/>
      <c r="AI441" s="14">
        <f t="shared" si="78"/>
        <v>0.84146341463414631</v>
      </c>
      <c r="AJ441" s="10"/>
      <c r="AK441" s="10"/>
      <c r="AL441" s="10"/>
      <c r="AM441"/>
      <c r="AN441" s="10"/>
      <c r="AO441" s="10"/>
      <c r="AP441" s="10"/>
      <c r="AQ441" s="10">
        <f t="shared" si="79"/>
        <v>156.80000000000001</v>
      </c>
      <c r="AR441" s="10" t="s">
        <v>14</v>
      </c>
      <c r="AS441" s="10"/>
      <c r="AT441" s="10"/>
      <c r="AU441" s="10" t="s">
        <v>2</v>
      </c>
      <c r="AV441" s="10" t="s">
        <v>3</v>
      </c>
      <c r="AW441" s="10" t="s">
        <v>1337</v>
      </c>
    </row>
    <row r="442" spans="1:49" s="12" customFormat="1" x14ac:dyDescent="0.3">
      <c r="A442" s="10" t="s">
        <v>1353</v>
      </c>
      <c r="B442" s="10" t="s">
        <v>441</v>
      </c>
      <c r="C442" s="10" t="s">
        <v>1356</v>
      </c>
      <c r="D442" s="16" t="s">
        <v>1354</v>
      </c>
      <c r="E442" s="10">
        <v>1976</v>
      </c>
      <c r="F442" t="s">
        <v>2661</v>
      </c>
      <c r="G442" s="16" t="s">
        <v>34</v>
      </c>
      <c r="H442" s="10" t="s">
        <v>17</v>
      </c>
      <c r="I442" s="10" t="s">
        <v>1365</v>
      </c>
      <c r="J442" s="10" t="s">
        <v>1355</v>
      </c>
      <c r="K442" s="10">
        <v>4</v>
      </c>
      <c r="L442" s="10">
        <v>4</v>
      </c>
      <c r="M442" s="53"/>
      <c r="N442" s="10">
        <v>9158</v>
      </c>
      <c r="O442" s="10"/>
      <c r="P442" s="10"/>
      <c r="Q442" s="10"/>
      <c r="R442" s="10"/>
      <c r="S442" s="10"/>
      <c r="T442" s="10"/>
      <c r="U442" s="10"/>
      <c r="V442" s="10">
        <v>7899</v>
      </c>
      <c r="W442" s="10"/>
      <c r="X442" s="10"/>
      <c r="Y442" s="10"/>
      <c r="Z442" s="10"/>
      <c r="AA442" s="10"/>
      <c r="AB442" s="10"/>
      <c r="AC442" s="10"/>
      <c r="AD442" s="10"/>
      <c r="AE442" s="10"/>
      <c r="AF442" s="10"/>
      <c r="AG442" s="10"/>
      <c r="AH442" s="10"/>
      <c r="AI442" s="14">
        <f t="shared" si="78"/>
        <v>0.86252456868311855</v>
      </c>
      <c r="AJ442" s="10"/>
      <c r="AK442" s="10"/>
      <c r="AL442" s="10"/>
      <c r="AM442"/>
      <c r="AN442" s="10"/>
      <c r="AO442" s="10"/>
      <c r="AP442" s="10"/>
      <c r="AQ442" s="10">
        <f t="shared" si="79"/>
        <v>156.80000000000001</v>
      </c>
      <c r="AR442" s="10" t="s">
        <v>14</v>
      </c>
      <c r="AS442" s="10"/>
      <c r="AT442" s="10"/>
      <c r="AU442" s="10" t="s">
        <v>2</v>
      </c>
      <c r="AV442" s="10" t="s">
        <v>3</v>
      </c>
      <c r="AW442" s="10" t="s">
        <v>1337</v>
      </c>
    </row>
    <row r="443" spans="1:49" s="12" customFormat="1" x14ac:dyDescent="0.3">
      <c r="A443" s="10" t="s">
        <v>1353</v>
      </c>
      <c r="B443" s="10" t="s">
        <v>441</v>
      </c>
      <c r="C443" s="10" t="s">
        <v>1356</v>
      </c>
      <c r="D443" s="16" t="s">
        <v>1354</v>
      </c>
      <c r="E443" s="10">
        <v>1976</v>
      </c>
      <c r="F443" t="s">
        <v>2661</v>
      </c>
      <c r="G443" s="16" t="s">
        <v>34</v>
      </c>
      <c r="H443" s="10" t="s">
        <v>17</v>
      </c>
      <c r="I443" s="10" t="s">
        <v>1366</v>
      </c>
      <c r="J443" s="10" t="s">
        <v>1355</v>
      </c>
      <c r="K443" s="10">
        <v>4</v>
      </c>
      <c r="L443" s="10">
        <v>4</v>
      </c>
      <c r="M443" s="53"/>
      <c r="N443" s="10">
        <v>10988</v>
      </c>
      <c r="O443" s="10"/>
      <c r="P443" s="10"/>
      <c r="Q443" s="10"/>
      <c r="R443" s="10"/>
      <c r="S443" s="10"/>
      <c r="T443" s="10"/>
      <c r="U443" s="10"/>
      <c r="V443" s="10">
        <v>6920</v>
      </c>
      <c r="W443" s="10"/>
      <c r="X443" s="10"/>
      <c r="Y443" s="10"/>
      <c r="Z443" s="10"/>
      <c r="AA443" s="10"/>
      <c r="AB443" s="10"/>
      <c r="AC443" s="10"/>
      <c r="AD443" s="10"/>
      <c r="AE443" s="10"/>
      <c r="AF443" s="10"/>
      <c r="AG443" s="10"/>
      <c r="AH443" s="10"/>
      <c r="AI443" s="14">
        <f t="shared" si="78"/>
        <v>0.62977793957044048</v>
      </c>
      <c r="AJ443" s="10"/>
      <c r="AK443" s="10"/>
      <c r="AL443" s="10"/>
      <c r="AM443"/>
      <c r="AN443" s="10"/>
      <c r="AO443" s="10"/>
      <c r="AP443" s="10"/>
      <c r="AQ443" s="10">
        <f t="shared" si="79"/>
        <v>156.80000000000001</v>
      </c>
      <c r="AR443" s="10" t="s">
        <v>14</v>
      </c>
      <c r="AS443" s="10"/>
      <c r="AT443" s="10"/>
      <c r="AU443" s="10" t="s">
        <v>2</v>
      </c>
      <c r="AV443" s="10" t="s">
        <v>3</v>
      </c>
      <c r="AW443" s="10" t="s">
        <v>1337</v>
      </c>
    </row>
    <row r="444" spans="1:49" s="12" customFormat="1" x14ac:dyDescent="0.3">
      <c r="A444" s="10" t="s">
        <v>1353</v>
      </c>
      <c r="B444" s="10" t="s">
        <v>441</v>
      </c>
      <c r="C444" s="10" t="s">
        <v>1356</v>
      </c>
      <c r="D444" s="16" t="s">
        <v>1354</v>
      </c>
      <c r="E444" s="10">
        <v>1976</v>
      </c>
      <c r="F444" t="s">
        <v>2661</v>
      </c>
      <c r="G444" s="16" t="s">
        <v>34</v>
      </c>
      <c r="H444" s="10" t="s">
        <v>17</v>
      </c>
      <c r="I444" s="10" t="s">
        <v>1367</v>
      </c>
      <c r="J444" s="10" t="s">
        <v>1355</v>
      </c>
      <c r="K444" s="10">
        <v>4</v>
      </c>
      <c r="L444" s="10">
        <v>4</v>
      </c>
      <c r="M444" s="53"/>
      <c r="N444" s="10">
        <v>9158</v>
      </c>
      <c r="O444" s="10"/>
      <c r="P444" s="10"/>
      <c r="Q444" s="10"/>
      <c r="R444" s="10"/>
      <c r="S444" s="10"/>
      <c r="T444" s="10"/>
      <c r="U444" s="10"/>
      <c r="V444" s="10">
        <v>8814</v>
      </c>
      <c r="W444" s="10"/>
      <c r="X444" s="10"/>
      <c r="Y444" s="10"/>
      <c r="Z444" s="10"/>
      <c r="AA444" s="10"/>
      <c r="AB444" s="10"/>
      <c r="AC444" s="10"/>
      <c r="AD444" s="10"/>
      <c r="AE444" s="10"/>
      <c r="AF444" s="10"/>
      <c r="AG444" s="10"/>
      <c r="AH444" s="10"/>
      <c r="AI444" s="14">
        <f t="shared" si="78"/>
        <v>0.96243721336536359</v>
      </c>
      <c r="AJ444" s="10"/>
      <c r="AK444" s="10"/>
      <c r="AL444" s="10"/>
      <c r="AM444"/>
      <c r="AN444" s="10"/>
      <c r="AO444" s="10"/>
      <c r="AP444" s="10"/>
      <c r="AQ444" s="10">
        <f t="shared" si="79"/>
        <v>156.80000000000001</v>
      </c>
      <c r="AR444" s="10" t="s">
        <v>14</v>
      </c>
      <c r="AS444" s="10"/>
      <c r="AT444" s="10"/>
      <c r="AU444" s="10" t="s">
        <v>2</v>
      </c>
      <c r="AV444" s="10" t="s">
        <v>3</v>
      </c>
      <c r="AW444" s="10" t="s">
        <v>1337</v>
      </c>
    </row>
    <row r="445" spans="1:49" s="12" customFormat="1" x14ac:dyDescent="0.3">
      <c r="A445" s="10" t="s">
        <v>1353</v>
      </c>
      <c r="B445" s="10" t="s">
        <v>441</v>
      </c>
      <c r="C445" s="10" t="s">
        <v>1356</v>
      </c>
      <c r="D445" s="16" t="s">
        <v>1354</v>
      </c>
      <c r="E445" s="10">
        <v>1976</v>
      </c>
      <c r="F445" t="s">
        <v>2661</v>
      </c>
      <c r="G445" s="16" t="s">
        <v>34</v>
      </c>
      <c r="H445" s="10" t="s">
        <v>17</v>
      </c>
      <c r="I445" s="10" t="s">
        <v>1368</v>
      </c>
      <c r="J445" s="10" t="s">
        <v>1355</v>
      </c>
      <c r="K445" s="10">
        <v>4</v>
      </c>
      <c r="L445" s="10">
        <v>4</v>
      </c>
      <c r="M445" s="53"/>
      <c r="N445" s="10">
        <v>10988</v>
      </c>
      <c r="O445" s="10"/>
      <c r="P445" s="10"/>
      <c r="Q445" s="10"/>
      <c r="R445" s="10"/>
      <c r="S445" s="10"/>
      <c r="T445" s="10"/>
      <c r="U445" s="10"/>
      <c r="V445" s="10">
        <v>9963</v>
      </c>
      <c r="W445" s="10"/>
      <c r="X445" s="10"/>
      <c r="Y445" s="10"/>
      <c r="Z445" s="10"/>
      <c r="AA445" s="10"/>
      <c r="AB445" s="10"/>
      <c r="AC445" s="10"/>
      <c r="AD445" s="10"/>
      <c r="AE445" s="10"/>
      <c r="AF445" s="10"/>
      <c r="AG445" s="10"/>
      <c r="AH445" s="10"/>
      <c r="AI445" s="14">
        <f t="shared" si="78"/>
        <v>0.90671641791044777</v>
      </c>
      <c r="AJ445" s="10"/>
      <c r="AK445" s="10"/>
      <c r="AL445" s="10"/>
      <c r="AM445"/>
      <c r="AN445" s="10"/>
      <c r="AO445" s="10"/>
      <c r="AP445" s="10"/>
      <c r="AQ445" s="10">
        <f t="shared" si="79"/>
        <v>156.80000000000001</v>
      </c>
      <c r="AR445" s="10" t="s">
        <v>14</v>
      </c>
      <c r="AS445" s="10"/>
      <c r="AT445" s="10"/>
      <c r="AU445" s="10" t="s">
        <v>2</v>
      </c>
      <c r="AV445" s="10" t="s">
        <v>3</v>
      </c>
      <c r="AW445" s="10" t="s">
        <v>1337</v>
      </c>
    </row>
    <row r="446" spans="1:49" s="12" customFormat="1" x14ac:dyDescent="0.3">
      <c r="A446" s="10" t="s">
        <v>1353</v>
      </c>
      <c r="B446" s="10" t="s">
        <v>441</v>
      </c>
      <c r="C446" s="10" t="s">
        <v>1356</v>
      </c>
      <c r="D446" s="16" t="s">
        <v>1354</v>
      </c>
      <c r="E446" s="10">
        <v>1977</v>
      </c>
      <c r="F446" t="s">
        <v>2661</v>
      </c>
      <c r="G446" s="16" t="s">
        <v>34</v>
      </c>
      <c r="H446" s="10" t="s">
        <v>17</v>
      </c>
      <c r="I446" s="10" t="s">
        <v>1357</v>
      </c>
      <c r="J446" s="10" t="s">
        <v>1355</v>
      </c>
      <c r="K446" s="10">
        <v>4</v>
      </c>
      <c r="L446" s="10">
        <v>4</v>
      </c>
      <c r="M446" s="53"/>
      <c r="N446" s="10">
        <v>10101</v>
      </c>
      <c r="O446" s="10"/>
      <c r="P446" s="10"/>
      <c r="Q446" s="10"/>
      <c r="R446" s="10"/>
      <c r="S446" s="10"/>
      <c r="T446" s="10"/>
      <c r="U446" s="10"/>
      <c r="V446" s="10">
        <v>10120</v>
      </c>
      <c r="W446" s="10"/>
      <c r="X446" s="10"/>
      <c r="Y446" s="10"/>
      <c r="Z446" s="10"/>
      <c r="AA446" s="10"/>
      <c r="AB446" s="10"/>
      <c r="AC446" s="10"/>
      <c r="AD446" s="10"/>
      <c r="AE446" s="10"/>
      <c r="AF446" s="10"/>
      <c r="AG446" s="10"/>
      <c r="AH446" s="10"/>
      <c r="AI446" s="14">
        <f t="shared" si="78"/>
        <v>1.0018810018810018</v>
      </c>
      <c r="AJ446" s="10"/>
      <c r="AK446" s="10"/>
      <c r="AL446" s="10"/>
      <c r="AM446"/>
      <c r="AN446" s="10"/>
      <c r="AO446" s="10"/>
      <c r="AP446" s="10"/>
      <c r="AQ446" s="10">
        <f>0.08*560+112</f>
        <v>156.80000000000001</v>
      </c>
      <c r="AR446" s="10" t="s">
        <v>14</v>
      </c>
      <c r="AS446" s="10"/>
      <c r="AT446" s="10"/>
      <c r="AU446" s="10" t="s">
        <v>2</v>
      </c>
      <c r="AV446" s="10" t="s">
        <v>3</v>
      </c>
      <c r="AW446" s="10" t="s">
        <v>1337</v>
      </c>
    </row>
    <row r="447" spans="1:49" s="12" customFormat="1" x14ac:dyDescent="0.3">
      <c r="A447" s="10" t="s">
        <v>1353</v>
      </c>
      <c r="B447" s="10" t="s">
        <v>441</v>
      </c>
      <c r="C447" s="10" t="s">
        <v>1356</v>
      </c>
      <c r="D447" s="16" t="s">
        <v>1354</v>
      </c>
      <c r="E447" s="10">
        <v>1977</v>
      </c>
      <c r="F447" t="s">
        <v>2661</v>
      </c>
      <c r="G447" s="16" t="s">
        <v>34</v>
      </c>
      <c r="H447" s="10" t="s">
        <v>17</v>
      </c>
      <c r="I447" s="10" t="s">
        <v>1358</v>
      </c>
      <c r="J447" s="10" t="s">
        <v>1355</v>
      </c>
      <c r="K447" s="10">
        <v>4</v>
      </c>
      <c r="L447" s="10">
        <v>4</v>
      </c>
      <c r="M447" s="53"/>
      <c r="N447" s="10">
        <v>12287</v>
      </c>
      <c r="O447" s="10"/>
      <c r="P447" s="10"/>
      <c r="Q447" s="10"/>
      <c r="R447" s="10"/>
      <c r="S447" s="10"/>
      <c r="T447" s="10"/>
      <c r="U447" s="10"/>
      <c r="V447" s="10">
        <v>10675</v>
      </c>
      <c r="W447" s="10"/>
      <c r="X447" s="10"/>
      <c r="Y447" s="10"/>
      <c r="Z447" s="10"/>
      <c r="AA447" s="10"/>
      <c r="AB447" s="10"/>
      <c r="AC447" s="10"/>
      <c r="AD447" s="10"/>
      <c r="AE447" s="10"/>
      <c r="AF447" s="10"/>
      <c r="AG447" s="10"/>
      <c r="AH447" s="10"/>
      <c r="AI447" s="14">
        <f t="shared" si="78"/>
        <v>0.86880442744363962</v>
      </c>
      <c r="AJ447" s="10"/>
      <c r="AK447" s="10"/>
      <c r="AL447" s="10"/>
      <c r="AM447"/>
      <c r="AN447" s="10"/>
      <c r="AO447" s="10"/>
      <c r="AP447" s="10"/>
      <c r="AQ447" s="10">
        <f t="shared" si="79"/>
        <v>156.80000000000001</v>
      </c>
      <c r="AR447" s="10" t="s">
        <v>14</v>
      </c>
      <c r="AS447" s="10"/>
      <c r="AT447" s="10"/>
      <c r="AU447" s="10" t="s">
        <v>2</v>
      </c>
      <c r="AV447" s="10" t="s">
        <v>3</v>
      </c>
      <c r="AW447" s="10" t="s">
        <v>1337</v>
      </c>
    </row>
    <row r="448" spans="1:49" s="12" customFormat="1" x14ac:dyDescent="0.3">
      <c r="A448" s="10" t="s">
        <v>1353</v>
      </c>
      <c r="B448" s="10" t="s">
        <v>441</v>
      </c>
      <c r="C448" s="10" t="s">
        <v>1356</v>
      </c>
      <c r="D448" s="16" t="s">
        <v>1354</v>
      </c>
      <c r="E448" s="10">
        <v>1977</v>
      </c>
      <c r="F448" t="s">
        <v>2661</v>
      </c>
      <c r="G448" s="16" t="s">
        <v>34</v>
      </c>
      <c r="H448" s="10" t="s">
        <v>17</v>
      </c>
      <c r="I448" s="10" t="s">
        <v>1359</v>
      </c>
      <c r="J448" s="10" t="s">
        <v>1355</v>
      </c>
      <c r="K448" s="10">
        <v>4</v>
      </c>
      <c r="L448" s="10">
        <v>4</v>
      </c>
      <c r="M448" s="53"/>
      <c r="N448" s="10">
        <v>10101</v>
      </c>
      <c r="O448" s="10"/>
      <c r="P448" s="10"/>
      <c r="Q448" s="10"/>
      <c r="R448" s="10"/>
      <c r="S448" s="10"/>
      <c r="T448" s="10"/>
      <c r="U448" s="10"/>
      <c r="V448" s="10">
        <v>8949</v>
      </c>
      <c r="W448" s="10"/>
      <c r="X448" s="10"/>
      <c r="Y448" s="10"/>
      <c r="Z448" s="10"/>
      <c r="AA448" s="10"/>
      <c r="AB448" s="10"/>
      <c r="AC448" s="10"/>
      <c r="AD448" s="10"/>
      <c r="AE448" s="10"/>
      <c r="AF448" s="10"/>
      <c r="AG448" s="10"/>
      <c r="AH448" s="10"/>
      <c r="AI448" s="14">
        <f t="shared" si="78"/>
        <v>0.8859518859518859</v>
      </c>
      <c r="AJ448" s="10"/>
      <c r="AK448" s="10"/>
      <c r="AL448" s="10"/>
      <c r="AM448"/>
      <c r="AN448" s="10"/>
      <c r="AO448" s="10"/>
      <c r="AP448" s="10"/>
      <c r="AQ448" s="10">
        <f t="shared" si="79"/>
        <v>156.80000000000001</v>
      </c>
      <c r="AR448" s="10" t="s">
        <v>14</v>
      </c>
      <c r="AS448" s="10"/>
      <c r="AT448" s="10"/>
      <c r="AU448" s="10" t="s">
        <v>2</v>
      </c>
      <c r="AV448" s="10" t="s">
        <v>3</v>
      </c>
      <c r="AW448" s="10" t="s">
        <v>1337</v>
      </c>
    </row>
    <row r="449" spans="1:49" s="12" customFormat="1" x14ac:dyDescent="0.3">
      <c r="A449" s="10" t="s">
        <v>1353</v>
      </c>
      <c r="B449" s="10" t="s">
        <v>441</v>
      </c>
      <c r="C449" s="10" t="s">
        <v>1356</v>
      </c>
      <c r="D449" s="16" t="s">
        <v>1354</v>
      </c>
      <c r="E449" s="10">
        <v>1977</v>
      </c>
      <c r="F449" t="s">
        <v>2661</v>
      </c>
      <c r="G449" s="16" t="s">
        <v>34</v>
      </c>
      <c r="H449" s="10" t="s">
        <v>17</v>
      </c>
      <c r="I449" s="10" t="s">
        <v>1360</v>
      </c>
      <c r="J449" s="10" t="s">
        <v>1355</v>
      </c>
      <c r="K449" s="10">
        <v>4</v>
      </c>
      <c r="L449" s="10">
        <v>4</v>
      </c>
      <c r="M449" s="53"/>
      <c r="N449" s="10">
        <v>12287</v>
      </c>
      <c r="O449" s="10"/>
      <c r="P449" s="10"/>
      <c r="Q449" s="10"/>
      <c r="R449" s="10"/>
      <c r="S449" s="10"/>
      <c r="T449" s="10"/>
      <c r="U449" s="10"/>
      <c r="V449" s="10">
        <v>8521</v>
      </c>
      <c r="W449" s="10"/>
      <c r="X449" s="10"/>
      <c r="Y449" s="10"/>
      <c r="Z449" s="10"/>
      <c r="AA449" s="10"/>
      <c r="AB449" s="10"/>
      <c r="AC449" s="10"/>
      <c r="AD449" s="10"/>
      <c r="AE449" s="10"/>
      <c r="AF449" s="10"/>
      <c r="AG449" s="10"/>
      <c r="AH449" s="10"/>
      <c r="AI449" s="14">
        <f t="shared" si="78"/>
        <v>0.69349719215430938</v>
      </c>
      <c r="AJ449" s="10"/>
      <c r="AK449" s="10"/>
      <c r="AL449" s="10"/>
      <c r="AM449"/>
      <c r="AN449" s="10"/>
      <c r="AO449" s="10"/>
      <c r="AP449" s="10"/>
      <c r="AQ449" s="10">
        <f t="shared" si="79"/>
        <v>156.80000000000001</v>
      </c>
      <c r="AR449" s="10" t="s">
        <v>14</v>
      </c>
      <c r="AS449" s="10"/>
      <c r="AT449" s="10"/>
      <c r="AU449" s="10" t="s">
        <v>2</v>
      </c>
      <c r="AV449" s="10" t="s">
        <v>3</v>
      </c>
      <c r="AW449" s="10" t="s">
        <v>1337</v>
      </c>
    </row>
    <row r="450" spans="1:49" s="12" customFormat="1" x14ac:dyDescent="0.3">
      <c r="A450" s="10" t="s">
        <v>1353</v>
      </c>
      <c r="B450" s="10" t="s">
        <v>441</v>
      </c>
      <c r="C450" s="10" t="s">
        <v>1356</v>
      </c>
      <c r="D450" s="16" t="s">
        <v>1354</v>
      </c>
      <c r="E450" s="10">
        <v>1977</v>
      </c>
      <c r="F450" t="s">
        <v>2661</v>
      </c>
      <c r="G450" s="16" t="s">
        <v>34</v>
      </c>
      <c r="H450" s="10" t="s">
        <v>17</v>
      </c>
      <c r="I450" s="10" t="s">
        <v>1361</v>
      </c>
      <c r="J450" s="10" t="s">
        <v>1355</v>
      </c>
      <c r="K450" s="10">
        <v>4</v>
      </c>
      <c r="L450" s="10">
        <v>4</v>
      </c>
      <c r="M450" s="53"/>
      <c r="N450" s="10">
        <v>10101</v>
      </c>
      <c r="O450" s="10"/>
      <c r="P450" s="10"/>
      <c r="Q450" s="10"/>
      <c r="R450" s="10"/>
      <c r="S450" s="10"/>
      <c r="T450" s="10"/>
      <c r="U450" s="10"/>
      <c r="V450" s="10">
        <v>9779</v>
      </c>
      <c r="W450" s="10"/>
      <c r="X450" s="10"/>
      <c r="Y450" s="10"/>
      <c r="Z450" s="10"/>
      <c r="AA450" s="10"/>
      <c r="AB450" s="10"/>
      <c r="AC450" s="10"/>
      <c r="AD450" s="10"/>
      <c r="AE450" s="10"/>
      <c r="AF450" s="10"/>
      <c r="AG450" s="10"/>
      <c r="AH450" s="10"/>
      <c r="AI450" s="14">
        <f t="shared" si="78"/>
        <v>0.96812196812196816</v>
      </c>
      <c r="AJ450" s="10"/>
      <c r="AK450" s="10"/>
      <c r="AL450" s="10"/>
      <c r="AM450"/>
      <c r="AN450" s="10"/>
      <c r="AO450" s="10"/>
      <c r="AP450" s="10"/>
      <c r="AQ450" s="10">
        <f t="shared" si="79"/>
        <v>156.80000000000001</v>
      </c>
      <c r="AR450" s="10" t="s">
        <v>14</v>
      </c>
      <c r="AS450" s="10"/>
      <c r="AT450" s="10"/>
      <c r="AU450" s="10" t="s">
        <v>2</v>
      </c>
      <c r="AV450" s="10" t="s">
        <v>3</v>
      </c>
      <c r="AW450" s="10" t="s">
        <v>1337</v>
      </c>
    </row>
    <row r="451" spans="1:49" s="12" customFormat="1" x14ac:dyDescent="0.3">
      <c r="A451" s="10" t="s">
        <v>1353</v>
      </c>
      <c r="B451" s="10" t="s">
        <v>441</v>
      </c>
      <c r="C451" s="10" t="s">
        <v>1356</v>
      </c>
      <c r="D451" s="16" t="s">
        <v>1354</v>
      </c>
      <c r="E451" s="10">
        <v>1977</v>
      </c>
      <c r="F451" t="s">
        <v>2661</v>
      </c>
      <c r="G451" s="16" t="s">
        <v>34</v>
      </c>
      <c r="H451" s="10" t="s">
        <v>17</v>
      </c>
      <c r="I451" s="10" t="s">
        <v>1362</v>
      </c>
      <c r="J451" s="10" t="s">
        <v>1355</v>
      </c>
      <c r="K451" s="10">
        <v>4</v>
      </c>
      <c r="L451" s="10">
        <v>4</v>
      </c>
      <c r="M451" s="53"/>
      <c r="N451" s="10">
        <v>12287</v>
      </c>
      <c r="O451" s="10"/>
      <c r="P451" s="10"/>
      <c r="Q451" s="10"/>
      <c r="R451" s="10"/>
      <c r="S451" s="10"/>
      <c r="T451" s="10"/>
      <c r="U451" s="10"/>
      <c r="V451" s="10">
        <v>9941</v>
      </c>
      <c r="W451" s="10"/>
      <c r="X451" s="10"/>
      <c r="Y451" s="10"/>
      <c r="Z451" s="10"/>
      <c r="AA451" s="10"/>
      <c r="AB451" s="10"/>
      <c r="AC451" s="10"/>
      <c r="AD451" s="10"/>
      <c r="AE451" s="10"/>
      <c r="AF451" s="10"/>
      <c r="AG451" s="10"/>
      <c r="AH451" s="10"/>
      <c r="AI451" s="14">
        <f t="shared" si="78"/>
        <v>0.80906649304142586</v>
      </c>
      <c r="AJ451" s="10"/>
      <c r="AK451" s="10"/>
      <c r="AL451" s="10"/>
      <c r="AM451"/>
      <c r="AN451" s="10"/>
      <c r="AO451" s="10"/>
      <c r="AP451" s="10"/>
      <c r="AQ451" s="10">
        <f t="shared" si="79"/>
        <v>156.80000000000001</v>
      </c>
      <c r="AR451" s="10" t="s">
        <v>14</v>
      </c>
      <c r="AS451" s="10"/>
      <c r="AT451" s="10"/>
      <c r="AU451" s="10" t="s">
        <v>2</v>
      </c>
      <c r="AV451" s="10" t="s">
        <v>3</v>
      </c>
      <c r="AW451" s="10" t="s">
        <v>1337</v>
      </c>
    </row>
    <row r="452" spans="1:49" s="12" customFormat="1" x14ac:dyDescent="0.3">
      <c r="A452" s="10" t="s">
        <v>1353</v>
      </c>
      <c r="B452" s="10" t="s">
        <v>441</v>
      </c>
      <c r="C452" s="10" t="s">
        <v>1356</v>
      </c>
      <c r="D452" s="16" t="s">
        <v>1354</v>
      </c>
      <c r="E452" s="10">
        <v>1977</v>
      </c>
      <c r="F452" t="s">
        <v>2661</v>
      </c>
      <c r="G452" s="16" t="s">
        <v>34</v>
      </c>
      <c r="H452" s="10" t="s">
        <v>17</v>
      </c>
      <c r="I452" s="10" t="s">
        <v>1363</v>
      </c>
      <c r="J452" s="10" t="s">
        <v>1355</v>
      </c>
      <c r="K452" s="10">
        <v>4</v>
      </c>
      <c r="L452" s="10">
        <v>4</v>
      </c>
      <c r="M452" s="53"/>
      <c r="N452" s="10">
        <v>9877</v>
      </c>
      <c r="O452" s="10"/>
      <c r="P452" s="10"/>
      <c r="Q452" s="10"/>
      <c r="R452" s="10"/>
      <c r="S452" s="10"/>
      <c r="T452" s="10"/>
      <c r="U452" s="10"/>
      <c r="V452" s="10">
        <v>9593</v>
      </c>
      <c r="W452" s="10"/>
      <c r="X452" s="10"/>
      <c r="Y452" s="10"/>
      <c r="Z452" s="10"/>
      <c r="AA452" s="10"/>
      <c r="AB452" s="10"/>
      <c r="AC452" s="10"/>
      <c r="AD452" s="10"/>
      <c r="AE452" s="10"/>
      <c r="AF452" s="10"/>
      <c r="AG452" s="10"/>
      <c r="AH452" s="10"/>
      <c r="AI452" s="14">
        <f t="shared" si="78"/>
        <v>0.97124632985724413</v>
      </c>
      <c r="AJ452" s="10"/>
      <c r="AK452" s="10"/>
      <c r="AL452" s="10"/>
      <c r="AM452"/>
      <c r="AN452" s="10"/>
      <c r="AO452" s="10"/>
      <c r="AP452" s="10"/>
      <c r="AQ452" s="10">
        <f t="shared" si="79"/>
        <v>156.80000000000001</v>
      </c>
      <c r="AR452" s="10" t="s">
        <v>14</v>
      </c>
      <c r="AS452" s="10"/>
      <c r="AT452" s="10"/>
      <c r="AU452" s="10" t="s">
        <v>2</v>
      </c>
      <c r="AV452" s="10" t="s">
        <v>3</v>
      </c>
      <c r="AW452" s="10" t="s">
        <v>1337</v>
      </c>
    </row>
    <row r="453" spans="1:49" s="12" customFormat="1" x14ac:dyDescent="0.3">
      <c r="A453" s="10" t="s">
        <v>1353</v>
      </c>
      <c r="B453" s="10" t="s">
        <v>441</v>
      </c>
      <c r="C453" s="10" t="s">
        <v>1356</v>
      </c>
      <c r="D453" s="16" t="s">
        <v>1354</v>
      </c>
      <c r="E453" s="10">
        <v>1977</v>
      </c>
      <c r="F453" t="s">
        <v>2661</v>
      </c>
      <c r="G453" s="16" t="s">
        <v>34</v>
      </c>
      <c r="H453" s="10" t="s">
        <v>17</v>
      </c>
      <c r="I453" s="10" t="s">
        <v>1364</v>
      </c>
      <c r="J453" s="10" t="s">
        <v>1355</v>
      </c>
      <c r="K453" s="10">
        <v>4</v>
      </c>
      <c r="L453" s="10">
        <v>4</v>
      </c>
      <c r="M453" s="53"/>
      <c r="N453" s="10">
        <v>13471</v>
      </c>
      <c r="O453" s="10"/>
      <c r="P453" s="10"/>
      <c r="Q453" s="10"/>
      <c r="R453" s="10"/>
      <c r="S453" s="10"/>
      <c r="T453" s="10"/>
      <c r="U453" s="10"/>
      <c r="V453" s="10">
        <v>10758</v>
      </c>
      <c r="W453" s="10"/>
      <c r="X453" s="10"/>
      <c r="Y453" s="10"/>
      <c r="Z453" s="10"/>
      <c r="AA453" s="10"/>
      <c r="AB453" s="10"/>
      <c r="AC453" s="10"/>
      <c r="AD453" s="10"/>
      <c r="AE453" s="10"/>
      <c r="AF453" s="10"/>
      <c r="AG453" s="10"/>
      <c r="AH453" s="10"/>
      <c r="AI453" s="14">
        <f t="shared" si="78"/>
        <v>0.79860440947219957</v>
      </c>
      <c r="AJ453" s="10"/>
      <c r="AK453" s="10"/>
      <c r="AL453" s="10"/>
      <c r="AM453"/>
      <c r="AN453" s="10"/>
      <c r="AO453" s="10"/>
      <c r="AP453" s="10"/>
      <c r="AQ453" s="10">
        <f t="shared" si="79"/>
        <v>156.80000000000001</v>
      </c>
      <c r="AR453" s="10" t="s">
        <v>14</v>
      </c>
      <c r="AS453" s="10"/>
      <c r="AT453" s="10"/>
      <c r="AU453" s="10" t="s">
        <v>2</v>
      </c>
      <c r="AV453" s="10" t="s">
        <v>3</v>
      </c>
      <c r="AW453" s="10" t="s">
        <v>1337</v>
      </c>
    </row>
    <row r="454" spans="1:49" s="12" customFormat="1" x14ac:dyDescent="0.3">
      <c r="A454" s="10" t="s">
        <v>1353</v>
      </c>
      <c r="B454" s="10" t="s">
        <v>441</v>
      </c>
      <c r="C454" s="10" t="s">
        <v>1356</v>
      </c>
      <c r="D454" s="16" t="s">
        <v>1354</v>
      </c>
      <c r="E454" s="10">
        <v>1977</v>
      </c>
      <c r="F454" t="s">
        <v>2661</v>
      </c>
      <c r="G454" s="16" t="s">
        <v>34</v>
      </c>
      <c r="H454" s="10" t="s">
        <v>17</v>
      </c>
      <c r="I454" s="10" t="s">
        <v>1365</v>
      </c>
      <c r="J454" s="10" t="s">
        <v>1355</v>
      </c>
      <c r="K454" s="10">
        <v>4</v>
      </c>
      <c r="L454" s="10">
        <v>4</v>
      </c>
      <c r="M454" s="53"/>
      <c r="N454" s="10">
        <v>9877</v>
      </c>
      <c r="O454" s="10"/>
      <c r="P454" s="10"/>
      <c r="Q454" s="10"/>
      <c r="R454" s="10"/>
      <c r="S454" s="10"/>
      <c r="T454" s="10"/>
      <c r="U454" s="10"/>
      <c r="V454" s="10">
        <v>8743</v>
      </c>
      <c r="W454" s="10"/>
      <c r="X454" s="10"/>
      <c r="Y454" s="10"/>
      <c r="Z454" s="10"/>
      <c r="AA454" s="10"/>
      <c r="AB454" s="10"/>
      <c r="AC454" s="10"/>
      <c r="AD454" s="10"/>
      <c r="AE454" s="10"/>
      <c r="AF454" s="10"/>
      <c r="AG454" s="10"/>
      <c r="AH454" s="10"/>
      <c r="AI454" s="14">
        <f t="shared" si="78"/>
        <v>0.88518781006378455</v>
      </c>
      <c r="AJ454" s="10"/>
      <c r="AK454" s="10"/>
      <c r="AL454" s="10"/>
      <c r="AM454"/>
      <c r="AN454" s="10"/>
      <c r="AO454" s="10"/>
      <c r="AP454" s="10"/>
      <c r="AQ454" s="10">
        <f t="shared" si="79"/>
        <v>156.80000000000001</v>
      </c>
      <c r="AR454" s="10" t="s">
        <v>14</v>
      </c>
      <c r="AS454" s="10"/>
      <c r="AT454" s="10"/>
      <c r="AU454" s="10" t="s">
        <v>2</v>
      </c>
      <c r="AV454" s="10" t="s">
        <v>3</v>
      </c>
      <c r="AW454" s="10" t="s">
        <v>1337</v>
      </c>
    </row>
    <row r="455" spans="1:49" s="12" customFormat="1" x14ac:dyDescent="0.3">
      <c r="A455" s="10" t="s">
        <v>1353</v>
      </c>
      <c r="B455" s="10" t="s">
        <v>441</v>
      </c>
      <c r="C455" s="10" t="s">
        <v>1356</v>
      </c>
      <c r="D455" s="16" t="s">
        <v>1354</v>
      </c>
      <c r="E455" s="10">
        <v>1977</v>
      </c>
      <c r="F455" t="s">
        <v>2661</v>
      </c>
      <c r="G455" s="16" t="s">
        <v>34</v>
      </c>
      <c r="H455" s="10" t="s">
        <v>17</v>
      </c>
      <c r="I455" s="10" t="s">
        <v>1366</v>
      </c>
      <c r="J455" s="10" t="s">
        <v>1355</v>
      </c>
      <c r="K455" s="10">
        <v>4</v>
      </c>
      <c r="L455" s="10">
        <v>4</v>
      </c>
      <c r="M455" s="53"/>
      <c r="N455" s="10">
        <v>13471</v>
      </c>
      <c r="O455" s="10"/>
      <c r="P455" s="10"/>
      <c r="Q455" s="10"/>
      <c r="R455" s="10"/>
      <c r="S455" s="10"/>
      <c r="T455" s="10"/>
      <c r="U455" s="10"/>
      <c r="V455" s="10">
        <v>9268</v>
      </c>
      <c r="W455" s="10"/>
      <c r="X455" s="10"/>
      <c r="Y455" s="10"/>
      <c r="Z455" s="10"/>
      <c r="AA455" s="10"/>
      <c r="AB455" s="10"/>
      <c r="AC455" s="10"/>
      <c r="AD455" s="10"/>
      <c r="AE455" s="10"/>
      <c r="AF455" s="10"/>
      <c r="AG455" s="10"/>
      <c r="AH455" s="10"/>
      <c r="AI455" s="14">
        <f t="shared" si="78"/>
        <v>0.68799643679014177</v>
      </c>
      <c r="AJ455" s="10"/>
      <c r="AK455" s="10"/>
      <c r="AL455" s="10"/>
      <c r="AM455"/>
      <c r="AN455" s="10"/>
      <c r="AO455" s="10"/>
      <c r="AP455" s="10"/>
      <c r="AQ455" s="10">
        <f t="shared" si="79"/>
        <v>156.80000000000001</v>
      </c>
      <c r="AR455" s="10" t="s">
        <v>14</v>
      </c>
      <c r="AS455" s="10"/>
      <c r="AT455" s="10"/>
      <c r="AU455" s="10" t="s">
        <v>2</v>
      </c>
      <c r="AV455" s="10" t="s">
        <v>3</v>
      </c>
      <c r="AW455" s="10" t="s">
        <v>1337</v>
      </c>
    </row>
    <row r="456" spans="1:49" s="12" customFormat="1" x14ac:dyDescent="0.3">
      <c r="A456" s="10" t="s">
        <v>1353</v>
      </c>
      <c r="B456" s="10" t="s">
        <v>441</v>
      </c>
      <c r="C456" s="10" t="s">
        <v>1356</v>
      </c>
      <c r="D456" s="16" t="s">
        <v>1354</v>
      </c>
      <c r="E456" s="10">
        <v>1977</v>
      </c>
      <c r="F456" t="s">
        <v>2661</v>
      </c>
      <c r="G456" s="16" t="s">
        <v>34</v>
      </c>
      <c r="H456" s="10" t="s">
        <v>17</v>
      </c>
      <c r="I456" s="10" t="s">
        <v>1367</v>
      </c>
      <c r="J456" s="10" t="s">
        <v>1355</v>
      </c>
      <c r="K456" s="10">
        <v>4</v>
      </c>
      <c r="L456" s="10">
        <v>4</v>
      </c>
      <c r="M456" s="53"/>
      <c r="N456" s="10">
        <v>9877</v>
      </c>
      <c r="O456" s="10"/>
      <c r="P456" s="10"/>
      <c r="Q456" s="10"/>
      <c r="R456" s="10"/>
      <c r="S456" s="10"/>
      <c r="T456" s="10"/>
      <c r="U456" s="10"/>
      <c r="V456" s="10">
        <v>8779</v>
      </c>
      <c r="W456" s="10"/>
      <c r="X456" s="10"/>
      <c r="Y456" s="10"/>
      <c r="Z456" s="10"/>
      <c r="AA456" s="10"/>
      <c r="AB456" s="10"/>
      <c r="AC456" s="10"/>
      <c r="AD456" s="10"/>
      <c r="AE456" s="10"/>
      <c r="AF456" s="10"/>
      <c r="AG456" s="10"/>
      <c r="AH456" s="10"/>
      <c r="AI456" s="14">
        <f t="shared" si="78"/>
        <v>0.88883264149033103</v>
      </c>
      <c r="AJ456" s="10"/>
      <c r="AK456" s="10"/>
      <c r="AL456" s="10"/>
      <c r="AM456"/>
      <c r="AN456" s="10"/>
      <c r="AO456" s="10"/>
      <c r="AP456" s="10"/>
      <c r="AQ456" s="10">
        <f t="shared" si="79"/>
        <v>156.80000000000001</v>
      </c>
      <c r="AR456" s="10" t="s">
        <v>14</v>
      </c>
      <c r="AS456" s="10"/>
      <c r="AT456" s="10"/>
      <c r="AU456" s="10" t="s">
        <v>2</v>
      </c>
      <c r="AV456" s="10" t="s">
        <v>3</v>
      </c>
      <c r="AW456" s="10" t="s">
        <v>1337</v>
      </c>
    </row>
    <row r="457" spans="1:49" s="12" customFormat="1" x14ac:dyDescent="0.3">
      <c r="A457" s="10" t="s">
        <v>1353</v>
      </c>
      <c r="B457" s="10" t="s">
        <v>441</v>
      </c>
      <c r="C457" s="10" t="s">
        <v>1356</v>
      </c>
      <c r="D457" s="16" t="s">
        <v>1354</v>
      </c>
      <c r="E457" s="10">
        <v>1977</v>
      </c>
      <c r="F457" t="s">
        <v>2661</v>
      </c>
      <c r="G457" s="16" t="s">
        <v>34</v>
      </c>
      <c r="H457" s="10" t="s">
        <v>17</v>
      </c>
      <c r="I457" s="10" t="s">
        <v>1368</v>
      </c>
      <c r="J457" s="10" t="s">
        <v>1355</v>
      </c>
      <c r="K457" s="10">
        <v>4</v>
      </c>
      <c r="L457" s="10">
        <v>4</v>
      </c>
      <c r="M457" s="53"/>
      <c r="N457" s="10">
        <v>13471</v>
      </c>
      <c r="O457" s="10"/>
      <c r="P457" s="10"/>
      <c r="Q457" s="10"/>
      <c r="R457" s="10"/>
      <c r="S457" s="10"/>
      <c r="T457" s="10"/>
      <c r="U457" s="10"/>
      <c r="V457" s="10">
        <v>9914</v>
      </c>
      <c r="W457" s="10"/>
      <c r="X457" s="10"/>
      <c r="Y457" s="10"/>
      <c r="Z457" s="10"/>
      <c r="AA457" s="10"/>
      <c r="AB457" s="10"/>
      <c r="AC457" s="10"/>
      <c r="AD457" s="10"/>
      <c r="AE457" s="10"/>
      <c r="AF457" s="10"/>
      <c r="AG457" s="10"/>
      <c r="AH457" s="10"/>
      <c r="AI457" s="14">
        <f t="shared" si="78"/>
        <v>0.73595130279860443</v>
      </c>
      <c r="AJ457" s="10"/>
      <c r="AK457" s="10"/>
      <c r="AL457" s="10"/>
      <c r="AM457"/>
      <c r="AN457" s="10"/>
      <c r="AO457" s="10"/>
      <c r="AP457" s="10"/>
      <c r="AQ457" s="10">
        <f t="shared" si="79"/>
        <v>156.80000000000001</v>
      </c>
      <c r="AR457" s="10" t="s">
        <v>14</v>
      </c>
      <c r="AS457" s="10"/>
      <c r="AT457" s="10"/>
      <c r="AU457" s="10" t="s">
        <v>2</v>
      </c>
      <c r="AV457" s="10" t="s">
        <v>3</v>
      </c>
      <c r="AW457" s="10" t="s">
        <v>1337</v>
      </c>
    </row>
    <row r="458" spans="1:49" s="10" customFormat="1" x14ac:dyDescent="0.3">
      <c r="A458" s="10" t="s">
        <v>1369</v>
      </c>
      <c r="B458" s="10" t="s">
        <v>29</v>
      </c>
      <c r="C458" s="10" t="s">
        <v>1370</v>
      </c>
      <c r="D458" s="16" t="s">
        <v>1371</v>
      </c>
      <c r="E458" s="10">
        <v>1984</v>
      </c>
      <c r="F458" t="s">
        <v>2661</v>
      </c>
      <c r="G458" s="16" t="s">
        <v>1013</v>
      </c>
      <c r="H458" s="10" t="s">
        <v>217</v>
      </c>
      <c r="J458" s="10" t="s">
        <v>1372</v>
      </c>
      <c r="K458" s="10">
        <v>3</v>
      </c>
      <c r="L458" s="10">
        <v>3</v>
      </c>
      <c r="M458" s="53"/>
      <c r="N458" s="10">
        <v>7.56</v>
      </c>
      <c r="P458" s="10">
        <v>1.28</v>
      </c>
      <c r="W458" s="10">
        <v>6.98</v>
      </c>
      <c r="Y458" s="10">
        <v>0.87</v>
      </c>
      <c r="AD458" s="14">
        <f>W458/N458</f>
        <v>0.92328042328042337</v>
      </c>
      <c r="AE458" s="14">
        <f>Y458/P458</f>
        <v>0.6796875</v>
      </c>
      <c r="AI458" s="14">
        <f>AD458+AE458</f>
        <v>1.6029679232804233</v>
      </c>
      <c r="AL458"/>
      <c r="AM458"/>
      <c r="AN458"/>
      <c r="AO458"/>
      <c r="AP458"/>
      <c r="AQ458" s="10">
        <v>171</v>
      </c>
      <c r="AR458" s="10" t="s">
        <v>14</v>
      </c>
      <c r="AU458" s="10" t="s">
        <v>2</v>
      </c>
      <c r="AV458" s="10" t="s">
        <v>3</v>
      </c>
    </row>
    <row r="459" spans="1:49" s="10" customFormat="1" x14ac:dyDescent="0.3">
      <c r="A459" s="10" t="s">
        <v>1369</v>
      </c>
      <c r="B459" s="10" t="s">
        <v>29</v>
      </c>
      <c r="C459" s="10" t="s">
        <v>1370</v>
      </c>
      <c r="D459" s="16" t="s">
        <v>1371</v>
      </c>
      <c r="E459" s="10">
        <v>1985</v>
      </c>
      <c r="F459" t="s">
        <v>2661</v>
      </c>
      <c r="G459" s="16" t="s">
        <v>1013</v>
      </c>
      <c r="H459" s="10" t="s">
        <v>217</v>
      </c>
      <c r="J459" s="10" t="s">
        <v>1372</v>
      </c>
      <c r="K459" s="10">
        <v>4</v>
      </c>
      <c r="L459" s="10">
        <v>4</v>
      </c>
      <c r="M459" s="53"/>
      <c r="N459" s="10">
        <v>5.85</v>
      </c>
      <c r="P459" s="10">
        <v>3.11</v>
      </c>
      <c r="W459" s="10">
        <v>5.03</v>
      </c>
      <c r="Y459" s="10">
        <v>1.29</v>
      </c>
      <c r="AD459" s="14">
        <f>W459/N459</f>
        <v>0.85982905982905988</v>
      </c>
      <c r="AE459" s="14">
        <f>Y459/P459</f>
        <v>0.41479099678456594</v>
      </c>
      <c r="AI459" s="14">
        <f>AD459+AE459</f>
        <v>1.2746200566136259</v>
      </c>
      <c r="AL459"/>
      <c r="AM459"/>
      <c r="AN459"/>
      <c r="AO459"/>
      <c r="AP459"/>
      <c r="AQ459" s="10">
        <v>171</v>
      </c>
      <c r="AR459" s="10" t="s">
        <v>14</v>
      </c>
      <c r="AU459" s="10" t="s">
        <v>2</v>
      </c>
      <c r="AV459" s="10" t="s">
        <v>3</v>
      </c>
    </row>
    <row r="460" spans="1:49" s="12" customFormat="1" x14ac:dyDescent="0.3">
      <c r="A460" s="10" t="s">
        <v>1373</v>
      </c>
      <c r="B460" s="10" t="s">
        <v>441</v>
      </c>
      <c r="C460" s="10" t="s">
        <v>1374</v>
      </c>
      <c r="D460" s="16" t="s">
        <v>1375</v>
      </c>
      <c r="E460" s="10">
        <v>1981</v>
      </c>
      <c r="F460" t="s">
        <v>2661</v>
      </c>
      <c r="G460" s="16" t="s">
        <v>1013</v>
      </c>
      <c r="H460" s="10" t="s">
        <v>217</v>
      </c>
      <c r="I460" s="10"/>
      <c r="J460" s="10" t="s">
        <v>1377</v>
      </c>
      <c r="K460" s="10">
        <v>4</v>
      </c>
      <c r="L460" s="10">
        <v>4</v>
      </c>
      <c r="M460" s="53"/>
      <c r="N460" s="10">
        <v>9211</v>
      </c>
      <c r="O460" s="10"/>
      <c r="P460" s="10">
        <v>14632</v>
      </c>
      <c r="Q460" s="10"/>
      <c r="R460" s="10"/>
      <c r="S460" s="10"/>
      <c r="T460" s="10"/>
      <c r="U460" s="10"/>
      <c r="V460" s="10">
        <v>14570</v>
      </c>
      <c r="W460" s="10"/>
      <c r="X460" s="10"/>
      <c r="Y460" s="10"/>
      <c r="Z460" s="10"/>
      <c r="AA460" s="10"/>
      <c r="AB460" s="10"/>
      <c r="AC460" s="10"/>
      <c r="AD460" s="10"/>
      <c r="AE460" s="10"/>
      <c r="AF460" s="10"/>
      <c r="AG460" s="10"/>
      <c r="AH460" s="10"/>
      <c r="AI460" s="14">
        <f t="shared" ref="AI460:AI491" si="80">MIN(V460/N460,V460/P460)</f>
        <v>0.99576271186440679</v>
      </c>
      <c r="AJ460" s="10"/>
      <c r="AK460" s="10"/>
      <c r="AL460" s="10"/>
      <c r="AM460"/>
      <c r="AN460" s="10"/>
      <c r="AO460" s="10"/>
      <c r="AP460" s="10"/>
      <c r="AQ460" s="10">
        <v>0</v>
      </c>
      <c r="AR460" s="10" t="s">
        <v>308</v>
      </c>
      <c r="AS460" s="10"/>
      <c r="AT460" s="10"/>
      <c r="AU460" s="10" t="s">
        <v>2</v>
      </c>
      <c r="AV460" s="10" t="s">
        <v>3</v>
      </c>
      <c r="AW460" s="10" t="s">
        <v>1199</v>
      </c>
    </row>
    <row r="461" spans="1:49" s="12" customFormat="1" x14ac:dyDescent="0.3">
      <c r="A461" s="10" t="s">
        <v>1373</v>
      </c>
      <c r="B461" s="10" t="s">
        <v>441</v>
      </c>
      <c r="C461" s="10" t="s">
        <v>1374</v>
      </c>
      <c r="D461" s="16" t="s">
        <v>1375</v>
      </c>
      <c r="E461" s="10">
        <v>1982</v>
      </c>
      <c r="F461" t="s">
        <v>2661</v>
      </c>
      <c r="G461" s="16" t="s">
        <v>1013</v>
      </c>
      <c r="H461" s="10" t="s">
        <v>217</v>
      </c>
      <c r="I461" s="10"/>
      <c r="J461" s="10" t="s">
        <v>1377</v>
      </c>
      <c r="K461" s="10">
        <v>4</v>
      </c>
      <c r="L461" s="10">
        <v>4</v>
      </c>
      <c r="M461" s="53"/>
      <c r="N461" s="10">
        <v>6417</v>
      </c>
      <c r="O461" s="10"/>
      <c r="P461" s="10">
        <v>12500</v>
      </c>
      <c r="Q461" s="10"/>
      <c r="R461" s="10"/>
      <c r="S461" s="10"/>
      <c r="T461" s="10"/>
      <c r="U461" s="10"/>
      <c r="V461" s="10">
        <v>13523</v>
      </c>
      <c r="W461" s="10"/>
      <c r="X461" s="10"/>
      <c r="Y461" s="10"/>
      <c r="Z461" s="10"/>
      <c r="AA461" s="10"/>
      <c r="AB461" s="10"/>
      <c r="AC461" s="10"/>
      <c r="AD461" s="10"/>
      <c r="AE461" s="10"/>
      <c r="AF461" s="10"/>
      <c r="AG461" s="10"/>
      <c r="AH461" s="10"/>
      <c r="AI461" s="14">
        <f t="shared" si="80"/>
        <v>1.0818399999999999</v>
      </c>
      <c r="AJ461" s="10"/>
      <c r="AK461" s="10"/>
      <c r="AL461" s="10"/>
      <c r="AM461"/>
      <c r="AN461" s="10"/>
      <c r="AO461" s="10"/>
      <c r="AP461" s="10"/>
      <c r="AQ461" s="10">
        <v>0</v>
      </c>
      <c r="AR461" s="10" t="s">
        <v>308</v>
      </c>
      <c r="AS461" s="10"/>
      <c r="AT461" s="10"/>
      <c r="AU461" s="10" t="s">
        <v>2</v>
      </c>
      <c r="AV461" s="10" t="s">
        <v>3</v>
      </c>
      <c r="AW461" s="10" t="s">
        <v>1199</v>
      </c>
    </row>
    <row r="462" spans="1:49" s="12" customFormat="1" x14ac:dyDescent="0.3">
      <c r="A462" s="10" t="s">
        <v>1373</v>
      </c>
      <c r="B462" s="10" t="s">
        <v>441</v>
      </c>
      <c r="C462" s="10" t="s">
        <v>1374</v>
      </c>
      <c r="D462" s="16" t="s">
        <v>1375</v>
      </c>
      <c r="E462" s="10">
        <v>1983</v>
      </c>
      <c r="F462" t="s">
        <v>2661</v>
      </c>
      <c r="G462" s="16" t="s">
        <v>1013</v>
      </c>
      <c r="H462" s="10" t="s">
        <v>217</v>
      </c>
      <c r="I462" s="10"/>
      <c r="J462" s="10" t="s">
        <v>1377</v>
      </c>
      <c r="K462" s="10">
        <v>4</v>
      </c>
      <c r="L462" s="10">
        <v>4</v>
      </c>
      <c r="M462" s="53"/>
      <c r="N462" s="10">
        <v>8805</v>
      </c>
      <c r="O462" s="10"/>
      <c r="P462" s="10">
        <v>14942</v>
      </c>
      <c r="Q462" s="10"/>
      <c r="R462" s="10"/>
      <c r="S462" s="10"/>
      <c r="T462" s="10"/>
      <c r="U462" s="10"/>
      <c r="V462" s="10">
        <v>21120</v>
      </c>
      <c r="W462" s="10"/>
      <c r="X462" s="10"/>
      <c r="Y462" s="10"/>
      <c r="Z462" s="10"/>
      <c r="AA462" s="10"/>
      <c r="AB462" s="10"/>
      <c r="AC462" s="10"/>
      <c r="AD462" s="10"/>
      <c r="AE462" s="10"/>
      <c r="AF462" s="10"/>
      <c r="AG462" s="10"/>
      <c r="AH462" s="10"/>
      <c r="AI462" s="14">
        <f t="shared" si="80"/>
        <v>1.4134653995449069</v>
      </c>
      <c r="AJ462" s="10"/>
      <c r="AK462" s="10"/>
      <c r="AL462" s="10"/>
      <c r="AM462"/>
      <c r="AN462" s="10"/>
      <c r="AO462" s="10"/>
      <c r="AP462" s="10"/>
      <c r="AQ462" s="10">
        <v>0</v>
      </c>
      <c r="AR462" s="10" t="s">
        <v>308</v>
      </c>
      <c r="AS462" s="10"/>
      <c r="AT462" s="10"/>
      <c r="AU462" s="10" t="s">
        <v>2</v>
      </c>
      <c r="AV462" s="10" t="s">
        <v>3</v>
      </c>
      <c r="AW462" s="10" t="s">
        <v>1199</v>
      </c>
    </row>
    <row r="463" spans="1:49" s="12" customFormat="1" x14ac:dyDescent="0.3">
      <c r="A463" s="10" t="s">
        <v>1373</v>
      </c>
      <c r="B463" s="10" t="s">
        <v>441</v>
      </c>
      <c r="C463" s="10" t="s">
        <v>1374</v>
      </c>
      <c r="D463" s="16" t="s">
        <v>1375</v>
      </c>
      <c r="E463" s="10">
        <v>1981</v>
      </c>
      <c r="F463" t="s">
        <v>2661</v>
      </c>
      <c r="G463" s="16" t="s">
        <v>1013</v>
      </c>
      <c r="H463" s="10" t="s">
        <v>217</v>
      </c>
      <c r="I463" s="10"/>
      <c r="J463" s="10" t="s">
        <v>1378</v>
      </c>
      <c r="K463" s="10">
        <v>4</v>
      </c>
      <c r="L463" s="10">
        <v>4</v>
      </c>
      <c r="M463" s="53"/>
      <c r="N463" s="10">
        <v>10847</v>
      </c>
      <c r="O463" s="10"/>
      <c r="P463" s="10">
        <v>14632</v>
      </c>
      <c r="Q463" s="10"/>
      <c r="R463" s="10"/>
      <c r="S463" s="10"/>
      <c r="T463" s="10"/>
      <c r="U463" s="10"/>
      <c r="V463" s="10">
        <v>12921</v>
      </c>
      <c r="W463" s="10"/>
      <c r="X463" s="10"/>
      <c r="Y463" s="10"/>
      <c r="Z463" s="10"/>
      <c r="AA463" s="10"/>
      <c r="AB463" s="10"/>
      <c r="AC463" s="10"/>
      <c r="AD463" s="10"/>
      <c r="AE463" s="10"/>
      <c r="AF463" s="10"/>
      <c r="AG463" s="10"/>
      <c r="AH463" s="10"/>
      <c r="AI463" s="14">
        <f t="shared" si="80"/>
        <v>0.88306451612903225</v>
      </c>
      <c r="AJ463" s="10"/>
      <c r="AK463" s="10"/>
      <c r="AL463" s="10"/>
      <c r="AM463"/>
      <c r="AN463" s="10"/>
      <c r="AO463" s="10"/>
      <c r="AP463" s="10"/>
      <c r="AQ463" s="10">
        <v>0</v>
      </c>
      <c r="AR463" s="10" t="s">
        <v>308</v>
      </c>
      <c r="AS463" s="10"/>
      <c r="AT463" s="10"/>
      <c r="AU463" s="10" t="s">
        <v>2</v>
      </c>
      <c r="AV463" s="10" t="s">
        <v>3</v>
      </c>
      <c r="AW463" s="10" t="s">
        <v>1199</v>
      </c>
    </row>
    <row r="464" spans="1:49" s="12" customFormat="1" x14ac:dyDescent="0.3">
      <c r="A464" s="10" t="s">
        <v>1373</v>
      </c>
      <c r="B464" s="10" t="s">
        <v>441</v>
      </c>
      <c r="C464" s="10" t="s">
        <v>1374</v>
      </c>
      <c r="D464" s="16" t="s">
        <v>1375</v>
      </c>
      <c r="E464" s="10">
        <v>1982</v>
      </c>
      <c r="F464" t="s">
        <v>2661</v>
      </c>
      <c r="G464" s="16" t="s">
        <v>1013</v>
      </c>
      <c r="H464" s="10" t="s">
        <v>217</v>
      </c>
      <c r="I464" s="10"/>
      <c r="J464" s="10" t="s">
        <v>1378</v>
      </c>
      <c r="K464" s="10">
        <v>4</v>
      </c>
      <c r="L464" s="10">
        <v>4</v>
      </c>
      <c r="M464" s="53"/>
      <c r="N464" s="10">
        <v>13538</v>
      </c>
      <c r="O464" s="10"/>
      <c r="P464" s="10">
        <v>12500</v>
      </c>
      <c r="Q464" s="10"/>
      <c r="R464" s="10"/>
      <c r="S464" s="10"/>
      <c r="T464" s="10"/>
      <c r="U464" s="10"/>
      <c r="V464" s="10">
        <v>13996</v>
      </c>
      <c r="W464" s="10"/>
      <c r="X464" s="10"/>
      <c r="Y464" s="10"/>
      <c r="Z464" s="10"/>
      <c r="AA464" s="10"/>
      <c r="AB464" s="10"/>
      <c r="AC464" s="10"/>
      <c r="AD464" s="10"/>
      <c r="AE464" s="10"/>
      <c r="AF464" s="10"/>
      <c r="AG464" s="10"/>
      <c r="AH464" s="10"/>
      <c r="AI464" s="14">
        <f t="shared" si="80"/>
        <v>1.0338306987738219</v>
      </c>
      <c r="AJ464" s="10"/>
      <c r="AK464" s="10"/>
      <c r="AL464" s="10"/>
      <c r="AM464"/>
      <c r="AN464" s="10"/>
      <c r="AO464" s="10"/>
      <c r="AP464" s="10"/>
      <c r="AQ464" s="10">
        <v>0</v>
      </c>
      <c r="AR464" s="10" t="s">
        <v>308</v>
      </c>
      <c r="AS464" s="10"/>
      <c r="AT464" s="10"/>
      <c r="AU464" s="10" t="s">
        <v>2</v>
      </c>
      <c r="AV464" s="10" t="s">
        <v>3</v>
      </c>
      <c r="AW464" s="10" t="s">
        <v>1199</v>
      </c>
    </row>
    <row r="465" spans="1:49" s="12" customFormat="1" x14ac:dyDescent="0.3">
      <c r="A465" s="10" t="s">
        <v>1373</v>
      </c>
      <c r="B465" s="10" t="s">
        <v>441</v>
      </c>
      <c r="C465" s="10" t="s">
        <v>1374</v>
      </c>
      <c r="D465" s="16" t="s">
        <v>1375</v>
      </c>
      <c r="E465" s="10">
        <v>1983</v>
      </c>
      <c r="F465" t="s">
        <v>2661</v>
      </c>
      <c r="G465" s="16" t="s">
        <v>1013</v>
      </c>
      <c r="H465" s="10" t="s">
        <v>217</v>
      </c>
      <c r="I465" s="10"/>
      <c r="J465" s="10" t="s">
        <v>1378</v>
      </c>
      <c r="K465" s="10">
        <v>4</v>
      </c>
      <c r="L465" s="10">
        <v>4</v>
      </c>
      <c r="M465" s="53"/>
      <c r="N465" s="10">
        <v>14417</v>
      </c>
      <c r="O465" s="10"/>
      <c r="P465" s="10">
        <v>14942</v>
      </c>
      <c r="Q465" s="10"/>
      <c r="R465" s="10"/>
      <c r="S465" s="10"/>
      <c r="T465" s="10"/>
      <c r="U465" s="10"/>
      <c r="V465" s="10">
        <v>13557</v>
      </c>
      <c r="W465" s="10"/>
      <c r="X465" s="10"/>
      <c r="Y465" s="10"/>
      <c r="Z465" s="10"/>
      <c r="AA465" s="10"/>
      <c r="AB465" s="10"/>
      <c r="AC465" s="10"/>
      <c r="AD465" s="10"/>
      <c r="AE465" s="10"/>
      <c r="AF465" s="10"/>
      <c r="AG465" s="10"/>
      <c r="AH465" s="10"/>
      <c r="AI465" s="14">
        <f t="shared" si="80"/>
        <v>0.9073082585999197</v>
      </c>
      <c r="AJ465" s="10"/>
      <c r="AK465" s="10"/>
      <c r="AL465" s="10"/>
      <c r="AM465"/>
      <c r="AN465" s="10"/>
      <c r="AO465" s="10"/>
      <c r="AP465" s="10"/>
      <c r="AQ465" s="10">
        <v>0</v>
      </c>
      <c r="AR465" s="10" t="s">
        <v>308</v>
      </c>
      <c r="AS465" s="10"/>
      <c r="AT465" s="10"/>
      <c r="AU465" s="10" t="s">
        <v>2</v>
      </c>
      <c r="AV465" s="10" t="s">
        <v>3</v>
      </c>
      <c r="AW465" s="10" t="s">
        <v>1199</v>
      </c>
    </row>
    <row r="466" spans="1:49" s="12" customFormat="1" x14ac:dyDescent="0.3">
      <c r="A466" s="10" t="s">
        <v>1373</v>
      </c>
      <c r="B466" s="10" t="s">
        <v>441</v>
      </c>
      <c r="C466" s="10" t="s">
        <v>1374</v>
      </c>
      <c r="D466" s="16" t="s">
        <v>1375</v>
      </c>
      <c r="E466" s="10">
        <v>1981</v>
      </c>
      <c r="F466" t="s">
        <v>2661</v>
      </c>
      <c r="G466" s="16" t="s">
        <v>1013</v>
      </c>
      <c r="H466" s="10" t="s">
        <v>217</v>
      </c>
      <c r="I466" s="10"/>
      <c r="J466" s="10" t="s">
        <v>1379</v>
      </c>
      <c r="K466" s="10">
        <v>4</v>
      </c>
      <c r="L466" s="10">
        <v>4</v>
      </c>
      <c r="M466" s="53"/>
      <c r="N466" s="10">
        <v>10217</v>
      </c>
      <c r="O466" s="10"/>
      <c r="P466" s="10">
        <v>14632</v>
      </c>
      <c r="Q466" s="10"/>
      <c r="R466" s="10"/>
      <c r="S466" s="10"/>
      <c r="T466" s="10"/>
      <c r="U466" s="10"/>
      <c r="V466" s="10">
        <v>11194</v>
      </c>
      <c r="W466" s="10"/>
      <c r="X466" s="10"/>
      <c r="Y466" s="10"/>
      <c r="Z466" s="10"/>
      <c r="AA466" s="10"/>
      <c r="AB466" s="10"/>
      <c r="AC466" s="10"/>
      <c r="AD466" s="10"/>
      <c r="AE466" s="10"/>
      <c r="AF466" s="10"/>
      <c r="AG466" s="10"/>
      <c r="AH466" s="10"/>
      <c r="AI466" s="14">
        <f t="shared" si="80"/>
        <v>0.76503553854565332</v>
      </c>
      <c r="AJ466" s="10"/>
      <c r="AK466" s="10"/>
      <c r="AL466" s="10"/>
      <c r="AM466"/>
      <c r="AN466" s="10"/>
      <c r="AO466" s="10"/>
      <c r="AP466" s="10"/>
      <c r="AQ466" s="10">
        <v>0</v>
      </c>
      <c r="AR466" s="10" t="s">
        <v>308</v>
      </c>
      <c r="AS466" s="10"/>
      <c r="AT466" s="10"/>
      <c r="AU466" s="10" t="s">
        <v>2</v>
      </c>
      <c r="AV466" s="10" t="s">
        <v>3</v>
      </c>
      <c r="AW466" s="10" t="s">
        <v>1199</v>
      </c>
    </row>
    <row r="467" spans="1:49" s="12" customFormat="1" x14ac:dyDescent="0.3">
      <c r="A467" s="10" t="s">
        <v>1373</v>
      </c>
      <c r="B467" s="10" t="s">
        <v>441</v>
      </c>
      <c r="C467" s="10" t="s">
        <v>1374</v>
      </c>
      <c r="D467" s="16" t="s">
        <v>1375</v>
      </c>
      <c r="E467" s="10">
        <v>1982</v>
      </c>
      <c r="F467" t="s">
        <v>2661</v>
      </c>
      <c r="G467" s="16" t="s">
        <v>1013</v>
      </c>
      <c r="H467" s="10" t="s">
        <v>217</v>
      </c>
      <c r="I467" s="10"/>
      <c r="J467" s="10" t="s">
        <v>1379</v>
      </c>
      <c r="K467" s="10">
        <v>4</v>
      </c>
      <c r="L467" s="10">
        <v>4</v>
      </c>
      <c r="M467" s="53"/>
      <c r="N467" s="10">
        <v>8199</v>
      </c>
      <c r="O467" s="10"/>
      <c r="P467" s="10">
        <v>12500</v>
      </c>
      <c r="Q467" s="10"/>
      <c r="R467" s="10"/>
      <c r="S467" s="10"/>
      <c r="T467" s="10"/>
      <c r="U467" s="10"/>
      <c r="V467" s="10">
        <v>14221</v>
      </c>
      <c r="W467" s="10"/>
      <c r="X467" s="10"/>
      <c r="Y467" s="10"/>
      <c r="Z467" s="10"/>
      <c r="AA467" s="10"/>
      <c r="AB467" s="10"/>
      <c r="AC467" s="10"/>
      <c r="AD467" s="10"/>
      <c r="AE467" s="10"/>
      <c r="AF467" s="10"/>
      <c r="AG467" s="10"/>
      <c r="AH467" s="10"/>
      <c r="AI467" s="14">
        <f t="shared" si="80"/>
        <v>1.13768</v>
      </c>
      <c r="AJ467" s="10"/>
      <c r="AK467" s="10"/>
      <c r="AL467" s="10"/>
      <c r="AM467"/>
      <c r="AN467" s="10"/>
      <c r="AO467" s="10"/>
      <c r="AP467" s="10"/>
      <c r="AQ467" s="10">
        <v>0</v>
      </c>
      <c r="AR467" s="10" t="s">
        <v>308</v>
      </c>
      <c r="AS467" s="10"/>
      <c r="AT467" s="10"/>
      <c r="AU467" s="10" t="s">
        <v>2</v>
      </c>
      <c r="AV467" s="10" t="s">
        <v>3</v>
      </c>
      <c r="AW467" s="10" t="s">
        <v>1199</v>
      </c>
    </row>
    <row r="468" spans="1:49" s="12" customFormat="1" x14ac:dyDescent="0.3">
      <c r="A468" s="10" t="s">
        <v>1373</v>
      </c>
      <c r="B468" s="10" t="s">
        <v>441</v>
      </c>
      <c r="C468" s="10" t="s">
        <v>1374</v>
      </c>
      <c r="D468" s="16" t="s">
        <v>1375</v>
      </c>
      <c r="E468" s="10">
        <v>1983</v>
      </c>
      <c r="F468" t="s">
        <v>2661</v>
      </c>
      <c r="G468" s="16" t="s">
        <v>1013</v>
      </c>
      <c r="H468" s="10" t="s">
        <v>217</v>
      </c>
      <c r="I468" s="10"/>
      <c r="J468" s="10" t="s">
        <v>1379</v>
      </c>
      <c r="K468" s="10">
        <v>4</v>
      </c>
      <c r="L468" s="10">
        <v>4</v>
      </c>
      <c r="M468" s="53"/>
      <c r="N468" s="10">
        <v>12637</v>
      </c>
      <c r="O468" s="10"/>
      <c r="P468" s="10">
        <v>14942</v>
      </c>
      <c r="Q468" s="10"/>
      <c r="R468" s="10"/>
      <c r="S468" s="10"/>
      <c r="T468" s="10"/>
      <c r="U468" s="10"/>
      <c r="V468" s="10">
        <v>11334</v>
      </c>
      <c r="W468" s="10"/>
      <c r="X468" s="10"/>
      <c r="Y468" s="10"/>
      <c r="Z468" s="10"/>
      <c r="AA468" s="10"/>
      <c r="AB468" s="10"/>
      <c r="AC468" s="10"/>
      <c r="AD468" s="10"/>
      <c r="AE468" s="10"/>
      <c r="AF468" s="10"/>
      <c r="AG468" s="10"/>
      <c r="AH468" s="10"/>
      <c r="AI468" s="14">
        <f t="shared" si="80"/>
        <v>0.75853299424441167</v>
      </c>
      <c r="AJ468" s="10"/>
      <c r="AK468" s="10"/>
      <c r="AL468" s="10"/>
      <c r="AM468"/>
      <c r="AN468" s="10"/>
      <c r="AO468" s="10"/>
      <c r="AP468" s="10"/>
      <c r="AQ468" s="10">
        <v>0</v>
      </c>
      <c r="AR468" s="10" t="s">
        <v>308</v>
      </c>
      <c r="AS468" s="10"/>
      <c r="AT468" s="10"/>
      <c r="AU468" s="10" t="s">
        <v>2</v>
      </c>
      <c r="AV468" s="10" t="s">
        <v>3</v>
      </c>
      <c r="AW468" s="10" t="s">
        <v>1199</v>
      </c>
    </row>
    <row r="469" spans="1:49" s="12" customFormat="1" x14ac:dyDescent="0.3">
      <c r="A469" s="10" t="s">
        <v>1373</v>
      </c>
      <c r="B469" s="10" t="s">
        <v>441</v>
      </c>
      <c r="C469" s="10" t="s">
        <v>1374</v>
      </c>
      <c r="D469" s="16" t="s">
        <v>1375</v>
      </c>
      <c r="E469" s="10">
        <v>1981</v>
      </c>
      <c r="F469" t="s">
        <v>2661</v>
      </c>
      <c r="G469" s="16" t="s">
        <v>1013</v>
      </c>
      <c r="H469" s="10" t="s">
        <v>217</v>
      </c>
      <c r="I469" s="10"/>
      <c r="J469" s="10" t="s">
        <v>1380</v>
      </c>
      <c r="K469" s="10">
        <v>4</v>
      </c>
      <c r="L469" s="10">
        <v>4</v>
      </c>
      <c r="M469" s="53"/>
      <c r="N469" s="10">
        <v>10910</v>
      </c>
      <c r="O469" s="10"/>
      <c r="P469" s="10">
        <v>14632</v>
      </c>
      <c r="Q469" s="10"/>
      <c r="R469" s="10"/>
      <c r="S469" s="10"/>
      <c r="T469" s="10"/>
      <c r="U469" s="10"/>
      <c r="V469" s="10">
        <v>10235</v>
      </c>
      <c r="W469" s="10"/>
      <c r="X469" s="10"/>
      <c r="Y469" s="10"/>
      <c r="Z469" s="10"/>
      <c r="AA469" s="10"/>
      <c r="AB469" s="10"/>
      <c r="AC469" s="10"/>
      <c r="AD469" s="10"/>
      <c r="AE469" s="10"/>
      <c r="AF469" s="10"/>
      <c r="AG469" s="10"/>
      <c r="AH469" s="10"/>
      <c r="AI469" s="14">
        <f t="shared" si="80"/>
        <v>0.69949425915800989</v>
      </c>
      <c r="AJ469" s="10"/>
      <c r="AK469" s="10"/>
      <c r="AL469" s="10"/>
      <c r="AM469"/>
      <c r="AN469" s="10"/>
      <c r="AO469" s="10"/>
      <c r="AP469" s="10"/>
      <c r="AQ469" s="10">
        <v>0</v>
      </c>
      <c r="AR469" s="10" t="s">
        <v>308</v>
      </c>
      <c r="AS469" s="10"/>
      <c r="AT469" s="10"/>
      <c r="AU469" s="10" t="s">
        <v>2</v>
      </c>
      <c r="AV469" s="10" t="s">
        <v>3</v>
      </c>
      <c r="AW469" s="10" t="s">
        <v>1199</v>
      </c>
    </row>
    <row r="470" spans="1:49" s="12" customFormat="1" x14ac:dyDescent="0.3">
      <c r="A470" s="10" t="s">
        <v>1373</v>
      </c>
      <c r="B470" s="10" t="s">
        <v>441</v>
      </c>
      <c r="C470" s="10" t="s">
        <v>1374</v>
      </c>
      <c r="D470" s="16" t="s">
        <v>1375</v>
      </c>
      <c r="E470" s="10">
        <v>1982</v>
      </c>
      <c r="F470" t="s">
        <v>2661</v>
      </c>
      <c r="G470" s="16" t="s">
        <v>1013</v>
      </c>
      <c r="H470" s="10" t="s">
        <v>217</v>
      </c>
      <c r="I470" s="10"/>
      <c r="J470" s="10" t="s">
        <v>1380</v>
      </c>
      <c r="K470" s="10">
        <v>4</v>
      </c>
      <c r="L470" s="10">
        <v>4</v>
      </c>
      <c r="M470" s="53"/>
      <c r="N470" s="10">
        <v>8273</v>
      </c>
      <c r="O470" s="10"/>
      <c r="P470" s="10">
        <v>12500</v>
      </c>
      <c r="Q470" s="10"/>
      <c r="R470" s="10"/>
      <c r="S470" s="10"/>
      <c r="T470" s="10"/>
      <c r="U470" s="10"/>
      <c r="V470" s="10">
        <v>10898</v>
      </c>
      <c r="W470" s="10"/>
      <c r="X470" s="10"/>
      <c r="Y470" s="10"/>
      <c r="Z470" s="10"/>
      <c r="AA470" s="10"/>
      <c r="AB470" s="10"/>
      <c r="AC470" s="10"/>
      <c r="AD470" s="10"/>
      <c r="AE470" s="10"/>
      <c r="AF470" s="10"/>
      <c r="AG470" s="10"/>
      <c r="AH470" s="10"/>
      <c r="AI470" s="14">
        <f t="shared" si="80"/>
        <v>0.87183999999999995</v>
      </c>
      <c r="AJ470" s="10"/>
      <c r="AK470" s="10"/>
      <c r="AL470" s="10"/>
      <c r="AM470"/>
      <c r="AN470" s="10"/>
      <c r="AO470" s="10"/>
      <c r="AP470" s="10"/>
      <c r="AQ470" s="10">
        <v>0</v>
      </c>
      <c r="AR470" s="10" t="s">
        <v>308</v>
      </c>
      <c r="AS470" s="10"/>
      <c r="AT470" s="10"/>
      <c r="AU470" s="10" t="s">
        <v>2</v>
      </c>
      <c r="AV470" s="10" t="s">
        <v>3</v>
      </c>
      <c r="AW470" s="10" t="s">
        <v>1199</v>
      </c>
    </row>
    <row r="471" spans="1:49" s="12" customFormat="1" x14ac:dyDescent="0.3">
      <c r="A471" s="10" t="s">
        <v>1373</v>
      </c>
      <c r="B471" s="10" t="s">
        <v>441</v>
      </c>
      <c r="C471" s="10" t="s">
        <v>1374</v>
      </c>
      <c r="D471" s="16" t="s">
        <v>1375</v>
      </c>
      <c r="E471" s="10">
        <v>1983</v>
      </c>
      <c r="F471" t="s">
        <v>2661</v>
      </c>
      <c r="G471" s="16" t="s">
        <v>1013</v>
      </c>
      <c r="H471" s="10" t="s">
        <v>217</v>
      </c>
      <c r="I471" s="10"/>
      <c r="J471" s="10" t="s">
        <v>1380</v>
      </c>
      <c r="K471" s="10">
        <v>4</v>
      </c>
      <c r="L471" s="10">
        <v>4</v>
      </c>
      <c r="M471" s="53"/>
      <c r="N471" s="10">
        <v>10967</v>
      </c>
      <c r="O471" s="10"/>
      <c r="P471" s="10">
        <v>14942</v>
      </c>
      <c r="Q471" s="10"/>
      <c r="R471" s="10"/>
      <c r="S471" s="10"/>
      <c r="T471" s="10"/>
      <c r="U471" s="10"/>
      <c r="V471" s="10">
        <v>12743</v>
      </c>
      <c r="W471" s="10"/>
      <c r="X471" s="10"/>
      <c r="Y471" s="10"/>
      <c r="Z471" s="10"/>
      <c r="AA471" s="10"/>
      <c r="AB471" s="10"/>
      <c r="AC471" s="10"/>
      <c r="AD471" s="10"/>
      <c r="AE471" s="10"/>
      <c r="AF471" s="10"/>
      <c r="AG471" s="10"/>
      <c r="AH471" s="10"/>
      <c r="AI471" s="14">
        <f t="shared" si="80"/>
        <v>0.85283094632579304</v>
      </c>
      <c r="AJ471" s="10"/>
      <c r="AK471" s="10"/>
      <c r="AL471" s="10"/>
      <c r="AM471"/>
      <c r="AN471" s="10"/>
      <c r="AO471" s="10"/>
      <c r="AP471" s="10"/>
      <c r="AQ471" s="10">
        <v>0</v>
      </c>
      <c r="AR471" s="10" t="s">
        <v>308</v>
      </c>
      <c r="AS471" s="10"/>
      <c r="AT471" s="10"/>
      <c r="AU471" s="10" t="s">
        <v>2</v>
      </c>
      <c r="AV471" s="10" t="s">
        <v>3</v>
      </c>
      <c r="AW471" s="10" t="s">
        <v>1199</v>
      </c>
    </row>
    <row r="472" spans="1:49" s="12" customFormat="1" x14ac:dyDescent="0.3">
      <c r="A472" s="10" t="s">
        <v>1373</v>
      </c>
      <c r="B472" s="10" t="s">
        <v>441</v>
      </c>
      <c r="C472" s="10" t="s">
        <v>1374</v>
      </c>
      <c r="D472" s="16" t="s">
        <v>1375</v>
      </c>
      <c r="E472" s="10">
        <v>1981</v>
      </c>
      <c r="F472" t="s">
        <v>2661</v>
      </c>
      <c r="G472" s="16" t="s">
        <v>1013</v>
      </c>
      <c r="H472" s="10" t="s">
        <v>217</v>
      </c>
      <c r="I472" s="10"/>
      <c r="J472" s="10" t="s">
        <v>1381</v>
      </c>
      <c r="K472" s="10">
        <v>4</v>
      </c>
      <c r="L472" s="10">
        <v>4</v>
      </c>
      <c r="M472" s="53"/>
      <c r="N472" s="10">
        <v>9211</v>
      </c>
      <c r="O472" s="10"/>
      <c r="P472" s="10">
        <v>7525</v>
      </c>
      <c r="Q472" s="10"/>
      <c r="R472" s="10"/>
      <c r="S472" s="10"/>
      <c r="T472" s="10"/>
      <c r="U472" s="10"/>
      <c r="V472" s="10">
        <v>6854</v>
      </c>
      <c r="W472" s="10"/>
      <c r="X472" s="10"/>
      <c r="Y472" s="10"/>
      <c r="Z472" s="10"/>
      <c r="AA472" s="10"/>
      <c r="AB472" s="10"/>
      <c r="AC472" s="10"/>
      <c r="AD472" s="10"/>
      <c r="AE472" s="10"/>
      <c r="AF472" s="10"/>
      <c r="AG472" s="10"/>
      <c r="AH472" s="10"/>
      <c r="AI472" s="14">
        <f t="shared" si="80"/>
        <v>0.74411030289870805</v>
      </c>
      <c r="AJ472" s="10"/>
      <c r="AK472" s="10"/>
      <c r="AL472" s="10"/>
      <c r="AM472"/>
      <c r="AN472" s="10"/>
      <c r="AO472" s="10"/>
      <c r="AP472" s="10"/>
      <c r="AQ472" s="10">
        <v>0</v>
      </c>
      <c r="AR472" s="10" t="s">
        <v>308</v>
      </c>
      <c r="AS472" s="10"/>
      <c r="AT472" s="10"/>
      <c r="AU472" s="10" t="s">
        <v>2</v>
      </c>
      <c r="AV472" s="10" t="s">
        <v>3</v>
      </c>
      <c r="AW472" s="10" t="s">
        <v>1199</v>
      </c>
    </row>
    <row r="473" spans="1:49" s="12" customFormat="1" x14ac:dyDescent="0.3">
      <c r="A473" s="10" t="s">
        <v>1373</v>
      </c>
      <c r="B473" s="10" t="s">
        <v>441</v>
      </c>
      <c r="C473" s="10" t="s">
        <v>1374</v>
      </c>
      <c r="D473" s="16" t="s">
        <v>1375</v>
      </c>
      <c r="E473" s="10">
        <v>1982</v>
      </c>
      <c r="F473" t="s">
        <v>2661</v>
      </c>
      <c r="G473" s="16" t="s">
        <v>1013</v>
      </c>
      <c r="H473" s="10" t="s">
        <v>217</v>
      </c>
      <c r="I473" s="10"/>
      <c r="J473" s="10" t="s">
        <v>1381</v>
      </c>
      <c r="K473" s="10">
        <v>4</v>
      </c>
      <c r="L473" s="10">
        <v>4</v>
      </c>
      <c r="M473" s="53"/>
      <c r="N473" s="10">
        <v>6417</v>
      </c>
      <c r="O473" s="10"/>
      <c r="P473" s="10">
        <v>4755</v>
      </c>
      <c r="Q473" s="10"/>
      <c r="R473" s="10"/>
      <c r="S473" s="10"/>
      <c r="T473" s="10"/>
      <c r="U473" s="10"/>
      <c r="V473" s="10">
        <v>3409</v>
      </c>
      <c r="W473" s="10"/>
      <c r="X473" s="10"/>
      <c r="Y473" s="10"/>
      <c r="Z473" s="10"/>
      <c r="AA473" s="10"/>
      <c r="AB473" s="10"/>
      <c r="AC473" s="10"/>
      <c r="AD473" s="10"/>
      <c r="AE473" s="10"/>
      <c r="AF473" s="10"/>
      <c r="AG473" s="10"/>
      <c r="AH473" s="10"/>
      <c r="AI473" s="14">
        <f t="shared" si="80"/>
        <v>0.53124513012311048</v>
      </c>
      <c r="AJ473" s="10"/>
      <c r="AK473" s="10"/>
      <c r="AL473" s="10"/>
      <c r="AM473"/>
      <c r="AN473" s="10"/>
      <c r="AO473" s="10"/>
      <c r="AP473" s="10"/>
      <c r="AQ473" s="10">
        <v>0</v>
      </c>
      <c r="AR473" s="10" t="s">
        <v>308</v>
      </c>
      <c r="AS473" s="10"/>
      <c r="AT473" s="10"/>
      <c r="AU473" s="10" t="s">
        <v>2</v>
      </c>
      <c r="AV473" s="10" t="s">
        <v>3</v>
      </c>
      <c r="AW473" s="10" t="s">
        <v>1199</v>
      </c>
    </row>
    <row r="474" spans="1:49" s="12" customFormat="1" x14ac:dyDescent="0.3">
      <c r="A474" s="10" t="s">
        <v>1373</v>
      </c>
      <c r="B474" s="10" t="s">
        <v>441</v>
      </c>
      <c r="C474" s="10" t="s">
        <v>1374</v>
      </c>
      <c r="D474" s="16" t="s">
        <v>1375</v>
      </c>
      <c r="E474" s="10">
        <v>1983</v>
      </c>
      <c r="F474" t="s">
        <v>2661</v>
      </c>
      <c r="G474" s="16" t="s">
        <v>1013</v>
      </c>
      <c r="H474" s="10" t="s">
        <v>217</v>
      </c>
      <c r="I474" s="10"/>
      <c r="J474" s="10" t="s">
        <v>1381</v>
      </c>
      <c r="K474" s="10">
        <v>4</v>
      </c>
      <c r="L474" s="10">
        <v>4</v>
      </c>
      <c r="M474" s="53"/>
      <c r="N474" s="10">
        <v>8805</v>
      </c>
      <c r="O474" s="10"/>
      <c r="P474" s="10">
        <v>7379</v>
      </c>
      <c r="Q474" s="10"/>
      <c r="R474" s="10"/>
      <c r="S474" s="10"/>
      <c r="T474" s="10"/>
      <c r="U474" s="10"/>
      <c r="V474" s="10">
        <v>9613</v>
      </c>
      <c r="W474" s="10"/>
      <c r="X474" s="10"/>
      <c r="Y474" s="10"/>
      <c r="Z474" s="10"/>
      <c r="AA474" s="10"/>
      <c r="AB474" s="10"/>
      <c r="AC474" s="10"/>
      <c r="AD474" s="10"/>
      <c r="AE474" s="10"/>
      <c r="AF474" s="10"/>
      <c r="AG474" s="10"/>
      <c r="AH474" s="10"/>
      <c r="AI474" s="14">
        <f t="shared" si="80"/>
        <v>1.0917660420215787</v>
      </c>
      <c r="AJ474" s="10"/>
      <c r="AK474" s="10"/>
      <c r="AL474" s="10"/>
      <c r="AM474"/>
      <c r="AN474" s="10"/>
      <c r="AO474" s="10"/>
      <c r="AP474" s="10"/>
      <c r="AQ474" s="10">
        <v>0</v>
      </c>
      <c r="AR474" s="10" t="s">
        <v>308</v>
      </c>
      <c r="AS474" s="10"/>
      <c r="AT474" s="10"/>
      <c r="AU474" s="10" t="s">
        <v>2</v>
      </c>
      <c r="AV474" s="10" t="s">
        <v>3</v>
      </c>
      <c r="AW474" s="10" t="s">
        <v>1199</v>
      </c>
    </row>
    <row r="475" spans="1:49" s="12" customFormat="1" x14ac:dyDescent="0.3">
      <c r="A475" s="10" t="s">
        <v>1373</v>
      </c>
      <c r="B475" s="10" t="s">
        <v>441</v>
      </c>
      <c r="C475" s="10" t="s">
        <v>1374</v>
      </c>
      <c r="D475" s="16" t="s">
        <v>1375</v>
      </c>
      <c r="E475" s="10">
        <v>1981</v>
      </c>
      <c r="F475" t="s">
        <v>2661</v>
      </c>
      <c r="G475" s="16" t="s">
        <v>1013</v>
      </c>
      <c r="H475" s="10" t="s">
        <v>217</v>
      </c>
      <c r="I475" s="10"/>
      <c r="J475" s="10" t="s">
        <v>1382</v>
      </c>
      <c r="K475" s="10">
        <v>4</v>
      </c>
      <c r="L475" s="10">
        <v>4</v>
      </c>
      <c r="M475" s="53"/>
      <c r="N475" s="10">
        <v>10847</v>
      </c>
      <c r="O475" s="10"/>
      <c r="P475" s="10">
        <v>7525</v>
      </c>
      <c r="Q475" s="10"/>
      <c r="R475" s="10"/>
      <c r="S475" s="10"/>
      <c r="T475" s="10"/>
      <c r="U475" s="10"/>
      <c r="V475" s="10">
        <v>8496</v>
      </c>
      <c r="W475" s="10"/>
      <c r="X475" s="10"/>
      <c r="Y475" s="10"/>
      <c r="Z475" s="10"/>
      <c r="AA475" s="10"/>
      <c r="AB475" s="10"/>
      <c r="AC475" s="10"/>
      <c r="AD475" s="10"/>
      <c r="AE475" s="10"/>
      <c r="AF475" s="10"/>
      <c r="AG475" s="10"/>
      <c r="AH475" s="10"/>
      <c r="AI475" s="14">
        <f t="shared" si="80"/>
        <v>0.78325804369871854</v>
      </c>
      <c r="AJ475" s="10"/>
      <c r="AK475" s="10"/>
      <c r="AL475" s="10"/>
      <c r="AM475"/>
      <c r="AN475" s="10"/>
      <c r="AO475" s="10"/>
      <c r="AP475" s="10"/>
      <c r="AQ475" s="10">
        <v>0</v>
      </c>
      <c r="AR475" s="10" t="s">
        <v>308</v>
      </c>
      <c r="AS475" s="10"/>
      <c r="AT475" s="10"/>
      <c r="AU475" s="10" t="s">
        <v>2</v>
      </c>
      <c r="AV475" s="10" t="s">
        <v>3</v>
      </c>
      <c r="AW475" s="10" t="s">
        <v>1199</v>
      </c>
    </row>
    <row r="476" spans="1:49" s="12" customFormat="1" x14ac:dyDescent="0.3">
      <c r="A476" s="10" t="s">
        <v>1373</v>
      </c>
      <c r="B476" s="10" t="s">
        <v>441</v>
      </c>
      <c r="C476" s="10" t="s">
        <v>1374</v>
      </c>
      <c r="D476" s="16" t="s">
        <v>1375</v>
      </c>
      <c r="E476" s="10">
        <v>1982</v>
      </c>
      <c r="F476" t="s">
        <v>2661</v>
      </c>
      <c r="G476" s="16" t="s">
        <v>1013</v>
      </c>
      <c r="H476" s="10" t="s">
        <v>217</v>
      </c>
      <c r="I476" s="10"/>
      <c r="J476" s="10" t="s">
        <v>1382</v>
      </c>
      <c r="K476" s="10">
        <v>4</v>
      </c>
      <c r="L476" s="10">
        <v>4</v>
      </c>
      <c r="M476" s="53"/>
      <c r="N476" s="10">
        <v>13538</v>
      </c>
      <c r="O476" s="10"/>
      <c r="P476" s="10">
        <v>4755</v>
      </c>
      <c r="Q476" s="10"/>
      <c r="R476" s="10"/>
      <c r="S476" s="10"/>
      <c r="T476" s="10"/>
      <c r="U476" s="10"/>
      <c r="V476" s="10">
        <v>16380</v>
      </c>
      <c r="W476" s="10"/>
      <c r="X476" s="10"/>
      <c r="Y476" s="10"/>
      <c r="Z476" s="10"/>
      <c r="AA476" s="10"/>
      <c r="AB476" s="10"/>
      <c r="AC476" s="10"/>
      <c r="AD476" s="10"/>
      <c r="AE476" s="10"/>
      <c r="AF476" s="10"/>
      <c r="AG476" s="10"/>
      <c r="AH476" s="10"/>
      <c r="AI476" s="14">
        <f t="shared" si="80"/>
        <v>1.2099276111685626</v>
      </c>
      <c r="AJ476" s="10"/>
      <c r="AK476" s="10"/>
      <c r="AL476" s="10"/>
      <c r="AM476"/>
      <c r="AN476" s="10"/>
      <c r="AO476" s="10"/>
      <c r="AP476" s="10"/>
      <c r="AQ476" s="10">
        <v>0</v>
      </c>
      <c r="AR476" s="10" t="s">
        <v>308</v>
      </c>
      <c r="AS476" s="10"/>
      <c r="AT476" s="10"/>
      <c r="AU476" s="10" t="s">
        <v>2</v>
      </c>
      <c r="AV476" s="10" t="s">
        <v>3</v>
      </c>
      <c r="AW476" s="10" t="s">
        <v>1199</v>
      </c>
    </row>
    <row r="477" spans="1:49" s="12" customFormat="1" x14ac:dyDescent="0.3">
      <c r="A477" s="10" t="s">
        <v>1373</v>
      </c>
      <c r="B477" s="10" t="s">
        <v>441</v>
      </c>
      <c r="C477" s="10" t="s">
        <v>1374</v>
      </c>
      <c r="D477" s="16" t="s">
        <v>1375</v>
      </c>
      <c r="E477" s="10">
        <v>1983</v>
      </c>
      <c r="F477" t="s">
        <v>2661</v>
      </c>
      <c r="G477" s="16" t="s">
        <v>1013</v>
      </c>
      <c r="H477" s="10" t="s">
        <v>217</v>
      </c>
      <c r="I477" s="10"/>
      <c r="J477" s="10" t="s">
        <v>1382</v>
      </c>
      <c r="K477" s="10">
        <v>4</v>
      </c>
      <c r="L477" s="10">
        <v>4</v>
      </c>
      <c r="M477" s="53"/>
      <c r="N477" s="10">
        <v>14417</v>
      </c>
      <c r="O477" s="10"/>
      <c r="P477" s="10">
        <v>7379</v>
      </c>
      <c r="Q477" s="10"/>
      <c r="R477" s="10"/>
      <c r="S477" s="10"/>
      <c r="T477" s="10"/>
      <c r="U477" s="10"/>
      <c r="V477" s="10">
        <v>12015</v>
      </c>
      <c r="W477" s="10"/>
      <c r="X477" s="10"/>
      <c r="Y477" s="10"/>
      <c r="Z477" s="10"/>
      <c r="AA477" s="10"/>
      <c r="AB477" s="10"/>
      <c r="AC477" s="10"/>
      <c r="AD477" s="10"/>
      <c r="AE477" s="10"/>
      <c r="AF477" s="10"/>
      <c r="AG477" s="10"/>
      <c r="AH477" s="10"/>
      <c r="AI477" s="14">
        <f t="shared" si="80"/>
        <v>0.83339113546507593</v>
      </c>
      <c r="AJ477" s="10"/>
      <c r="AK477" s="10"/>
      <c r="AL477" s="10"/>
      <c r="AM477"/>
      <c r="AN477" s="10"/>
      <c r="AO477" s="10"/>
      <c r="AP477" s="10"/>
      <c r="AQ477" s="10">
        <v>0</v>
      </c>
      <c r="AR477" s="10" t="s">
        <v>308</v>
      </c>
      <c r="AS477" s="10"/>
      <c r="AT477" s="10"/>
      <c r="AU477" s="10" t="s">
        <v>2</v>
      </c>
      <c r="AV477" s="10" t="s">
        <v>3</v>
      </c>
      <c r="AW477" s="10" t="s">
        <v>1199</v>
      </c>
    </row>
    <row r="478" spans="1:49" s="12" customFormat="1" x14ac:dyDescent="0.3">
      <c r="A478" s="10" t="s">
        <v>1373</v>
      </c>
      <c r="B478" s="10" t="s">
        <v>441</v>
      </c>
      <c r="C478" s="10" t="s">
        <v>1374</v>
      </c>
      <c r="D478" s="16" t="s">
        <v>1375</v>
      </c>
      <c r="E478" s="10">
        <v>1981</v>
      </c>
      <c r="F478" t="s">
        <v>2661</v>
      </c>
      <c r="G478" s="16" t="s">
        <v>1013</v>
      </c>
      <c r="H478" s="10" t="s">
        <v>217</v>
      </c>
      <c r="I478" s="10"/>
      <c r="J478" s="10" t="s">
        <v>1383</v>
      </c>
      <c r="K478" s="10">
        <v>4</v>
      </c>
      <c r="L478" s="10">
        <v>4</v>
      </c>
      <c r="M478" s="53"/>
      <c r="N478" s="10">
        <v>10217</v>
      </c>
      <c r="O478" s="10"/>
      <c r="P478" s="10">
        <v>7525</v>
      </c>
      <c r="Q478" s="10"/>
      <c r="R478" s="10"/>
      <c r="S478" s="10"/>
      <c r="T478" s="10"/>
      <c r="U478" s="10"/>
      <c r="V478" s="10">
        <v>9343</v>
      </c>
      <c r="W478" s="10"/>
      <c r="X478" s="10"/>
      <c r="Y478" s="10"/>
      <c r="Z478" s="10"/>
      <c r="AA478" s="10"/>
      <c r="AB478" s="10"/>
      <c r="AC478" s="10"/>
      <c r="AD478" s="10"/>
      <c r="AE478" s="10"/>
      <c r="AF478" s="10"/>
      <c r="AG478" s="10"/>
      <c r="AH478" s="10"/>
      <c r="AI478" s="14">
        <f t="shared" si="80"/>
        <v>0.91445629832631892</v>
      </c>
      <c r="AJ478" s="10"/>
      <c r="AK478" s="10"/>
      <c r="AL478" s="10"/>
      <c r="AM478"/>
      <c r="AN478" s="10"/>
      <c r="AO478" s="10"/>
      <c r="AP478" s="10"/>
      <c r="AQ478" s="10">
        <v>0</v>
      </c>
      <c r="AR478" s="10" t="s">
        <v>308</v>
      </c>
      <c r="AS478" s="10"/>
      <c r="AT478" s="10"/>
      <c r="AU478" s="10" t="s">
        <v>2</v>
      </c>
      <c r="AV478" s="10" t="s">
        <v>3</v>
      </c>
      <c r="AW478" s="10" t="s">
        <v>1199</v>
      </c>
    </row>
    <row r="479" spans="1:49" s="12" customFormat="1" x14ac:dyDescent="0.3">
      <c r="A479" s="10" t="s">
        <v>1373</v>
      </c>
      <c r="B479" s="10" t="s">
        <v>441</v>
      </c>
      <c r="C479" s="10" t="s">
        <v>1374</v>
      </c>
      <c r="D479" s="16" t="s">
        <v>1375</v>
      </c>
      <c r="E479" s="10">
        <v>1982</v>
      </c>
      <c r="F479" t="s">
        <v>2661</v>
      </c>
      <c r="G479" s="16" t="s">
        <v>1013</v>
      </c>
      <c r="H479" s="10" t="s">
        <v>217</v>
      </c>
      <c r="I479" s="10"/>
      <c r="J479" s="10" t="s">
        <v>1383</v>
      </c>
      <c r="K479" s="10">
        <v>4</v>
      </c>
      <c r="L479" s="10">
        <v>4</v>
      </c>
      <c r="M479" s="53"/>
      <c r="N479" s="10">
        <v>8199</v>
      </c>
      <c r="O479" s="10"/>
      <c r="P479" s="10">
        <v>4755</v>
      </c>
      <c r="Q479" s="10"/>
      <c r="R479" s="10"/>
      <c r="S479" s="10"/>
      <c r="T479" s="10"/>
      <c r="U479" s="10"/>
      <c r="V479" s="10">
        <v>8432</v>
      </c>
      <c r="W479" s="10"/>
      <c r="X479" s="10"/>
      <c r="Y479" s="10"/>
      <c r="Z479" s="10"/>
      <c r="AA479" s="10"/>
      <c r="AB479" s="10"/>
      <c r="AC479" s="10"/>
      <c r="AD479" s="10"/>
      <c r="AE479" s="10"/>
      <c r="AF479" s="10"/>
      <c r="AG479" s="10"/>
      <c r="AH479" s="10"/>
      <c r="AI479" s="14">
        <f t="shared" si="80"/>
        <v>1.0284180997682644</v>
      </c>
      <c r="AJ479" s="10"/>
      <c r="AK479" s="10"/>
      <c r="AL479" s="10"/>
      <c r="AM479"/>
      <c r="AN479" s="10"/>
      <c r="AO479" s="10"/>
      <c r="AP479" s="10"/>
      <c r="AQ479" s="10">
        <v>0</v>
      </c>
      <c r="AR479" s="10" t="s">
        <v>308</v>
      </c>
      <c r="AS479" s="10"/>
      <c r="AT479" s="10"/>
      <c r="AU479" s="10" t="s">
        <v>2</v>
      </c>
      <c r="AV479" s="10" t="s">
        <v>3</v>
      </c>
      <c r="AW479" s="10" t="s">
        <v>1199</v>
      </c>
    </row>
    <row r="480" spans="1:49" s="12" customFormat="1" x14ac:dyDescent="0.3">
      <c r="A480" s="10" t="s">
        <v>1373</v>
      </c>
      <c r="B480" s="10" t="s">
        <v>441</v>
      </c>
      <c r="C480" s="10" t="s">
        <v>1374</v>
      </c>
      <c r="D480" s="16" t="s">
        <v>1375</v>
      </c>
      <c r="E480" s="10">
        <v>1983</v>
      </c>
      <c r="F480" t="s">
        <v>2661</v>
      </c>
      <c r="G480" s="16" t="s">
        <v>1013</v>
      </c>
      <c r="H480" s="10" t="s">
        <v>217</v>
      </c>
      <c r="I480" s="10"/>
      <c r="J480" s="10" t="s">
        <v>1383</v>
      </c>
      <c r="K480" s="10">
        <v>4</v>
      </c>
      <c r="L480" s="10">
        <v>4</v>
      </c>
      <c r="M480" s="53"/>
      <c r="N480" s="10">
        <v>12637</v>
      </c>
      <c r="O480" s="10"/>
      <c r="P480" s="10">
        <v>7379</v>
      </c>
      <c r="Q480" s="10"/>
      <c r="R480" s="10"/>
      <c r="S480" s="10"/>
      <c r="T480" s="10"/>
      <c r="U480" s="10"/>
      <c r="V480" s="10">
        <v>8787</v>
      </c>
      <c r="W480" s="10"/>
      <c r="X480" s="10"/>
      <c r="Y480" s="10"/>
      <c r="Z480" s="10"/>
      <c r="AA480" s="10"/>
      <c r="AB480" s="10"/>
      <c r="AC480" s="10"/>
      <c r="AD480" s="10"/>
      <c r="AE480" s="10"/>
      <c r="AF480" s="10"/>
      <c r="AG480" s="10"/>
      <c r="AH480" s="10"/>
      <c r="AI480" s="14">
        <f t="shared" si="80"/>
        <v>0.6953390836432698</v>
      </c>
      <c r="AJ480" s="10"/>
      <c r="AK480" s="10"/>
      <c r="AL480" s="10"/>
      <c r="AM480"/>
      <c r="AN480" s="10"/>
      <c r="AO480" s="10"/>
      <c r="AP480" s="10"/>
      <c r="AQ480" s="10">
        <v>0</v>
      </c>
      <c r="AR480" s="10" t="s">
        <v>308</v>
      </c>
      <c r="AS480" s="10"/>
      <c r="AT480" s="10"/>
      <c r="AU480" s="10" t="s">
        <v>2</v>
      </c>
      <c r="AV480" s="10" t="s">
        <v>3</v>
      </c>
      <c r="AW480" s="10" t="s">
        <v>1199</v>
      </c>
    </row>
    <row r="481" spans="1:49" s="12" customFormat="1" x14ac:dyDescent="0.3">
      <c r="A481" s="10" t="s">
        <v>1373</v>
      </c>
      <c r="B481" s="10" t="s">
        <v>441</v>
      </c>
      <c r="C481" s="10" t="s">
        <v>1374</v>
      </c>
      <c r="D481" s="16" t="s">
        <v>1375</v>
      </c>
      <c r="E481" s="10">
        <v>1981</v>
      </c>
      <c r="F481" t="s">
        <v>2661</v>
      </c>
      <c r="G481" s="16" t="s">
        <v>1013</v>
      </c>
      <c r="H481" s="10" t="s">
        <v>217</v>
      </c>
      <c r="I481" s="10"/>
      <c r="J481" s="10" t="s">
        <v>1384</v>
      </c>
      <c r="K481" s="10">
        <v>4</v>
      </c>
      <c r="L481" s="10">
        <v>4</v>
      </c>
      <c r="M481" s="53"/>
      <c r="N481" s="10">
        <v>10910</v>
      </c>
      <c r="O481" s="10"/>
      <c r="P481" s="10">
        <v>7525</v>
      </c>
      <c r="Q481" s="10"/>
      <c r="R481" s="10"/>
      <c r="S481" s="10"/>
      <c r="T481" s="10"/>
      <c r="U481" s="10"/>
      <c r="V481" s="10">
        <v>8055</v>
      </c>
      <c r="W481" s="10"/>
      <c r="X481" s="10"/>
      <c r="Y481" s="10"/>
      <c r="Z481" s="10"/>
      <c r="AA481" s="10"/>
      <c r="AB481" s="10"/>
      <c r="AC481" s="10"/>
      <c r="AD481" s="10"/>
      <c r="AE481" s="10"/>
      <c r="AF481" s="10"/>
      <c r="AG481" s="10"/>
      <c r="AH481" s="10"/>
      <c r="AI481" s="14">
        <f t="shared" si="80"/>
        <v>0.73831347387717694</v>
      </c>
      <c r="AJ481" s="10"/>
      <c r="AK481" s="10"/>
      <c r="AL481" s="10"/>
      <c r="AM481"/>
      <c r="AN481" s="10"/>
      <c r="AO481" s="10"/>
      <c r="AP481" s="10"/>
      <c r="AQ481" s="10">
        <v>0</v>
      </c>
      <c r="AR481" s="10" t="s">
        <v>308</v>
      </c>
      <c r="AS481" s="10"/>
      <c r="AT481" s="10"/>
      <c r="AU481" s="10" t="s">
        <v>2</v>
      </c>
      <c r="AV481" s="10" t="s">
        <v>3</v>
      </c>
      <c r="AW481" s="10" t="s">
        <v>1199</v>
      </c>
    </row>
    <row r="482" spans="1:49" s="12" customFormat="1" x14ac:dyDescent="0.3">
      <c r="A482" s="10" t="s">
        <v>1373</v>
      </c>
      <c r="B482" s="10" t="s">
        <v>441</v>
      </c>
      <c r="C482" s="10" t="s">
        <v>1374</v>
      </c>
      <c r="D482" s="16" t="s">
        <v>1375</v>
      </c>
      <c r="E482" s="10">
        <v>1982</v>
      </c>
      <c r="F482" t="s">
        <v>2661</v>
      </c>
      <c r="G482" s="16" t="s">
        <v>1013</v>
      </c>
      <c r="H482" s="10" t="s">
        <v>217</v>
      </c>
      <c r="I482" s="10"/>
      <c r="J482" s="10" t="s">
        <v>1384</v>
      </c>
      <c r="K482" s="10">
        <v>4</v>
      </c>
      <c r="L482" s="10">
        <v>4</v>
      </c>
      <c r="M482" s="53"/>
      <c r="N482" s="10">
        <v>8273</v>
      </c>
      <c r="O482" s="10"/>
      <c r="P482" s="10">
        <v>4755</v>
      </c>
      <c r="Q482" s="10"/>
      <c r="R482" s="10"/>
      <c r="S482" s="10"/>
      <c r="T482" s="10"/>
      <c r="U482" s="10"/>
      <c r="V482" s="10">
        <v>6102</v>
      </c>
      <c r="W482" s="10"/>
      <c r="X482" s="10"/>
      <c r="Y482" s="10"/>
      <c r="Z482" s="10"/>
      <c r="AA482" s="10"/>
      <c r="AB482" s="10"/>
      <c r="AC482" s="10"/>
      <c r="AD482" s="10"/>
      <c r="AE482" s="10"/>
      <c r="AF482" s="10"/>
      <c r="AG482" s="10"/>
      <c r="AH482" s="10"/>
      <c r="AI482" s="14">
        <f t="shared" si="80"/>
        <v>0.73758007977758977</v>
      </c>
      <c r="AJ482" s="10"/>
      <c r="AK482" s="10"/>
      <c r="AL482" s="10"/>
      <c r="AM482"/>
      <c r="AN482" s="10"/>
      <c r="AO482" s="10"/>
      <c r="AP482" s="10"/>
      <c r="AQ482" s="10">
        <v>0</v>
      </c>
      <c r="AR482" s="10" t="s">
        <v>308</v>
      </c>
      <c r="AS482" s="10"/>
      <c r="AT482" s="10"/>
      <c r="AU482" s="10" t="s">
        <v>2</v>
      </c>
      <c r="AV482" s="10" t="s">
        <v>3</v>
      </c>
      <c r="AW482" s="10" t="s">
        <v>1199</v>
      </c>
    </row>
    <row r="483" spans="1:49" s="12" customFormat="1" x14ac:dyDescent="0.3">
      <c r="A483" s="10" t="s">
        <v>1373</v>
      </c>
      <c r="B483" s="10" t="s">
        <v>441</v>
      </c>
      <c r="C483" s="10" t="s">
        <v>1374</v>
      </c>
      <c r="D483" s="16" t="s">
        <v>1375</v>
      </c>
      <c r="E483" s="10">
        <v>1983</v>
      </c>
      <c r="F483" t="s">
        <v>2661</v>
      </c>
      <c r="G483" s="16" t="s">
        <v>1013</v>
      </c>
      <c r="H483" s="10" t="s">
        <v>217</v>
      </c>
      <c r="I483" s="10"/>
      <c r="J483" s="10" t="s">
        <v>1384</v>
      </c>
      <c r="K483" s="10">
        <v>4</v>
      </c>
      <c r="L483" s="10">
        <v>4</v>
      </c>
      <c r="M483" s="53"/>
      <c r="N483" s="10">
        <v>10967</v>
      </c>
      <c r="O483" s="10"/>
      <c r="P483" s="10">
        <v>7379</v>
      </c>
      <c r="Q483" s="10"/>
      <c r="R483" s="10"/>
      <c r="S483" s="10"/>
      <c r="T483" s="10"/>
      <c r="U483" s="10"/>
      <c r="V483" s="10">
        <v>10348</v>
      </c>
      <c r="W483" s="10"/>
      <c r="X483" s="10"/>
      <c r="Y483" s="10"/>
      <c r="Z483" s="10"/>
      <c r="AA483" s="10"/>
      <c r="AB483" s="10"/>
      <c r="AC483" s="10"/>
      <c r="AD483" s="10"/>
      <c r="AE483" s="10"/>
      <c r="AF483" s="10"/>
      <c r="AG483" s="10"/>
      <c r="AH483" s="10"/>
      <c r="AI483" s="14">
        <f t="shared" si="80"/>
        <v>0.94355794656697367</v>
      </c>
      <c r="AJ483" s="10"/>
      <c r="AK483" s="10"/>
      <c r="AL483" s="10"/>
      <c r="AM483"/>
      <c r="AN483" s="10"/>
      <c r="AO483" s="10"/>
      <c r="AP483" s="10"/>
      <c r="AQ483" s="10">
        <v>0</v>
      </c>
      <c r="AR483" s="10" t="s">
        <v>308</v>
      </c>
      <c r="AS483" s="10"/>
      <c r="AT483" s="10"/>
      <c r="AU483" s="10" t="s">
        <v>2</v>
      </c>
      <c r="AV483" s="10" t="s">
        <v>3</v>
      </c>
      <c r="AW483" s="10" t="s">
        <v>1199</v>
      </c>
    </row>
    <row r="484" spans="1:49" s="12" customFormat="1" x14ac:dyDescent="0.3">
      <c r="A484" s="10" t="s">
        <v>1373</v>
      </c>
      <c r="B484" s="10" t="s">
        <v>441</v>
      </c>
      <c r="C484" s="10" t="s">
        <v>1374</v>
      </c>
      <c r="D484" s="16" t="s">
        <v>1375</v>
      </c>
      <c r="E484" s="10">
        <v>1981</v>
      </c>
      <c r="F484" t="s">
        <v>2661</v>
      </c>
      <c r="G484" s="16" t="s">
        <v>1013</v>
      </c>
      <c r="H484" s="10" t="s">
        <v>217</v>
      </c>
      <c r="I484" s="10"/>
      <c r="J484" s="10" t="s">
        <v>1385</v>
      </c>
      <c r="K484" s="10">
        <v>4</v>
      </c>
      <c r="L484" s="10">
        <v>4</v>
      </c>
      <c r="M484" s="53"/>
      <c r="N484" s="10">
        <v>9211</v>
      </c>
      <c r="O484" s="10"/>
      <c r="P484" s="10">
        <v>13631</v>
      </c>
      <c r="Q484" s="10"/>
      <c r="R484" s="10"/>
      <c r="S484" s="10"/>
      <c r="T484" s="10"/>
      <c r="U484" s="10"/>
      <c r="V484" s="10">
        <v>9056</v>
      </c>
      <c r="W484" s="10"/>
      <c r="X484" s="10"/>
      <c r="Y484" s="10"/>
      <c r="Z484" s="10"/>
      <c r="AA484" s="10"/>
      <c r="AB484" s="10"/>
      <c r="AC484" s="10"/>
      <c r="AD484" s="10"/>
      <c r="AE484" s="10"/>
      <c r="AF484" s="10"/>
      <c r="AG484" s="10"/>
      <c r="AH484" s="10"/>
      <c r="AI484" s="14">
        <f t="shared" si="80"/>
        <v>0.66436798474066461</v>
      </c>
      <c r="AJ484" s="10"/>
      <c r="AK484" s="10"/>
      <c r="AL484" s="10"/>
      <c r="AM484"/>
      <c r="AN484" s="10"/>
      <c r="AO484" s="10"/>
      <c r="AP484" s="10"/>
      <c r="AQ484" s="10">
        <v>0</v>
      </c>
      <c r="AR484" s="10" t="s">
        <v>308</v>
      </c>
      <c r="AS484" s="10"/>
      <c r="AT484" s="10"/>
      <c r="AU484" s="10" t="s">
        <v>2</v>
      </c>
      <c r="AV484" s="10" t="s">
        <v>3</v>
      </c>
      <c r="AW484" s="10" t="s">
        <v>1199</v>
      </c>
    </row>
    <row r="485" spans="1:49" s="12" customFormat="1" x14ac:dyDescent="0.3">
      <c r="A485" s="10" t="s">
        <v>1373</v>
      </c>
      <c r="B485" s="10" t="s">
        <v>441</v>
      </c>
      <c r="C485" s="10" t="s">
        <v>1374</v>
      </c>
      <c r="D485" s="16" t="s">
        <v>1375</v>
      </c>
      <c r="E485" s="10">
        <v>1982</v>
      </c>
      <c r="F485" t="s">
        <v>2661</v>
      </c>
      <c r="G485" s="16" t="s">
        <v>1013</v>
      </c>
      <c r="H485" s="10" t="s">
        <v>217</v>
      </c>
      <c r="I485" s="10"/>
      <c r="J485" s="10" t="s">
        <v>1385</v>
      </c>
      <c r="K485" s="10">
        <v>4</v>
      </c>
      <c r="L485" s="10">
        <v>4</v>
      </c>
      <c r="M485" s="53"/>
      <c r="N485" s="10">
        <v>6417</v>
      </c>
      <c r="O485" s="10"/>
      <c r="P485" s="10">
        <v>9913</v>
      </c>
      <c r="Q485" s="10"/>
      <c r="R485" s="10"/>
      <c r="S485" s="10"/>
      <c r="T485" s="10"/>
      <c r="U485" s="10"/>
      <c r="V485" s="10">
        <v>8455</v>
      </c>
      <c r="W485" s="10"/>
      <c r="X485" s="10"/>
      <c r="Y485" s="10"/>
      <c r="Z485" s="10"/>
      <c r="AA485" s="10"/>
      <c r="AB485" s="10"/>
      <c r="AC485" s="10"/>
      <c r="AD485" s="10"/>
      <c r="AE485" s="10"/>
      <c r="AF485" s="10"/>
      <c r="AG485" s="10"/>
      <c r="AH485" s="10"/>
      <c r="AI485" s="14">
        <f t="shared" si="80"/>
        <v>0.85292040754564713</v>
      </c>
      <c r="AJ485" s="10"/>
      <c r="AK485" s="10"/>
      <c r="AL485" s="10"/>
      <c r="AM485"/>
      <c r="AN485" s="10"/>
      <c r="AO485" s="10"/>
      <c r="AP485" s="10"/>
      <c r="AQ485" s="10">
        <v>0</v>
      </c>
      <c r="AR485" s="10" t="s">
        <v>308</v>
      </c>
      <c r="AS485" s="10"/>
      <c r="AT485" s="10"/>
      <c r="AU485" s="10" t="s">
        <v>2</v>
      </c>
      <c r="AV485" s="10" t="s">
        <v>3</v>
      </c>
      <c r="AW485" s="10" t="s">
        <v>1199</v>
      </c>
    </row>
    <row r="486" spans="1:49" s="12" customFormat="1" x14ac:dyDescent="0.3">
      <c r="A486" s="10" t="s">
        <v>1373</v>
      </c>
      <c r="B486" s="10" t="s">
        <v>441</v>
      </c>
      <c r="C486" s="10" t="s">
        <v>1374</v>
      </c>
      <c r="D486" s="16" t="s">
        <v>1375</v>
      </c>
      <c r="E486" s="10">
        <v>1983</v>
      </c>
      <c r="F486" t="s">
        <v>2661</v>
      </c>
      <c r="G486" s="16" t="s">
        <v>1013</v>
      </c>
      <c r="H486" s="10" t="s">
        <v>217</v>
      </c>
      <c r="I486" s="10"/>
      <c r="J486" s="10" t="s">
        <v>1385</v>
      </c>
      <c r="K486" s="10">
        <v>4</v>
      </c>
      <c r="L486" s="10">
        <v>4</v>
      </c>
      <c r="M486" s="53"/>
      <c r="N486" s="10">
        <v>8805</v>
      </c>
      <c r="O486" s="10"/>
      <c r="P486" s="10">
        <v>8763</v>
      </c>
      <c r="Q486" s="10"/>
      <c r="R486" s="10"/>
      <c r="S486" s="10"/>
      <c r="T486" s="10"/>
      <c r="U486" s="10"/>
      <c r="V486" s="10">
        <v>12995</v>
      </c>
      <c r="W486" s="10"/>
      <c r="X486" s="10"/>
      <c r="Y486" s="10"/>
      <c r="Z486" s="10"/>
      <c r="AA486" s="10"/>
      <c r="AB486" s="10"/>
      <c r="AC486" s="10"/>
      <c r="AD486" s="10"/>
      <c r="AE486" s="10"/>
      <c r="AF486" s="10"/>
      <c r="AG486" s="10"/>
      <c r="AH486" s="10"/>
      <c r="AI486" s="14">
        <f t="shared" si="80"/>
        <v>1.4758659852356615</v>
      </c>
      <c r="AJ486" s="10"/>
      <c r="AK486" s="10"/>
      <c r="AL486" s="10"/>
      <c r="AM486"/>
      <c r="AN486" s="10"/>
      <c r="AO486" s="10"/>
      <c r="AP486" s="10"/>
      <c r="AQ486" s="10">
        <v>0</v>
      </c>
      <c r="AR486" s="10" t="s">
        <v>308</v>
      </c>
      <c r="AS486" s="10"/>
      <c r="AT486" s="10"/>
      <c r="AU486" s="10" t="s">
        <v>2</v>
      </c>
      <c r="AV486" s="10" t="s">
        <v>3</v>
      </c>
      <c r="AW486" s="10" t="s">
        <v>1199</v>
      </c>
    </row>
    <row r="487" spans="1:49" s="12" customFormat="1" x14ac:dyDescent="0.3">
      <c r="A487" s="10" t="s">
        <v>1373</v>
      </c>
      <c r="B487" s="10" t="s">
        <v>441</v>
      </c>
      <c r="C487" s="10" t="s">
        <v>1374</v>
      </c>
      <c r="D487" s="16" t="s">
        <v>1375</v>
      </c>
      <c r="E487" s="10">
        <v>1981</v>
      </c>
      <c r="F487" t="s">
        <v>2661</v>
      </c>
      <c r="G487" s="16" t="s">
        <v>1013</v>
      </c>
      <c r="H487" s="10" t="s">
        <v>217</v>
      </c>
      <c r="I487" s="10"/>
      <c r="J487" s="10" t="s">
        <v>1386</v>
      </c>
      <c r="K487" s="10">
        <v>4</v>
      </c>
      <c r="L487" s="10">
        <v>4</v>
      </c>
      <c r="M487" s="53"/>
      <c r="N487" s="10">
        <v>10847</v>
      </c>
      <c r="O487" s="10"/>
      <c r="P487" s="10">
        <v>13631</v>
      </c>
      <c r="Q487" s="10"/>
      <c r="R487" s="10"/>
      <c r="S487" s="10"/>
      <c r="T487" s="10"/>
      <c r="U487" s="10"/>
      <c r="V487" s="10">
        <v>12572</v>
      </c>
      <c r="W487" s="10"/>
      <c r="X487" s="10"/>
      <c r="Y487" s="10"/>
      <c r="Z487" s="10"/>
      <c r="AA487" s="10"/>
      <c r="AB487" s="10"/>
      <c r="AC487" s="10"/>
      <c r="AD487" s="10"/>
      <c r="AE487" s="10"/>
      <c r="AF487" s="10"/>
      <c r="AG487" s="10"/>
      <c r="AH487" s="10"/>
      <c r="AI487" s="14">
        <f t="shared" si="80"/>
        <v>0.92230944171374074</v>
      </c>
      <c r="AJ487" s="10"/>
      <c r="AK487" s="10"/>
      <c r="AL487" s="10"/>
      <c r="AM487"/>
      <c r="AN487" s="10"/>
      <c r="AO487" s="10"/>
      <c r="AP487" s="10"/>
      <c r="AQ487" s="10">
        <v>0</v>
      </c>
      <c r="AR487" s="10" t="s">
        <v>308</v>
      </c>
      <c r="AS487" s="10"/>
      <c r="AT487" s="10"/>
      <c r="AU487" s="10" t="s">
        <v>2</v>
      </c>
      <c r="AV487" s="10" t="s">
        <v>3</v>
      </c>
      <c r="AW487" s="10" t="s">
        <v>1199</v>
      </c>
    </row>
    <row r="488" spans="1:49" s="12" customFormat="1" x14ac:dyDescent="0.3">
      <c r="A488" s="10" t="s">
        <v>1373</v>
      </c>
      <c r="B488" s="10" t="s">
        <v>441</v>
      </c>
      <c r="C488" s="10" t="s">
        <v>1374</v>
      </c>
      <c r="D488" s="16" t="s">
        <v>1375</v>
      </c>
      <c r="E488" s="10">
        <v>1982</v>
      </c>
      <c r="F488" t="s">
        <v>2661</v>
      </c>
      <c r="G488" s="16" t="s">
        <v>1013</v>
      </c>
      <c r="H488" s="10" t="s">
        <v>217</v>
      </c>
      <c r="I488" s="10"/>
      <c r="J488" s="10" t="s">
        <v>1386</v>
      </c>
      <c r="K488" s="10">
        <v>4</v>
      </c>
      <c r="L488" s="10">
        <v>4</v>
      </c>
      <c r="M488" s="53"/>
      <c r="N488" s="10">
        <v>13538</v>
      </c>
      <c r="O488" s="10"/>
      <c r="P488" s="10">
        <v>9913</v>
      </c>
      <c r="Q488" s="10"/>
      <c r="R488" s="10"/>
      <c r="S488" s="10"/>
      <c r="T488" s="10"/>
      <c r="U488" s="10"/>
      <c r="V488" s="10">
        <v>11092</v>
      </c>
      <c r="W488" s="10"/>
      <c r="X488" s="10"/>
      <c r="Y488" s="10"/>
      <c r="Z488" s="10"/>
      <c r="AA488" s="10"/>
      <c r="AB488" s="10"/>
      <c r="AC488" s="10"/>
      <c r="AD488" s="10"/>
      <c r="AE488" s="10"/>
      <c r="AF488" s="10"/>
      <c r="AG488" s="10"/>
      <c r="AH488" s="10"/>
      <c r="AI488" s="14">
        <f t="shared" si="80"/>
        <v>0.81932338602452359</v>
      </c>
      <c r="AJ488" s="10"/>
      <c r="AK488" s="10"/>
      <c r="AL488" s="10"/>
      <c r="AM488"/>
      <c r="AN488" s="10"/>
      <c r="AO488" s="10"/>
      <c r="AP488" s="10"/>
      <c r="AQ488" s="10">
        <v>0</v>
      </c>
      <c r="AR488" s="10" t="s">
        <v>308</v>
      </c>
      <c r="AS488" s="10"/>
      <c r="AT488" s="10"/>
      <c r="AU488" s="10" t="s">
        <v>2</v>
      </c>
      <c r="AV488" s="10" t="s">
        <v>3</v>
      </c>
      <c r="AW488" s="10" t="s">
        <v>1199</v>
      </c>
    </row>
    <row r="489" spans="1:49" s="12" customFormat="1" x14ac:dyDescent="0.3">
      <c r="A489" s="10" t="s">
        <v>1373</v>
      </c>
      <c r="B489" s="10" t="s">
        <v>441</v>
      </c>
      <c r="C489" s="10" t="s">
        <v>1374</v>
      </c>
      <c r="D489" s="16" t="s">
        <v>1375</v>
      </c>
      <c r="E489" s="10">
        <v>1983</v>
      </c>
      <c r="F489" t="s">
        <v>2661</v>
      </c>
      <c r="G489" s="16" t="s">
        <v>1013</v>
      </c>
      <c r="H489" s="10" t="s">
        <v>217</v>
      </c>
      <c r="I489" s="10"/>
      <c r="J489" s="10" t="s">
        <v>1386</v>
      </c>
      <c r="K489" s="10">
        <v>4</v>
      </c>
      <c r="L489" s="10">
        <v>4</v>
      </c>
      <c r="M489" s="53"/>
      <c r="N489" s="10">
        <v>14417</v>
      </c>
      <c r="O489" s="10"/>
      <c r="P489" s="10">
        <v>8763</v>
      </c>
      <c r="Q489" s="10"/>
      <c r="R489" s="10"/>
      <c r="S489" s="10"/>
      <c r="T489" s="10"/>
      <c r="U489" s="10"/>
      <c r="V489" s="10">
        <v>12270</v>
      </c>
      <c r="W489" s="10"/>
      <c r="X489" s="10"/>
      <c r="Y489" s="10"/>
      <c r="Z489" s="10"/>
      <c r="AA489" s="10"/>
      <c r="AB489" s="10"/>
      <c r="AC489" s="10"/>
      <c r="AD489" s="10"/>
      <c r="AE489" s="10"/>
      <c r="AF489" s="10"/>
      <c r="AG489" s="10"/>
      <c r="AH489" s="10"/>
      <c r="AI489" s="14">
        <f t="shared" si="80"/>
        <v>0.85107858777831724</v>
      </c>
      <c r="AJ489" s="10"/>
      <c r="AK489" s="10"/>
      <c r="AL489" s="10"/>
      <c r="AM489"/>
      <c r="AN489" s="10"/>
      <c r="AO489" s="10"/>
      <c r="AP489" s="10"/>
      <c r="AQ489" s="10">
        <v>0</v>
      </c>
      <c r="AR489" s="10" t="s">
        <v>308</v>
      </c>
      <c r="AS489" s="10"/>
      <c r="AT489" s="10"/>
      <c r="AU489" s="10" t="s">
        <v>2</v>
      </c>
      <c r="AV489" s="10" t="s">
        <v>3</v>
      </c>
      <c r="AW489" s="10" t="s">
        <v>1199</v>
      </c>
    </row>
    <row r="490" spans="1:49" s="12" customFormat="1" x14ac:dyDescent="0.3">
      <c r="A490" s="10" t="s">
        <v>1373</v>
      </c>
      <c r="B490" s="10" t="s">
        <v>441</v>
      </c>
      <c r="C490" s="10" t="s">
        <v>1374</v>
      </c>
      <c r="D490" s="16" t="s">
        <v>1375</v>
      </c>
      <c r="E490" s="10">
        <v>1981</v>
      </c>
      <c r="F490" t="s">
        <v>2661</v>
      </c>
      <c r="G490" s="16" t="s">
        <v>1013</v>
      </c>
      <c r="H490" s="10" t="s">
        <v>217</v>
      </c>
      <c r="I490" s="10"/>
      <c r="J490" s="10" t="s">
        <v>735</v>
      </c>
      <c r="K490" s="10">
        <v>4</v>
      </c>
      <c r="L490" s="10">
        <v>4</v>
      </c>
      <c r="M490" s="53"/>
      <c r="N490" s="10">
        <v>10217</v>
      </c>
      <c r="O490" s="10"/>
      <c r="P490" s="10">
        <v>13631</v>
      </c>
      <c r="Q490" s="10"/>
      <c r="R490" s="10"/>
      <c r="S490" s="10"/>
      <c r="T490" s="10"/>
      <c r="U490" s="10"/>
      <c r="V490" s="10">
        <v>9822</v>
      </c>
      <c r="W490" s="10"/>
      <c r="X490" s="10"/>
      <c r="Y490" s="10"/>
      <c r="Z490" s="10"/>
      <c r="AA490" s="10"/>
      <c r="AB490" s="10"/>
      <c r="AC490" s="10"/>
      <c r="AD490" s="10"/>
      <c r="AE490" s="10"/>
      <c r="AF490" s="10"/>
      <c r="AG490" s="10"/>
      <c r="AH490" s="10"/>
      <c r="AI490" s="14">
        <f t="shared" si="80"/>
        <v>0.72056342161250087</v>
      </c>
      <c r="AJ490" s="10"/>
      <c r="AK490" s="10"/>
      <c r="AL490" s="10"/>
      <c r="AM490"/>
      <c r="AN490" s="10"/>
      <c r="AO490" s="10"/>
      <c r="AP490" s="10"/>
      <c r="AQ490" s="10">
        <v>0</v>
      </c>
      <c r="AR490" s="10" t="s">
        <v>308</v>
      </c>
      <c r="AS490" s="10"/>
      <c r="AT490" s="10"/>
      <c r="AU490" s="10" t="s">
        <v>2</v>
      </c>
      <c r="AV490" s="10" t="s">
        <v>3</v>
      </c>
      <c r="AW490" s="10" t="s">
        <v>1199</v>
      </c>
    </row>
    <row r="491" spans="1:49" s="12" customFormat="1" x14ac:dyDescent="0.3">
      <c r="A491" s="10" t="s">
        <v>1373</v>
      </c>
      <c r="B491" s="10" t="s">
        <v>441</v>
      </c>
      <c r="C491" s="10" t="s">
        <v>1374</v>
      </c>
      <c r="D491" s="16" t="s">
        <v>1375</v>
      </c>
      <c r="E491" s="10">
        <v>1982</v>
      </c>
      <c r="F491" t="s">
        <v>2661</v>
      </c>
      <c r="G491" s="16" t="s">
        <v>1013</v>
      </c>
      <c r="H491" s="10" t="s">
        <v>217</v>
      </c>
      <c r="I491" s="10"/>
      <c r="J491" s="10" t="s">
        <v>735</v>
      </c>
      <c r="K491" s="10">
        <v>4</v>
      </c>
      <c r="L491" s="10">
        <v>4</v>
      </c>
      <c r="M491" s="53"/>
      <c r="N491" s="10">
        <v>8199</v>
      </c>
      <c r="O491" s="10"/>
      <c r="P491" s="10">
        <v>9913</v>
      </c>
      <c r="Q491" s="10"/>
      <c r="R491" s="10"/>
      <c r="S491" s="10"/>
      <c r="T491" s="10"/>
      <c r="U491" s="10"/>
      <c r="V491" s="10">
        <v>7978</v>
      </c>
      <c r="W491" s="10"/>
      <c r="X491" s="10"/>
      <c r="Y491" s="10"/>
      <c r="Z491" s="10"/>
      <c r="AA491" s="10"/>
      <c r="AB491" s="10"/>
      <c r="AC491" s="10"/>
      <c r="AD491" s="10"/>
      <c r="AE491" s="10"/>
      <c r="AF491" s="10"/>
      <c r="AG491" s="10"/>
      <c r="AH491" s="10"/>
      <c r="AI491" s="14">
        <f t="shared" si="80"/>
        <v>0.80480177544638354</v>
      </c>
      <c r="AJ491" s="10"/>
      <c r="AK491" s="10"/>
      <c r="AL491" s="10"/>
      <c r="AM491"/>
      <c r="AN491" s="10"/>
      <c r="AO491" s="10"/>
      <c r="AP491" s="10"/>
      <c r="AQ491" s="10">
        <v>0</v>
      </c>
      <c r="AR491" s="10" t="s">
        <v>308</v>
      </c>
      <c r="AS491" s="10"/>
      <c r="AT491" s="10"/>
      <c r="AU491" s="10" t="s">
        <v>2</v>
      </c>
      <c r="AV491" s="10" t="s">
        <v>3</v>
      </c>
      <c r="AW491" s="10" t="s">
        <v>1199</v>
      </c>
    </row>
    <row r="492" spans="1:49" s="12" customFormat="1" x14ac:dyDescent="0.3">
      <c r="A492" s="10" t="s">
        <v>1373</v>
      </c>
      <c r="B492" s="10" t="s">
        <v>441</v>
      </c>
      <c r="C492" s="10" t="s">
        <v>1374</v>
      </c>
      <c r="D492" s="16" t="s">
        <v>1375</v>
      </c>
      <c r="E492" s="10">
        <v>1983</v>
      </c>
      <c r="F492" t="s">
        <v>2661</v>
      </c>
      <c r="G492" s="16" t="s">
        <v>1013</v>
      </c>
      <c r="H492" s="10" t="s">
        <v>217</v>
      </c>
      <c r="I492" s="10"/>
      <c r="J492" s="10" t="s">
        <v>735</v>
      </c>
      <c r="K492" s="10">
        <v>4</v>
      </c>
      <c r="L492" s="10">
        <v>4</v>
      </c>
      <c r="M492" s="53"/>
      <c r="N492" s="10">
        <v>12637</v>
      </c>
      <c r="O492" s="10"/>
      <c r="P492" s="10">
        <v>8763</v>
      </c>
      <c r="Q492" s="10"/>
      <c r="R492" s="10"/>
      <c r="S492" s="10"/>
      <c r="T492" s="10"/>
      <c r="U492" s="10"/>
      <c r="V492" s="10">
        <v>8034</v>
      </c>
      <c r="W492" s="10"/>
      <c r="X492" s="10"/>
      <c r="Y492" s="10"/>
      <c r="Z492" s="10"/>
      <c r="AA492" s="10"/>
      <c r="AB492" s="10"/>
      <c r="AC492" s="10"/>
      <c r="AD492" s="10"/>
      <c r="AE492" s="10"/>
      <c r="AF492" s="10"/>
      <c r="AG492" s="10"/>
      <c r="AH492" s="10"/>
      <c r="AI492" s="14">
        <f t="shared" ref="AI492:AI523" si="81">MIN(V492/N492,V492/P492)</f>
        <v>0.63575215636622617</v>
      </c>
      <c r="AJ492" s="10"/>
      <c r="AK492" s="10"/>
      <c r="AL492" s="10"/>
      <c r="AM492"/>
      <c r="AN492" s="10"/>
      <c r="AO492" s="10"/>
      <c r="AP492" s="10"/>
      <c r="AQ492" s="10">
        <v>0</v>
      </c>
      <c r="AR492" s="10" t="s">
        <v>308</v>
      </c>
      <c r="AS492" s="10"/>
      <c r="AT492" s="10"/>
      <c r="AU492" s="10" t="s">
        <v>2</v>
      </c>
      <c r="AV492" s="10" t="s">
        <v>3</v>
      </c>
      <c r="AW492" s="10" t="s">
        <v>1199</v>
      </c>
    </row>
    <row r="493" spans="1:49" s="12" customFormat="1" x14ac:dyDescent="0.3">
      <c r="A493" s="10" t="s">
        <v>1373</v>
      </c>
      <c r="B493" s="10" t="s">
        <v>441</v>
      </c>
      <c r="C493" s="10" t="s">
        <v>1374</v>
      </c>
      <c r="D493" s="16" t="s">
        <v>1375</v>
      </c>
      <c r="E493" s="10">
        <v>1981</v>
      </c>
      <c r="F493" t="s">
        <v>2661</v>
      </c>
      <c r="G493" s="16" t="s">
        <v>1013</v>
      </c>
      <c r="H493" s="10" t="s">
        <v>217</v>
      </c>
      <c r="I493" s="10"/>
      <c r="J493" s="10" t="s">
        <v>1387</v>
      </c>
      <c r="K493" s="10">
        <v>4</v>
      </c>
      <c r="L493" s="10">
        <v>4</v>
      </c>
      <c r="M493" s="53"/>
      <c r="N493" s="10">
        <v>10910</v>
      </c>
      <c r="O493" s="10"/>
      <c r="P493" s="10">
        <v>13631</v>
      </c>
      <c r="Q493" s="10"/>
      <c r="R493" s="10"/>
      <c r="S493" s="10"/>
      <c r="T493" s="10"/>
      <c r="U493" s="10"/>
      <c r="V493" s="10">
        <v>10407</v>
      </c>
      <c r="W493" s="10"/>
      <c r="X493" s="10"/>
      <c r="Y493" s="10"/>
      <c r="Z493" s="10"/>
      <c r="AA493" s="10"/>
      <c r="AB493" s="10"/>
      <c r="AC493" s="10"/>
      <c r="AD493" s="10"/>
      <c r="AE493" s="10"/>
      <c r="AF493" s="10"/>
      <c r="AG493" s="10"/>
      <c r="AH493" s="10"/>
      <c r="AI493" s="14">
        <f t="shared" si="81"/>
        <v>0.76348030225221919</v>
      </c>
      <c r="AJ493" s="10"/>
      <c r="AK493" s="10"/>
      <c r="AL493" s="10"/>
      <c r="AM493"/>
      <c r="AN493" s="10"/>
      <c r="AO493" s="10"/>
      <c r="AP493" s="10"/>
      <c r="AQ493" s="10">
        <v>0</v>
      </c>
      <c r="AR493" s="10" t="s">
        <v>308</v>
      </c>
      <c r="AS493" s="10"/>
      <c r="AT493" s="10"/>
      <c r="AU493" s="10" t="s">
        <v>2</v>
      </c>
      <c r="AV493" s="10" t="s">
        <v>3</v>
      </c>
      <c r="AW493" s="10" t="s">
        <v>1199</v>
      </c>
    </row>
    <row r="494" spans="1:49" s="12" customFormat="1" x14ac:dyDescent="0.3">
      <c r="A494" s="10" t="s">
        <v>1373</v>
      </c>
      <c r="B494" s="10" t="s">
        <v>441</v>
      </c>
      <c r="C494" s="10" t="s">
        <v>1374</v>
      </c>
      <c r="D494" s="16" t="s">
        <v>1375</v>
      </c>
      <c r="E494" s="10">
        <v>1982</v>
      </c>
      <c r="F494" t="s">
        <v>2661</v>
      </c>
      <c r="G494" s="16" t="s">
        <v>1013</v>
      </c>
      <c r="H494" s="10" t="s">
        <v>217</v>
      </c>
      <c r="I494" s="10"/>
      <c r="J494" s="10" t="s">
        <v>1387</v>
      </c>
      <c r="K494" s="10">
        <v>4</v>
      </c>
      <c r="L494" s="10">
        <v>4</v>
      </c>
      <c r="M494" s="53"/>
      <c r="N494" s="10">
        <v>8273</v>
      </c>
      <c r="O494" s="10"/>
      <c r="P494" s="10">
        <v>9913</v>
      </c>
      <c r="Q494" s="10"/>
      <c r="R494" s="10"/>
      <c r="S494" s="10"/>
      <c r="T494" s="10"/>
      <c r="U494" s="10"/>
      <c r="V494" s="10">
        <v>8425</v>
      </c>
      <c r="W494" s="10"/>
      <c r="X494" s="10"/>
      <c r="Y494" s="10"/>
      <c r="Z494" s="10"/>
      <c r="AA494" s="10"/>
      <c r="AB494" s="10"/>
      <c r="AC494" s="10"/>
      <c r="AD494" s="10"/>
      <c r="AE494" s="10"/>
      <c r="AF494" s="10"/>
      <c r="AG494" s="10"/>
      <c r="AH494" s="10"/>
      <c r="AI494" s="14">
        <f t="shared" si="81"/>
        <v>0.84989407848280041</v>
      </c>
      <c r="AJ494" s="10"/>
      <c r="AK494" s="10"/>
      <c r="AL494" s="10"/>
      <c r="AM494"/>
      <c r="AN494" s="10"/>
      <c r="AO494" s="10"/>
      <c r="AP494" s="10"/>
      <c r="AQ494" s="10">
        <v>0</v>
      </c>
      <c r="AR494" s="10" t="s">
        <v>308</v>
      </c>
      <c r="AS494" s="10"/>
      <c r="AT494" s="10"/>
      <c r="AU494" s="10" t="s">
        <v>2</v>
      </c>
      <c r="AV494" s="10" t="s">
        <v>3</v>
      </c>
      <c r="AW494" s="10" t="s">
        <v>1199</v>
      </c>
    </row>
    <row r="495" spans="1:49" s="12" customFormat="1" x14ac:dyDescent="0.3">
      <c r="A495" s="10" t="s">
        <v>1373</v>
      </c>
      <c r="B495" s="10" t="s">
        <v>441</v>
      </c>
      <c r="C495" s="10" t="s">
        <v>1374</v>
      </c>
      <c r="D495" s="16" t="s">
        <v>1375</v>
      </c>
      <c r="E495" s="10">
        <v>1983</v>
      </c>
      <c r="F495" t="s">
        <v>2661</v>
      </c>
      <c r="G495" s="16" t="s">
        <v>1013</v>
      </c>
      <c r="H495" s="10" t="s">
        <v>217</v>
      </c>
      <c r="I495" s="10"/>
      <c r="J495" s="10" t="s">
        <v>1387</v>
      </c>
      <c r="K495" s="10">
        <v>4</v>
      </c>
      <c r="L495" s="10">
        <v>4</v>
      </c>
      <c r="M495" s="53"/>
      <c r="N495" s="10">
        <v>10967</v>
      </c>
      <c r="O495" s="10"/>
      <c r="P495" s="10">
        <v>8763</v>
      </c>
      <c r="Q495" s="10"/>
      <c r="R495" s="10"/>
      <c r="S495" s="10"/>
      <c r="T495" s="10"/>
      <c r="U495" s="10"/>
      <c r="V495" s="10">
        <v>9620</v>
      </c>
      <c r="W495" s="10"/>
      <c r="X495" s="10"/>
      <c r="Y495" s="10"/>
      <c r="Z495" s="10"/>
      <c r="AA495" s="10"/>
      <c r="AB495" s="10"/>
      <c r="AC495" s="10"/>
      <c r="AD495" s="10"/>
      <c r="AE495" s="10"/>
      <c r="AF495" s="10"/>
      <c r="AG495" s="10"/>
      <c r="AH495" s="10"/>
      <c r="AI495" s="14">
        <f t="shared" si="81"/>
        <v>0.87717698550196044</v>
      </c>
      <c r="AJ495" s="10"/>
      <c r="AK495" s="10"/>
      <c r="AL495" s="10"/>
      <c r="AM495"/>
      <c r="AN495" s="10"/>
      <c r="AO495" s="10"/>
      <c r="AP495" s="10"/>
      <c r="AQ495" s="10">
        <v>0</v>
      </c>
      <c r="AR495" s="10" t="s">
        <v>308</v>
      </c>
      <c r="AS495" s="10"/>
      <c r="AT495" s="10"/>
      <c r="AU495" s="10" t="s">
        <v>2</v>
      </c>
      <c r="AV495" s="10" t="s">
        <v>3</v>
      </c>
      <c r="AW495" s="10" t="s">
        <v>1199</v>
      </c>
    </row>
    <row r="496" spans="1:49" s="12" customFormat="1" x14ac:dyDescent="0.3">
      <c r="A496" s="10" t="s">
        <v>1373</v>
      </c>
      <c r="B496" s="10" t="s">
        <v>441</v>
      </c>
      <c r="C496" s="10" t="s">
        <v>1374</v>
      </c>
      <c r="D496" s="10" t="s">
        <v>1376</v>
      </c>
      <c r="E496" s="10">
        <v>1981</v>
      </c>
      <c r="F496" t="s">
        <v>2661</v>
      </c>
      <c r="G496" s="16" t="s">
        <v>1013</v>
      </c>
      <c r="H496" s="10" t="s">
        <v>217</v>
      </c>
      <c r="I496" s="10"/>
      <c r="J496" s="10" t="s">
        <v>1377</v>
      </c>
      <c r="K496" s="10">
        <v>4</v>
      </c>
      <c r="L496" s="10">
        <v>4</v>
      </c>
      <c r="M496" s="53"/>
      <c r="N496" s="10">
        <v>5195</v>
      </c>
      <c r="O496" s="10"/>
      <c r="P496" s="10">
        <v>4821</v>
      </c>
      <c r="Q496" s="10"/>
      <c r="R496" s="10"/>
      <c r="S496" s="10"/>
      <c r="T496" s="10"/>
      <c r="U496" s="10"/>
      <c r="V496" s="10">
        <v>4325</v>
      </c>
      <c r="W496" s="10"/>
      <c r="X496" s="10"/>
      <c r="Y496" s="10"/>
      <c r="Z496" s="10"/>
      <c r="AA496" s="10"/>
      <c r="AB496" s="10"/>
      <c r="AC496" s="10"/>
      <c r="AD496" s="10"/>
      <c r="AE496" s="10"/>
      <c r="AF496" s="10"/>
      <c r="AG496" s="10"/>
      <c r="AH496" s="10"/>
      <c r="AI496" s="14">
        <f t="shared" si="81"/>
        <v>0.83253128007699706</v>
      </c>
      <c r="AJ496" s="10"/>
      <c r="AK496" s="10"/>
      <c r="AL496" s="10"/>
      <c r="AM496"/>
      <c r="AN496" s="10"/>
      <c r="AO496" s="10"/>
      <c r="AP496" s="10"/>
      <c r="AQ496" s="10">
        <v>75</v>
      </c>
      <c r="AR496" s="10" t="s">
        <v>14</v>
      </c>
      <c r="AS496" s="10"/>
      <c r="AT496" s="10"/>
      <c r="AU496" s="10" t="s">
        <v>2</v>
      </c>
      <c r="AV496" s="10" t="s">
        <v>3</v>
      </c>
      <c r="AW496" s="10" t="s">
        <v>1199</v>
      </c>
    </row>
    <row r="497" spans="1:49" s="12" customFormat="1" x14ac:dyDescent="0.3">
      <c r="A497" s="10" t="s">
        <v>1373</v>
      </c>
      <c r="B497" s="10" t="s">
        <v>441</v>
      </c>
      <c r="C497" s="10" t="s">
        <v>1374</v>
      </c>
      <c r="D497" s="10" t="s">
        <v>1376</v>
      </c>
      <c r="E497" s="10">
        <v>1982</v>
      </c>
      <c r="F497" t="s">
        <v>2661</v>
      </c>
      <c r="G497" s="16" t="s">
        <v>1013</v>
      </c>
      <c r="H497" s="10" t="s">
        <v>217</v>
      </c>
      <c r="I497" s="10"/>
      <c r="J497" s="10" t="s">
        <v>1377</v>
      </c>
      <c r="K497" s="10">
        <v>4</v>
      </c>
      <c r="L497" s="10">
        <v>4</v>
      </c>
      <c r="M497" s="53"/>
      <c r="N497" s="10">
        <v>4337</v>
      </c>
      <c r="O497" s="10"/>
      <c r="P497" s="10">
        <v>2170</v>
      </c>
      <c r="Q497" s="10"/>
      <c r="R497" s="10"/>
      <c r="S497" s="10"/>
      <c r="T497" s="10"/>
      <c r="U497" s="10"/>
      <c r="V497" s="10">
        <v>2749</v>
      </c>
      <c r="W497" s="10"/>
      <c r="X497" s="10"/>
      <c r="Y497" s="10"/>
      <c r="Z497" s="10"/>
      <c r="AA497" s="10"/>
      <c r="AB497" s="10"/>
      <c r="AC497" s="10"/>
      <c r="AD497" s="10"/>
      <c r="AE497" s="10"/>
      <c r="AF497" s="10"/>
      <c r="AG497" s="10"/>
      <c r="AH497" s="10"/>
      <c r="AI497" s="14">
        <f t="shared" si="81"/>
        <v>0.63384828222273459</v>
      </c>
      <c r="AJ497" s="10"/>
      <c r="AK497" s="10"/>
      <c r="AL497" s="10"/>
      <c r="AM497"/>
      <c r="AN497" s="10"/>
      <c r="AO497" s="10"/>
      <c r="AP497" s="10"/>
      <c r="AQ497" s="10">
        <v>22</v>
      </c>
      <c r="AR497" s="10" t="s">
        <v>14</v>
      </c>
      <c r="AS497" s="10"/>
      <c r="AT497" s="10"/>
      <c r="AU497" s="10" t="s">
        <v>2</v>
      </c>
      <c r="AV497" s="10" t="s">
        <v>3</v>
      </c>
      <c r="AW497" s="10" t="s">
        <v>1199</v>
      </c>
    </row>
    <row r="498" spans="1:49" s="12" customFormat="1" x14ac:dyDescent="0.3">
      <c r="A498" s="10" t="s">
        <v>1373</v>
      </c>
      <c r="B498" s="10" t="s">
        <v>441</v>
      </c>
      <c r="C498" s="10" t="s">
        <v>1374</v>
      </c>
      <c r="D498" s="10" t="s">
        <v>1376</v>
      </c>
      <c r="E498" s="10">
        <v>1983</v>
      </c>
      <c r="F498" t="s">
        <v>2661</v>
      </c>
      <c r="G498" s="16" t="s">
        <v>1013</v>
      </c>
      <c r="H498" s="10" t="s">
        <v>217</v>
      </c>
      <c r="I498" s="10"/>
      <c r="J498" s="10" t="s">
        <v>1377</v>
      </c>
      <c r="K498" s="10">
        <v>4</v>
      </c>
      <c r="L498" s="10">
        <v>4</v>
      </c>
      <c r="M498" s="53"/>
      <c r="N498" s="10">
        <v>3799</v>
      </c>
      <c r="O498" s="10"/>
      <c r="P498" s="10">
        <v>5086</v>
      </c>
      <c r="Q498" s="10"/>
      <c r="R498" s="10"/>
      <c r="S498" s="10"/>
      <c r="T498" s="10"/>
      <c r="U498" s="10"/>
      <c r="V498" s="10">
        <v>3912</v>
      </c>
      <c r="W498" s="10"/>
      <c r="X498" s="10"/>
      <c r="Y498" s="10"/>
      <c r="Z498" s="10"/>
      <c r="AA498" s="10"/>
      <c r="AB498" s="10"/>
      <c r="AC498" s="10"/>
      <c r="AD498" s="10"/>
      <c r="AE498" s="10"/>
      <c r="AF498" s="10"/>
      <c r="AG498" s="10"/>
      <c r="AH498" s="10"/>
      <c r="AI498" s="14">
        <f t="shared" si="81"/>
        <v>0.76917027133307114</v>
      </c>
      <c r="AJ498" s="10"/>
      <c r="AK498" s="10"/>
      <c r="AL498" s="10"/>
      <c r="AM498"/>
      <c r="AN498" s="10"/>
      <c r="AO498" s="10"/>
      <c r="AP498" s="10"/>
      <c r="AQ498" s="10">
        <v>60</v>
      </c>
      <c r="AR498" s="10" t="s">
        <v>14</v>
      </c>
      <c r="AS498" s="10"/>
      <c r="AT498" s="10"/>
      <c r="AU498" s="10" t="s">
        <v>2</v>
      </c>
      <c r="AV498" s="10" t="s">
        <v>3</v>
      </c>
      <c r="AW498" s="10" t="s">
        <v>1199</v>
      </c>
    </row>
    <row r="499" spans="1:49" s="12" customFormat="1" x14ac:dyDescent="0.3">
      <c r="A499" s="10" t="s">
        <v>1373</v>
      </c>
      <c r="B499" s="10" t="s">
        <v>441</v>
      </c>
      <c r="C499" s="10" t="s">
        <v>1374</v>
      </c>
      <c r="D499" s="10" t="s">
        <v>1376</v>
      </c>
      <c r="E499" s="10">
        <v>1981</v>
      </c>
      <c r="F499" t="s">
        <v>2661</v>
      </c>
      <c r="G499" s="16" t="s">
        <v>1013</v>
      </c>
      <c r="H499" s="10" t="s">
        <v>217</v>
      </c>
      <c r="I499" s="10"/>
      <c r="J499" s="10" t="s">
        <v>1378</v>
      </c>
      <c r="K499" s="10">
        <v>4</v>
      </c>
      <c r="L499" s="10">
        <v>4</v>
      </c>
      <c r="M499" s="53"/>
      <c r="N499" s="10">
        <v>8202</v>
      </c>
      <c r="O499" s="10"/>
      <c r="P499" s="10">
        <v>4821</v>
      </c>
      <c r="Q499" s="10"/>
      <c r="R499" s="10"/>
      <c r="S499" s="10"/>
      <c r="T499" s="10"/>
      <c r="U499" s="10"/>
      <c r="V499" s="10">
        <v>6986</v>
      </c>
      <c r="W499" s="10"/>
      <c r="X499" s="10"/>
      <c r="Y499" s="10"/>
      <c r="Z499" s="10"/>
      <c r="AA499" s="10"/>
      <c r="AB499" s="10"/>
      <c r="AC499" s="10"/>
      <c r="AD499" s="10"/>
      <c r="AE499" s="10"/>
      <c r="AF499" s="10"/>
      <c r="AG499" s="10"/>
      <c r="AH499" s="10"/>
      <c r="AI499" s="14">
        <f t="shared" si="81"/>
        <v>0.85174347720068277</v>
      </c>
      <c r="AJ499" s="10"/>
      <c r="AK499" s="10"/>
      <c r="AL499" s="10"/>
      <c r="AM499"/>
      <c r="AN499" s="10"/>
      <c r="AO499" s="10"/>
      <c r="AP499" s="10"/>
      <c r="AQ499" s="10">
        <v>75</v>
      </c>
      <c r="AR499" s="10" t="s">
        <v>14</v>
      </c>
      <c r="AS499" s="10"/>
      <c r="AT499" s="10"/>
      <c r="AU499" s="10" t="s">
        <v>2</v>
      </c>
      <c r="AV499" s="10" t="s">
        <v>3</v>
      </c>
      <c r="AW499" s="10" t="s">
        <v>1199</v>
      </c>
    </row>
    <row r="500" spans="1:49" s="12" customFormat="1" x14ac:dyDescent="0.3">
      <c r="A500" s="10" t="s">
        <v>1373</v>
      </c>
      <c r="B500" s="10" t="s">
        <v>441</v>
      </c>
      <c r="C500" s="10" t="s">
        <v>1374</v>
      </c>
      <c r="D500" s="10" t="s">
        <v>1376</v>
      </c>
      <c r="E500" s="10">
        <v>1982</v>
      </c>
      <c r="F500" t="s">
        <v>2661</v>
      </c>
      <c r="G500" s="16" t="s">
        <v>1013</v>
      </c>
      <c r="H500" s="10" t="s">
        <v>217</v>
      </c>
      <c r="I500" s="10"/>
      <c r="J500" s="10" t="s">
        <v>1378</v>
      </c>
      <c r="K500" s="10">
        <v>4</v>
      </c>
      <c r="L500" s="10">
        <v>4</v>
      </c>
      <c r="M500" s="53"/>
      <c r="N500" s="10">
        <v>7758</v>
      </c>
      <c r="O500" s="10"/>
      <c r="P500" s="10">
        <v>2170</v>
      </c>
      <c r="Q500" s="10"/>
      <c r="R500" s="10"/>
      <c r="S500" s="10"/>
      <c r="T500" s="10"/>
      <c r="U500" s="10"/>
      <c r="V500" s="10">
        <v>4778</v>
      </c>
      <c r="W500" s="10"/>
      <c r="X500" s="10"/>
      <c r="Y500" s="10"/>
      <c r="Z500" s="10"/>
      <c r="AA500" s="10"/>
      <c r="AB500" s="10"/>
      <c r="AC500" s="10"/>
      <c r="AD500" s="10"/>
      <c r="AE500" s="10"/>
      <c r="AF500" s="10"/>
      <c r="AG500" s="10"/>
      <c r="AH500" s="10"/>
      <c r="AI500" s="14">
        <f t="shared" si="81"/>
        <v>0.61588038154163449</v>
      </c>
      <c r="AJ500" s="10"/>
      <c r="AK500" s="10"/>
      <c r="AL500" s="10"/>
      <c r="AM500"/>
      <c r="AN500" s="10"/>
      <c r="AO500" s="10"/>
      <c r="AP500" s="10"/>
      <c r="AQ500" s="10">
        <v>22</v>
      </c>
      <c r="AR500" s="10" t="s">
        <v>14</v>
      </c>
      <c r="AS500" s="10"/>
      <c r="AT500" s="10"/>
      <c r="AU500" s="10" t="s">
        <v>2</v>
      </c>
      <c r="AV500" s="10" t="s">
        <v>3</v>
      </c>
      <c r="AW500" s="10" t="s">
        <v>1199</v>
      </c>
    </row>
    <row r="501" spans="1:49" s="12" customFormat="1" x14ac:dyDescent="0.3">
      <c r="A501" s="10" t="s">
        <v>1373</v>
      </c>
      <c r="B501" s="10" t="s">
        <v>441</v>
      </c>
      <c r="C501" s="10" t="s">
        <v>1374</v>
      </c>
      <c r="D501" s="10" t="s">
        <v>1376</v>
      </c>
      <c r="E501" s="10">
        <v>1983</v>
      </c>
      <c r="F501" t="s">
        <v>2661</v>
      </c>
      <c r="G501" s="16" t="s">
        <v>1013</v>
      </c>
      <c r="H501" s="10" t="s">
        <v>217</v>
      </c>
      <c r="I501" s="10"/>
      <c r="J501" s="10" t="s">
        <v>1378</v>
      </c>
      <c r="K501" s="10">
        <v>4</v>
      </c>
      <c r="L501" s="10">
        <v>4</v>
      </c>
      <c r="M501" s="53"/>
      <c r="N501" s="10">
        <v>8097</v>
      </c>
      <c r="O501" s="10"/>
      <c r="P501" s="10">
        <v>5086</v>
      </c>
      <c r="Q501" s="10"/>
      <c r="R501" s="10"/>
      <c r="S501" s="10"/>
      <c r="T501" s="10"/>
      <c r="U501" s="10"/>
      <c r="V501" s="10">
        <v>5983</v>
      </c>
      <c r="W501" s="10"/>
      <c r="X501" s="10"/>
      <c r="Y501" s="10"/>
      <c r="Z501" s="10"/>
      <c r="AA501" s="10"/>
      <c r="AB501" s="10"/>
      <c r="AC501" s="10"/>
      <c r="AD501" s="10"/>
      <c r="AE501" s="10"/>
      <c r="AF501" s="10"/>
      <c r="AG501" s="10"/>
      <c r="AH501" s="10"/>
      <c r="AI501" s="14">
        <f t="shared" si="81"/>
        <v>0.73891564777077934</v>
      </c>
      <c r="AJ501" s="10"/>
      <c r="AK501" s="10"/>
      <c r="AL501" s="10"/>
      <c r="AM501"/>
      <c r="AN501" s="10"/>
      <c r="AO501" s="10"/>
      <c r="AP501" s="10"/>
      <c r="AQ501" s="10">
        <v>60</v>
      </c>
      <c r="AR501" s="10" t="s">
        <v>14</v>
      </c>
      <c r="AS501" s="10"/>
      <c r="AT501" s="10"/>
      <c r="AU501" s="10" t="s">
        <v>2</v>
      </c>
      <c r="AV501" s="10" t="s">
        <v>3</v>
      </c>
      <c r="AW501" s="10" t="s">
        <v>1199</v>
      </c>
    </row>
    <row r="502" spans="1:49" s="12" customFormat="1" x14ac:dyDescent="0.3">
      <c r="A502" s="10" t="s">
        <v>1373</v>
      </c>
      <c r="B502" s="10" t="s">
        <v>441</v>
      </c>
      <c r="C502" s="10" t="s">
        <v>1374</v>
      </c>
      <c r="D502" s="10" t="s">
        <v>1376</v>
      </c>
      <c r="E502" s="10">
        <v>1981</v>
      </c>
      <c r="F502" t="s">
        <v>2661</v>
      </c>
      <c r="G502" s="16" t="s">
        <v>1013</v>
      </c>
      <c r="H502" s="10" t="s">
        <v>217</v>
      </c>
      <c r="I502" s="10"/>
      <c r="J502" s="10" t="s">
        <v>1379</v>
      </c>
      <c r="K502" s="10">
        <v>4</v>
      </c>
      <c r="L502" s="10">
        <v>4</v>
      </c>
      <c r="M502" s="53"/>
      <c r="N502" s="10">
        <v>5384</v>
      </c>
      <c r="O502" s="10"/>
      <c r="P502" s="10">
        <v>4821</v>
      </c>
      <c r="Q502" s="10"/>
      <c r="R502" s="10"/>
      <c r="S502" s="10"/>
      <c r="T502" s="10"/>
      <c r="U502" s="10"/>
      <c r="V502" s="10">
        <v>3806</v>
      </c>
      <c r="W502" s="10"/>
      <c r="X502" s="10"/>
      <c r="Y502" s="10"/>
      <c r="Z502" s="10"/>
      <c r="AA502" s="10"/>
      <c r="AB502" s="10"/>
      <c r="AC502" s="10"/>
      <c r="AD502" s="10"/>
      <c r="AE502" s="10"/>
      <c r="AF502" s="10"/>
      <c r="AG502" s="10"/>
      <c r="AH502" s="10"/>
      <c r="AI502" s="14">
        <f t="shared" si="81"/>
        <v>0.70690936106983659</v>
      </c>
      <c r="AJ502" s="10"/>
      <c r="AK502" s="10"/>
      <c r="AL502" s="10"/>
      <c r="AM502"/>
      <c r="AN502" s="10"/>
      <c r="AO502" s="10"/>
      <c r="AP502" s="10"/>
      <c r="AQ502" s="10">
        <v>75</v>
      </c>
      <c r="AR502" s="10" t="s">
        <v>14</v>
      </c>
      <c r="AS502" s="10"/>
      <c r="AT502" s="10"/>
      <c r="AU502" s="10" t="s">
        <v>2</v>
      </c>
      <c r="AV502" s="10" t="s">
        <v>3</v>
      </c>
      <c r="AW502" s="10" t="s">
        <v>1199</v>
      </c>
    </row>
    <row r="503" spans="1:49" s="12" customFormat="1" x14ac:dyDescent="0.3">
      <c r="A503" s="10" t="s">
        <v>1373</v>
      </c>
      <c r="B503" s="10" t="s">
        <v>441</v>
      </c>
      <c r="C503" s="10" t="s">
        <v>1374</v>
      </c>
      <c r="D503" s="10" t="s">
        <v>1376</v>
      </c>
      <c r="E503" s="10">
        <v>1982</v>
      </c>
      <c r="F503" t="s">
        <v>2661</v>
      </c>
      <c r="G503" s="16" t="s">
        <v>1013</v>
      </c>
      <c r="H503" s="10" t="s">
        <v>217</v>
      </c>
      <c r="I503" s="10"/>
      <c r="J503" s="10" t="s">
        <v>1379</v>
      </c>
      <c r="K503" s="10">
        <v>4</v>
      </c>
      <c r="L503" s="10">
        <v>4</v>
      </c>
      <c r="M503" s="53"/>
      <c r="N503" s="10">
        <v>4073</v>
      </c>
      <c r="O503" s="10"/>
      <c r="P503" s="10">
        <v>2170</v>
      </c>
      <c r="Q503" s="10"/>
      <c r="R503" s="10"/>
      <c r="S503" s="10"/>
      <c r="T503" s="10"/>
      <c r="U503" s="10"/>
      <c r="V503" s="10">
        <v>2549</v>
      </c>
      <c r="W503" s="10"/>
      <c r="X503" s="10"/>
      <c r="Y503" s="10"/>
      <c r="Z503" s="10"/>
      <c r="AA503" s="10"/>
      <c r="AB503" s="10"/>
      <c r="AC503" s="10"/>
      <c r="AD503" s="10"/>
      <c r="AE503" s="10"/>
      <c r="AF503" s="10"/>
      <c r="AG503" s="10"/>
      <c r="AH503" s="10"/>
      <c r="AI503" s="14">
        <f t="shared" si="81"/>
        <v>0.62582862754726243</v>
      </c>
      <c r="AJ503" s="10"/>
      <c r="AK503" s="10"/>
      <c r="AL503" s="10"/>
      <c r="AM503"/>
      <c r="AN503" s="10"/>
      <c r="AO503" s="10"/>
      <c r="AP503" s="10"/>
      <c r="AQ503" s="10">
        <v>22</v>
      </c>
      <c r="AR503" s="10" t="s">
        <v>14</v>
      </c>
      <c r="AS503" s="10"/>
      <c r="AT503" s="10"/>
      <c r="AU503" s="10" t="s">
        <v>2</v>
      </c>
      <c r="AV503" s="10" t="s">
        <v>3</v>
      </c>
      <c r="AW503" s="10" t="s">
        <v>1199</v>
      </c>
    </row>
    <row r="504" spans="1:49" s="12" customFormat="1" x14ac:dyDescent="0.3">
      <c r="A504" s="10" t="s">
        <v>1373</v>
      </c>
      <c r="B504" s="10" t="s">
        <v>441</v>
      </c>
      <c r="C504" s="10" t="s">
        <v>1374</v>
      </c>
      <c r="D504" s="10" t="s">
        <v>1376</v>
      </c>
      <c r="E504" s="10">
        <v>1983</v>
      </c>
      <c r="F504" t="s">
        <v>2661</v>
      </c>
      <c r="G504" s="16" t="s">
        <v>1013</v>
      </c>
      <c r="H504" s="10" t="s">
        <v>217</v>
      </c>
      <c r="I504" s="10"/>
      <c r="J504" s="10" t="s">
        <v>1379</v>
      </c>
      <c r="K504" s="10">
        <v>4</v>
      </c>
      <c r="L504" s="10">
        <v>4</v>
      </c>
      <c r="M504" s="53"/>
      <c r="N504" s="10">
        <v>4364</v>
      </c>
      <c r="O504" s="10"/>
      <c r="P504" s="10">
        <v>5086</v>
      </c>
      <c r="Q504" s="10"/>
      <c r="R504" s="10"/>
      <c r="S504" s="10"/>
      <c r="T504" s="10"/>
      <c r="U504" s="10"/>
      <c r="V504" s="10">
        <v>4990</v>
      </c>
      <c r="W504" s="10"/>
      <c r="X504" s="10"/>
      <c r="Y504" s="10"/>
      <c r="Z504" s="10"/>
      <c r="AA504" s="10"/>
      <c r="AB504" s="10"/>
      <c r="AC504" s="10"/>
      <c r="AD504" s="10"/>
      <c r="AE504" s="10"/>
      <c r="AF504" s="10"/>
      <c r="AG504" s="10"/>
      <c r="AH504" s="10"/>
      <c r="AI504" s="14">
        <f t="shared" si="81"/>
        <v>0.98112465591820686</v>
      </c>
      <c r="AJ504" s="10"/>
      <c r="AK504" s="10"/>
      <c r="AL504" s="10"/>
      <c r="AM504"/>
      <c r="AN504" s="10"/>
      <c r="AO504" s="10"/>
      <c r="AP504" s="10"/>
      <c r="AQ504" s="10">
        <v>60</v>
      </c>
      <c r="AR504" s="10" t="s">
        <v>14</v>
      </c>
      <c r="AS504" s="10"/>
      <c r="AT504" s="10"/>
      <c r="AU504" s="10" t="s">
        <v>2</v>
      </c>
      <c r="AV504" s="10" t="s">
        <v>3</v>
      </c>
      <c r="AW504" s="10" t="s">
        <v>1199</v>
      </c>
    </row>
    <row r="505" spans="1:49" s="12" customFormat="1" x14ac:dyDescent="0.3">
      <c r="A505" s="10" t="s">
        <v>1373</v>
      </c>
      <c r="B505" s="10" t="s">
        <v>441</v>
      </c>
      <c r="C505" s="10" t="s">
        <v>1374</v>
      </c>
      <c r="D505" s="10" t="s">
        <v>1376</v>
      </c>
      <c r="E505" s="10">
        <v>1981</v>
      </c>
      <c r="F505" t="s">
        <v>2661</v>
      </c>
      <c r="G505" s="16" t="s">
        <v>1013</v>
      </c>
      <c r="H505" s="10" t="s">
        <v>217</v>
      </c>
      <c r="I505" s="10"/>
      <c r="J505" s="10" t="s">
        <v>1380</v>
      </c>
      <c r="K505" s="10">
        <v>4</v>
      </c>
      <c r="L505" s="10">
        <v>4</v>
      </c>
      <c r="M505" s="53"/>
      <c r="N505" s="10">
        <v>4790</v>
      </c>
      <c r="O505" s="10"/>
      <c r="P505" s="10">
        <v>4821</v>
      </c>
      <c r="Q505" s="10"/>
      <c r="R505" s="10"/>
      <c r="S505" s="10"/>
      <c r="T505" s="10"/>
      <c r="U505" s="10"/>
      <c r="V505" s="10">
        <v>4974</v>
      </c>
      <c r="W505" s="10"/>
      <c r="X505" s="10"/>
      <c r="Y505" s="10"/>
      <c r="Z505" s="10"/>
      <c r="AA505" s="10"/>
      <c r="AB505" s="10"/>
      <c r="AC505" s="10"/>
      <c r="AD505" s="10"/>
      <c r="AE505" s="10"/>
      <c r="AF505" s="10"/>
      <c r="AG505" s="10"/>
      <c r="AH505" s="10"/>
      <c r="AI505" s="14">
        <f t="shared" si="81"/>
        <v>1.0317361543248289</v>
      </c>
      <c r="AJ505" s="10"/>
      <c r="AK505" s="10"/>
      <c r="AL505" s="10"/>
      <c r="AM505"/>
      <c r="AN505" s="10"/>
      <c r="AO505" s="10"/>
      <c r="AP505" s="10"/>
      <c r="AQ505" s="10">
        <v>75</v>
      </c>
      <c r="AR505" s="10" t="s">
        <v>14</v>
      </c>
      <c r="AS505" s="10"/>
      <c r="AT505" s="10"/>
      <c r="AU505" s="10" t="s">
        <v>2</v>
      </c>
      <c r="AV505" s="10" t="s">
        <v>3</v>
      </c>
      <c r="AW505" s="10" t="s">
        <v>1199</v>
      </c>
    </row>
    <row r="506" spans="1:49" s="12" customFormat="1" x14ac:dyDescent="0.3">
      <c r="A506" s="10" t="s">
        <v>1373</v>
      </c>
      <c r="B506" s="10" t="s">
        <v>441</v>
      </c>
      <c r="C506" s="10" t="s">
        <v>1374</v>
      </c>
      <c r="D506" s="10" t="s">
        <v>1376</v>
      </c>
      <c r="E506" s="10">
        <v>1982</v>
      </c>
      <c r="F506" t="s">
        <v>2661</v>
      </c>
      <c r="G506" s="16" t="s">
        <v>1013</v>
      </c>
      <c r="H506" s="10" t="s">
        <v>217</v>
      </c>
      <c r="I506" s="10"/>
      <c r="J506" s="10" t="s">
        <v>1380</v>
      </c>
      <c r="K506" s="10">
        <v>4</v>
      </c>
      <c r="L506" s="10">
        <v>4</v>
      </c>
      <c r="M506" s="53"/>
      <c r="N506" s="10">
        <v>4524</v>
      </c>
      <c r="O506" s="10"/>
      <c r="P506" s="10">
        <v>2170</v>
      </c>
      <c r="Q506" s="10"/>
      <c r="R506" s="10"/>
      <c r="S506" s="10"/>
      <c r="T506" s="10"/>
      <c r="U506" s="10"/>
      <c r="V506" s="10">
        <v>2445</v>
      </c>
      <c r="W506" s="10"/>
      <c r="X506" s="10"/>
      <c r="Y506" s="10"/>
      <c r="Z506" s="10"/>
      <c r="AA506" s="10"/>
      <c r="AB506" s="10"/>
      <c r="AC506" s="10"/>
      <c r="AD506" s="10"/>
      <c r="AE506" s="10"/>
      <c r="AF506" s="10"/>
      <c r="AG506" s="10"/>
      <c r="AH506" s="10"/>
      <c r="AI506" s="14">
        <f t="shared" si="81"/>
        <v>0.54045092838196285</v>
      </c>
      <c r="AJ506" s="10"/>
      <c r="AK506" s="10"/>
      <c r="AL506" s="10"/>
      <c r="AM506"/>
      <c r="AN506" s="10"/>
      <c r="AO506" s="10"/>
      <c r="AP506" s="10"/>
      <c r="AQ506" s="10">
        <v>22</v>
      </c>
      <c r="AR506" s="10" t="s">
        <v>14</v>
      </c>
      <c r="AS506" s="10"/>
      <c r="AT506" s="10"/>
      <c r="AU506" s="10" t="s">
        <v>2</v>
      </c>
      <c r="AV506" s="10" t="s">
        <v>3</v>
      </c>
      <c r="AW506" s="10" t="s">
        <v>1199</v>
      </c>
    </row>
    <row r="507" spans="1:49" s="12" customFormat="1" x14ac:dyDescent="0.3">
      <c r="A507" s="10" t="s">
        <v>1373</v>
      </c>
      <c r="B507" s="10" t="s">
        <v>441</v>
      </c>
      <c r="C507" s="10" t="s">
        <v>1374</v>
      </c>
      <c r="D507" s="10" t="s">
        <v>1376</v>
      </c>
      <c r="E507" s="10">
        <v>1983</v>
      </c>
      <c r="F507" t="s">
        <v>2661</v>
      </c>
      <c r="G507" s="16" t="s">
        <v>1013</v>
      </c>
      <c r="H507" s="10" t="s">
        <v>217</v>
      </c>
      <c r="I507" s="10"/>
      <c r="J507" s="10" t="s">
        <v>1380</v>
      </c>
      <c r="K507" s="10">
        <v>4</v>
      </c>
      <c r="L507" s="10">
        <v>4</v>
      </c>
      <c r="M507" s="53"/>
      <c r="N507" s="10">
        <v>3270</v>
      </c>
      <c r="O507" s="10"/>
      <c r="P507" s="10">
        <v>5086</v>
      </c>
      <c r="Q507" s="10"/>
      <c r="R507" s="10"/>
      <c r="S507" s="10"/>
      <c r="T507" s="10"/>
      <c r="U507" s="10"/>
      <c r="V507" s="10">
        <v>3959</v>
      </c>
      <c r="W507" s="10"/>
      <c r="X507" s="10"/>
      <c r="Y507" s="10"/>
      <c r="Z507" s="10"/>
      <c r="AA507" s="10"/>
      <c r="AB507" s="10"/>
      <c r="AC507" s="10"/>
      <c r="AD507" s="10"/>
      <c r="AE507" s="10"/>
      <c r="AF507" s="10"/>
      <c r="AG507" s="10"/>
      <c r="AH507" s="10"/>
      <c r="AI507" s="14">
        <f t="shared" si="81"/>
        <v>0.77841132520644907</v>
      </c>
      <c r="AJ507" s="10"/>
      <c r="AK507" s="10"/>
      <c r="AL507" s="10"/>
      <c r="AM507"/>
      <c r="AN507" s="10"/>
      <c r="AO507" s="10"/>
      <c r="AP507" s="10"/>
      <c r="AQ507" s="10">
        <v>60</v>
      </c>
      <c r="AR507" s="10" t="s">
        <v>14</v>
      </c>
      <c r="AS507" s="10"/>
      <c r="AT507" s="10"/>
      <c r="AU507" s="10" t="s">
        <v>2</v>
      </c>
      <c r="AV507" s="10" t="s">
        <v>3</v>
      </c>
      <c r="AW507" s="10" t="s">
        <v>1199</v>
      </c>
    </row>
    <row r="508" spans="1:49" s="12" customFormat="1" x14ac:dyDescent="0.3">
      <c r="A508" s="10" t="s">
        <v>1373</v>
      </c>
      <c r="B508" s="10" t="s">
        <v>441</v>
      </c>
      <c r="C508" s="10" t="s">
        <v>1374</v>
      </c>
      <c r="D508" s="10" t="s">
        <v>1376</v>
      </c>
      <c r="E508" s="10">
        <v>1981</v>
      </c>
      <c r="F508" t="s">
        <v>2661</v>
      </c>
      <c r="G508" s="16" t="s">
        <v>1013</v>
      </c>
      <c r="H508" s="10" t="s">
        <v>217</v>
      </c>
      <c r="I508" s="10"/>
      <c r="J508" s="10" t="s">
        <v>1381</v>
      </c>
      <c r="K508" s="10">
        <v>4</v>
      </c>
      <c r="L508" s="10">
        <v>4</v>
      </c>
      <c r="M508" s="53"/>
      <c r="N508" s="10">
        <v>5195</v>
      </c>
      <c r="O508" s="10"/>
      <c r="P508" s="10">
        <v>5256</v>
      </c>
      <c r="Q508" s="10"/>
      <c r="R508" s="10"/>
      <c r="S508" s="10"/>
      <c r="T508" s="10"/>
      <c r="U508" s="10"/>
      <c r="V508" s="10">
        <v>4509</v>
      </c>
      <c r="W508" s="10"/>
      <c r="X508" s="10"/>
      <c r="Y508" s="10"/>
      <c r="Z508" s="10"/>
      <c r="AA508" s="10"/>
      <c r="AB508" s="10"/>
      <c r="AC508" s="10"/>
      <c r="AD508" s="10"/>
      <c r="AE508" s="10"/>
      <c r="AF508" s="10"/>
      <c r="AG508" s="10"/>
      <c r="AH508" s="10"/>
      <c r="AI508" s="14">
        <f t="shared" si="81"/>
        <v>0.85787671232876717</v>
      </c>
      <c r="AJ508" s="10"/>
      <c r="AK508" s="10"/>
      <c r="AL508" s="10"/>
      <c r="AM508"/>
      <c r="AN508" s="10"/>
      <c r="AO508" s="10"/>
      <c r="AP508" s="10"/>
      <c r="AQ508" s="10">
        <v>75</v>
      </c>
      <c r="AR508" s="10" t="s">
        <v>14</v>
      </c>
      <c r="AS508" s="10"/>
      <c r="AT508" s="10"/>
      <c r="AU508" s="10" t="s">
        <v>2</v>
      </c>
      <c r="AV508" s="10" t="s">
        <v>3</v>
      </c>
      <c r="AW508" s="10" t="s">
        <v>1199</v>
      </c>
    </row>
    <row r="509" spans="1:49" s="12" customFormat="1" x14ac:dyDescent="0.3">
      <c r="A509" s="10" t="s">
        <v>1373</v>
      </c>
      <c r="B509" s="10" t="s">
        <v>441</v>
      </c>
      <c r="C509" s="10" t="s">
        <v>1374</v>
      </c>
      <c r="D509" s="10" t="s">
        <v>1376</v>
      </c>
      <c r="E509" s="10">
        <v>1982</v>
      </c>
      <c r="F509" t="s">
        <v>2661</v>
      </c>
      <c r="G509" s="16" t="s">
        <v>1013</v>
      </c>
      <c r="H509" s="10" t="s">
        <v>217</v>
      </c>
      <c r="I509" s="10"/>
      <c r="J509" s="10" t="s">
        <v>1381</v>
      </c>
      <c r="K509" s="10">
        <v>4</v>
      </c>
      <c r="L509" s="10">
        <v>4</v>
      </c>
      <c r="M509" s="53"/>
      <c r="N509" s="10">
        <v>4337</v>
      </c>
      <c r="O509" s="10"/>
      <c r="P509" s="10">
        <v>7844</v>
      </c>
      <c r="Q509" s="10"/>
      <c r="R509" s="10"/>
      <c r="S509" s="10"/>
      <c r="T509" s="10"/>
      <c r="U509" s="10"/>
      <c r="V509" s="10">
        <v>4825</v>
      </c>
      <c r="W509" s="10"/>
      <c r="X509" s="10"/>
      <c r="Y509" s="10"/>
      <c r="Z509" s="10"/>
      <c r="AA509" s="10"/>
      <c r="AB509" s="10"/>
      <c r="AC509" s="10"/>
      <c r="AD509" s="10"/>
      <c r="AE509" s="10"/>
      <c r="AF509" s="10"/>
      <c r="AG509" s="10"/>
      <c r="AH509" s="10"/>
      <c r="AI509" s="14">
        <f t="shared" si="81"/>
        <v>0.61511983681795002</v>
      </c>
      <c r="AJ509" s="10"/>
      <c r="AK509" s="10"/>
      <c r="AL509" s="10"/>
      <c r="AM509"/>
      <c r="AN509" s="10"/>
      <c r="AO509" s="10"/>
      <c r="AP509" s="10"/>
      <c r="AQ509" s="10">
        <v>22</v>
      </c>
      <c r="AR509" s="10" t="s">
        <v>14</v>
      </c>
      <c r="AS509" s="10"/>
      <c r="AT509" s="10"/>
      <c r="AU509" s="10" t="s">
        <v>2</v>
      </c>
      <c r="AV509" s="10" t="s">
        <v>3</v>
      </c>
      <c r="AW509" s="10" t="s">
        <v>1199</v>
      </c>
    </row>
    <row r="510" spans="1:49" s="12" customFormat="1" x14ac:dyDescent="0.3">
      <c r="A510" s="10" t="s">
        <v>1373</v>
      </c>
      <c r="B510" s="10" t="s">
        <v>441</v>
      </c>
      <c r="C510" s="10" t="s">
        <v>1374</v>
      </c>
      <c r="D510" s="10" t="s">
        <v>1376</v>
      </c>
      <c r="E510" s="10">
        <v>1983</v>
      </c>
      <c r="F510" t="s">
        <v>2661</v>
      </c>
      <c r="G510" s="16" t="s">
        <v>1013</v>
      </c>
      <c r="H510" s="10" t="s">
        <v>217</v>
      </c>
      <c r="I510" s="10"/>
      <c r="J510" s="10" t="s">
        <v>1381</v>
      </c>
      <c r="K510" s="10">
        <v>4</v>
      </c>
      <c r="L510" s="10">
        <v>4</v>
      </c>
      <c r="M510" s="53"/>
      <c r="N510" s="10">
        <v>3799</v>
      </c>
      <c r="O510" s="10"/>
      <c r="P510" s="10">
        <v>5429</v>
      </c>
      <c r="Q510" s="10"/>
      <c r="R510" s="10"/>
      <c r="S510" s="10"/>
      <c r="T510" s="10"/>
      <c r="U510" s="10"/>
      <c r="V510" s="10">
        <v>5059</v>
      </c>
      <c r="W510" s="10"/>
      <c r="X510" s="10"/>
      <c r="Y510" s="10"/>
      <c r="Z510" s="10"/>
      <c r="AA510" s="10"/>
      <c r="AB510" s="10"/>
      <c r="AC510" s="10"/>
      <c r="AD510" s="10"/>
      <c r="AE510" s="10"/>
      <c r="AF510" s="10"/>
      <c r="AG510" s="10"/>
      <c r="AH510" s="10"/>
      <c r="AI510" s="14">
        <f t="shared" si="81"/>
        <v>0.93184748572481124</v>
      </c>
      <c r="AJ510" s="10"/>
      <c r="AK510" s="10"/>
      <c r="AL510" s="10"/>
      <c r="AM510"/>
      <c r="AN510" s="10"/>
      <c r="AO510" s="10"/>
      <c r="AP510" s="10"/>
      <c r="AQ510" s="10">
        <v>60</v>
      </c>
      <c r="AR510" s="10" t="s">
        <v>14</v>
      </c>
      <c r="AS510" s="10"/>
      <c r="AT510" s="10"/>
      <c r="AU510" s="10" t="s">
        <v>2</v>
      </c>
      <c r="AV510" s="10" t="s">
        <v>3</v>
      </c>
      <c r="AW510" s="10" t="s">
        <v>1199</v>
      </c>
    </row>
    <row r="511" spans="1:49" s="12" customFormat="1" x14ac:dyDescent="0.3">
      <c r="A511" s="10" t="s">
        <v>1373</v>
      </c>
      <c r="B511" s="10" t="s">
        <v>441</v>
      </c>
      <c r="C511" s="10" t="s">
        <v>1374</v>
      </c>
      <c r="D511" s="10" t="s">
        <v>1376</v>
      </c>
      <c r="E511" s="10">
        <v>1981</v>
      </c>
      <c r="F511" t="s">
        <v>2661</v>
      </c>
      <c r="G511" s="16" t="s">
        <v>1013</v>
      </c>
      <c r="H511" s="10" t="s">
        <v>217</v>
      </c>
      <c r="I511" s="10"/>
      <c r="J511" s="10" t="s">
        <v>1382</v>
      </c>
      <c r="K511" s="10">
        <v>4</v>
      </c>
      <c r="L511" s="10">
        <v>4</v>
      </c>
      <c r="M511" s="53"/>
      <c r="N511" s="10">
        <v>8202</v>
      </c>
      <c r="O511" s="10"/>
      <c r="P511" s="10">
        <v>5256</v>
      </c>
      <c r="Q511" s="10"/>
      <c r="R511" s="10"/>
      <c r="S511" s="10"/>
      <c r="T511" s="10"/>
      <c r="U511" s="10"/>
      <c r="V511" s="10">
        <v>6614</v>
      </c>
      <c r="W511" s="10"/>
      <c r="X511" s="10"/>
      <c r="Y511" s="10"/>
      <c r="Z511" s="10"/>
      <c r="AA511" s="10"/>
      <c r="AB511" s="10"/>
      <c r="AC511" s="10"/>
      <c r="AD511" s="10"/>
      <c r="AE511" s="10"/>
      <c r="AF511" s="10"/>
      <c r="AG511" s="10"/>
      <c r="AH511" s="10"/>
      <c r="AI511" s="14">
        <f t="shared" si="81"/>
        <v>0.80638868568641797</v>
      </c>
      <c r="AJ511" s="10"/>
      <c r="AK511" s="10"/>
      <c r="AL511" s="10"/>
      <c r="AM511"/>
      <c r="AN511" s="10"/>
      <c r="AO511" s="10"/>
      <c r="AP511" s="10"/>
      <c r="AQ511" s="10">
        <v>75</v>
      </c>
      <c r="AR511" s="10" t="s">
        <v>14</v>
      </c>
      <c r="AS511" s="10"/>
      <c r="AT511" s="10"/>
      <c r="AU511" s="10" t="s">
        <v>2</v>
      </c>
      <c r="AV511" s="10" t="s">
        <v>3</v>
      </c>
      <c r="AW511" s="10" t="s">
        <v>1199</v>
      </c>
    </row>
    <row r="512" spans="1:49" s="12" customFormat="1" x14ac:dyDescent="0.3">
      <c r="A512" s="10" t="s">
        <v>1373</v>
      </c>
      <c r="B512" s="10" t="s">
        <v>441</v>
      </c>
      <c r="C512" s="10" t="s">
        <v>1374</v>
      </c>
      <c r="D512" s="10" t="s">
        <v>1376</v>
      </c>
      <c r="E512" s="10">
        <v>1982</v>
      </c>
      <c r="F512" t="s">
        <v>2661</v>
      </c>
      <c r="G512" s="16" t="s">
        <v>1013</v>
      </c>
      <c r="H512" s="10" t="s">
        <v>217</v>
      </c>
      <c r="I512" s="10"/>
      <c r="J512" s="10" t="s">
        <v>1382</v>
      </c>
      <c r="K512" s="10">
        <v>4</v>
      </c>
      <c r="L512" s="10">
        <v>4</v>
      </c>
      <c r="M512" s="53"/>
      <c r="N512" s="10">
        <v>7758</v>
      </c>
      <c r="O512" s="10"/>
      <c r="P512" s="10">
        <v>7844</v>
      </c>
      <c r="Q512" s="10"/>
      <c r="R512" s="10"/>
      <c r="S512" s="10"/>
      <c r="T512" s="10"/>
      <c r="U512" s="10"/>
      <c r="V512" s="10">
        <v>5860</v>
      </c>
      <c r="W512" s="10"/>
      <c r="X512" s="10"/>
      <c r="Y512" s="10"/>
      <c r="Z512" s="10"/>
      <c r="AA512" s="10"/>
      <c r="AB512" s="10"/>
      <c r="AC512" s="10"/>
      <c r="AD512" s="10"/>
      <c r="AE512" s="10"/>
      <c r="AF512" s="10"/>
      <c r="AG512" s="10"/>
      <c r="AH512" s="10"/>
      <c r="AI512" s="14">
        <f t="shared" si="81"/>
        <v>0.74706782253952064</v>
      </c>
      <c r="AJ512" s="10"/>
      <c r="AK512" s="10"/>
      <c r="AL512" s="10"/>
      <c r="AM512"/>
      <c r="AN512" s="10"/>
      <c r="AO512" s="10"/>
      <c r="AP512" s="10"/>
      <c r="AQ512" s="10">
        <v>22</v>
      </c>
      <c r="AR512" s="10" t="s">
        <v>14</v>
      </c>
      <c r="AS512" s="10"/>
      <c r="AT512" s="10"/>
      <c r="AU512" s="10" t="s">
        <v>2</v>
      </c>
      <c r="AV512" s="10" t="s">
        <v>3</v>
      </c>
      <c r="AW512" s="10" t="s">
        <v>1199</v>
      </c>
    </row>
    <row r="513" spans="1:49" s="12" customFormat="1" x14ac:dyDescent="0.3">
      <c r="A513" s="10" t="s">
        <v>1373</v>
      </c>
      <c r="B513" s="10" t="s">
        <v>441</v>
      </c>
      <c r="C513" s="10" t="s">
        <v>1374</v>
      </c>
      <c r="D513" s="10" t="s">
        <v>1376</v>
      </c>
      <c r="E513" s="10">
        <v>1983</v>
      </c>
      <c r="F513" t="s">
        <v>2661</v>
      </c>
      <c r="G513" s="16" t="s">
        <v>1013</v>
      </c>
      <c r="H513" s="10" t="s">
        <v>217</v>
      </c>
      <c r="I513" s="10"/>
      <c r="J513" s="10" t="s">
        <v>1382</v>
      </c>
      <c r="K513" s="10">
        <v>4</v>
      </c>
      <c r="L513" s="10">
        <v>4</v>
      </c>
      <c r="M513" s="53"/>
      <c r="N513" s="10">
        <v>8097</v>
      </c>
      <c r="O513" s="10"/>
      <c r="P513" s="10">
        <v>5429</v>
      </c>
      <c r="Q513" s="10"/>
      <c r="R513" s="10"/>
      <c r="S513" s="10"/>
      <c r="T513" s="10"/>
      <c r="U513" s="10"/>
      <c r="V513" s="10">
        <v>5797</v>
      </c>
      <c r="W513" s="10"/>
      <c r="X513" s="10"/>
      <c r="Y513" s="10"/>
      <c r="Z513" s="10"/>
      <c r="AA513" s="10"/>
      <c r="AB513" s="10"/>
      <c r="AC513" s="10"/>
      <c r="AD513" s="10"/>
      <c r="AE513" s="10"/>
      <c r="AF513" s="10"/>
      <c r="AG513" s="10"/>
      <c r="AH513" s="10"/>
      <c r="AI513" s="14">
        <f t="shared" si="81"/>
        <v>0.7159441768556255</v>
      </c>
      <c r="AJ513" s="10"/>
      <c r="AK513" s="10"/>
      <c r="AL513" s="10"/>
      <c r="AM513"/>
      <c r="AN513" s="10"/>
      <c r="AO513" s="10"/>
      <c r="AP513" s="10"/>
      <c r="AQ513" s="10">
        <v>60</v>
      </c>
      <c r="AR513" s="10" t="s">
        <v>14</v>
      </c>
      <c r="AS513" s="10"/>
      <c r="AT513" s="10"/>
      <c r="AU513" s="10" t="s">
        <v>2</v>
      </c>
      <c r="AV513" s="10" t="s">
        <v>3</v>
      </c>
      <c r="AW513" s="10" t="s">
        <v>1199</v>
      </c>
    </row>
    <row r="514" spans="1:49" s="12" customFormat="1" x14ac:dyDescent="0.3">
      <c r="A514" s="10" t="s">
        <v>1373</v>
      </c>
      <c r="B514" s="10" t="s">
        <v>441</v>
      </c>
      <c r="C514" s="10" t="s">
        <v>1374</v>
      </c>
      <c r="D514" s="10" t="s">
        <v>1376</v>
      </c>
      <c r="E514" s="10">
        <v>1981</v>
      </c>
      <c r="F514" t="s">
        <v>2661</v>
      </c>
      <c r="G514" s="16" t="s">
        <v>1013</v>
      </c>
      <c r="H514" s="10" t="s">
        <v>217</v>
      </c>
      <c r="I514" s="10"/>
      <c r="J514" s="10" t="s">
        <v>1383</v>
      </c>
      <c r="K514" s="10">
        <v>4</v>
      </c>
      <c r="L514" s="10">
        <v>4</v>
      </c>
      <c r="M514" s="53"/>
      <c r="N514" s="10">
        <v>5384</v>
      </c>
      <c r="O514" s="10"/>
      <c r="P514" s="10">
        <v>5256</v>
      </c>
      <c r="Q514" s="10"/>
      <c r="R514" s="10"/>
      <c r="S514" s="10"/>
      <c r="T514" s="10"/>
      <c r="U514" s="10"/>
      <c r="V514" s="10">
        <v>5073</v>
      </c>
      <c r="W514" s="10"/>
      <c r="X514" s="10"/>
      <c r="Y514" s="10"/>
      <c r="Z514" s="10"/>
      <c r="AA514" s="10"/>
      <c r="AB514" s="10"/>
      <c r="AC514" s="10"/>
      <c r="AD514" s="10"/>
      <c r="AE514" s="10"/>
      <c r="AF514" s="10"/>
      <c r="AG514" s="10"/>
      <c r="AH514" s="10"/>
      <c r="AI514" s="14">
        <f t="shared" si="81"/>
        <v>0.94223625557206536</v>
      </c>
      <c r="AJ514" s="10"/>
      <c r="AK514" s="10"/>
      <c r="AL514" s="10"/>
      <c r="AM514"/>
      <c r="AN514" s="10"/>
      <c r="AO514" s="10"/>
      <c r="AP514" s="10"/>
      <c r="AQ514" s="10">
        <v>75</v>
      </c>
      <c r="AR514" s="10" t="s">
        <v>14</v>
      </c>
      <c r="AS514" s="10"/>
      <c r="AT514" s="10"/>
      <c r="AU514" s="10" t="s">
        <v>2</v>
      </c>
      <c r="AV514" s="10" t="s">
        <v>3</v>
      </c>
      <c r="AW514" s="10" t="s">
        <v>1199</v>
      </c>
    </row>
    <row r="515" spans="1:49" s="12" customFormat="1" x14ac:dyDescent="0.3">
      <c r="A515" s="10" t="s">
        <v>1373</v>
      </c>
      <c r="B515" s="10" t="s">
        <v>441</v>
      </c>
      <c r="C515" s="10" t="s">
        <v>1374</v>
      </c>
      <c r="D515" s="10" t="s">
        <v>1376</v>
      </c>
      <c r="E515" s="10">
        <v>1982</v>
      </c>
      <c r="F515" t="s">
        <v>2661</v>
      </c>
      <c r="G515" s="16" t="s">
        <v>1013</v>
      </c>
      <c r="H515" s="10" t="s">
        <v>217</v>
      </c>
      <c r="I515" s="10"/>
      <c r="J515" s="10" t="s">
        <v>1383</v>
      </c>
      <c r="K515" s="10">
        <v>4</v>
      </c>
      <c r="L515" s="10">
        <v>4</v>
      </c>
      <c r="M515" s="53"/>
      <c r="N515" s="10">
        <v>4073</v>
      </c>
      <c r="O515" s="10"/>
      <c r="P515" s="10">
        <v>7844</v>
      </c>
      <c r="Q515" s="10"/>
      <c r="R515" s="10"/>
      <c r="S515" s="10"/>
      <c r="T515" s="10"/>
      <c r="U515" s="10"/>
      <c r="V515" s="10">
        <v>5412</v>
      </c>
      <c r="W515" s="10"/>
      <c r="X515" s="10"/>
      <c r="Y515" s="10"/>
      <c r="Z515" s="10"/>
      <c r="AA515" s="10"/>
      <c r="AB515" s="10"/>
      <c r="AC515" s="10"/>
      <c r="AD515" s="10"/>
      <c r="AE515" s="10"/>
      <c r="AF515" s="10"/>
      <c r="AG515" s="10"/>
      <c r="AH515" s="10"/>
      <c r="AI515" s="14">
        <f t="shared" si="81"/>
        <v>0.68995410504844468</v>
      </c>
      <c r="AJ515" s="10"/>
      <c r="AK515" s="10"/>
      <c r="AL515" s="10"/>
      <c r="AM515"/>
      <c r="AN515" s="10"/>
      <c r="AO515" s="10"/>
      <c r="AP515" s="10"/>
      <c r="AQ515" s="10">
        <v>22</v>
      </c>
      <c r="AR515" s="10" t="s">
        <v>14</v>
      </c>
      <c r="AS515" s="10"/>
      <c r="AT515" s="10"/>
      <c r="AU515" s="10" t="s">
        <v>2</v>
      </c>
      <c r="AV515" s="10" t="s">
        <v>3</v>
      </c>
      <c r="AW515" s="10" t="s">
        <v>1199</v>
      </c>
    </row>
    <row r="516" spans="1:49" s="12" customFormat="1" x14ac:dyDescent="0.3">
      <c r="A516" s="10" t="s">
        <v>1373</v>
      </c>
      <c r="B516" s="10" t="s">
        <v>441</v>
      </c>
      <c r="C516" s="10" t="s">
        <v>1374</v>
      </c>
      <c r="D516" s="10" t="s">
        <v>1376</v>
      </c>
      <c r="E516" s="10">
        <v>1983</v>
      </c>
      <c r="F516" t="s">
        <v>2661</v>
      </c>
      <c r="G516" s="16" t="s">
        <v>1013</v>
      </c>
      <c r="H516" s="10" t="s">
        <v>217</v>
      </c>
      <c r="I516" s="10"/>
      <c r="J516" s="10" t="s">
        <v>1383</v>
      </c>
      <c r="K516" s="10">
        <v>4</v>
      </c>
      <c r="L516" s="10">
        <v>4</v>
      </c>
      <c r="M516" s="53"/>
      <c r="N516" s="10">
        <v>4364</v>
      </c>
      <c r="O516" s="10"/>
      <c r="P516" s="10">
        <v>5429</v>
      </c>
      <c r="Q516" s="10"/>
      <c r="R516" s="10"/>
      <c r="S516" s="10"/>
      <c r="T516" s="10"/>
      <c r="U516" s="10"/>
      <c r="V516" s="10">
        <v>5179</v>
      </c>
      <c r="W516" s="10"/>
      <c r="X516" s="10"/>
      <c r="Y516" s="10"/>
      <c r="Z516" s="10"/>
      <c r="AA516" s="10"/>
      <c r="AB516" s="10"/>
      <c r="AC516" s="10"/>
      <c r="AD516" s="10"/>
      <c r="AE516" s="10"/>
      <c r="AF516" s="10"/>
      <c r="AG516" s="10"/>
      <c r="AH516" s="10"/>
      <c r="AI516" s="14">
        <f t="shared" si="81"/>
        <v>0.95395100386811571</v>
      </c>
      <c r="AJ516" s="10"/>
      <c r="AK516" s="10"/>
      <c r="AL516" s="10"/>
      <c r="AM516"/>
      <c r="AN516" s="10"/>
      <c r="AO516" s="10"/>
      <c r="AP516" s="10"/>
      <c r="AQ516" s="10">
        <v>60</v>
      </c>
      <c r="AR516" s="10" t="s">
        <v>14</v>
      </c>
      <c r="AS516" s="10"/>
      <c r="AT516" s="10"/>
      <c r="AU516" s="10" t="s">
        <v>2</v>
      </c>
      <c r="AV516" s="10" t="s">
        <v>3</v>
      </c>
      <c r="AW516" s="10" t="s">
        <v>1199</v>
      </c>
    </row>
    <row r="517" spans="1:49" s="12" customFormat="1" x14ac:dyDescent="0.3">
      <c r="A517" s="10" t="s">
        <v>1373</v>
      </c>
      <c r="B517" s="10" t="s">
        <v>441</v>
      </c>
      <c r="C517" s="10" t="s">
        <v>1374</v>
      </c>
      <c r="D517" s="10" t="s">
        <v>1376</v>
      </c>
      <c r="E517" s="10">
        <v>1981</v>
      </c>
      <c r="F517" t="s">
        <v>2661</v>
      </c>
      <c r="G517" s="16" t="s">
        <v>1013</v>
      </c>
      <c r="H517" s="10" t="s">
        <v>217</v>
      </c>
      <c r="I517" s="10"/>
      <c r="J517" s="10" t="s">
        <v>1384</v>
      </c>
      <c r="K517" s="10">
        <v>4</v>
      </c>
      <c r="L517" s="10">
        <v>4</v>
      </c>
      <c r="M517" s="53"/>
      <c r="N517" s="10">
        <v>4790</v>
      </c>
      <c r="O517" s="10"/>
      <c r="P517" s="10">
        <v>5256</v>
      </c>
      <c r="Q517" s="10"/>
      <c r="R517" s="10"/>
      <c r="S517" s="10"/>
      <c r="T517" s="10"/>
      <c r="U517" s="10"/>
      <c r="V517" s="10">
        <v>4726</v>
      </c>
      <c r="W517" s="10"/>
      <c r="X517" s="10"/>
      <c r="Y517" s="10"/>
      <c r="Z517" s="10"/>
      <c r="AA517" s="10"/>
      <c r="AB517" s="10"/>
      <c r="AC517" s="10"/>
      <c r="AD517" s="10"/>
      <c r="AE517" s="10"/>
      <c r="AF517" s="10"/>
      <c r="AG517" s="10"/>
      <c r="AH517" s="10"/>
      <c r="AI517" s="14">
        <f t="shared" si="81"/>
        <v>0.89916286149162861</v>
      </c>
      <c r="AJ517" s="10"/>
      <c r="AK517" s="10"/>
      <c r="AL517" s="10"/>
      <c r="AM517"/>
      <c r="AN517" s="10"/>
      <c r="AO517" s="10"/>
      <c r="AP517" s="10"/>
      <c r="AQ517" s="10">
        <v>75</v>
      </c>
      <c r="AR517" s="10" t="s">
        <v>14</v>
      </c>
      <c r="AS517" s="10"/>
      <c r="AT517" s="10"/>
      <c r="AU517" s="10" t="s">
        <v>2</v>
      </c>
      <c r="AV517" s="10" t="s">
        <v>3</v>
      </c>
      <c r="AW517" s="10" t="s">
        <v>1199</v>
      </c>
    </row>
    <row r="518" spans="1:49" s="12" customFormat="1" x14ac:dyDescent="0.3">
      <c r="A518" s="10" t="s">
        <v>1373</v>
      </c>
      <c r="B518" s="10" t="s">
        <v>441</v>
      </c>
      <c r="C518" s="10" t="s">
        <v>1374</v>
      </c>
      <c r="D518" s="10" t="s">
        <v>1376</v>
      </c>
      <c r="E518" s="10">
        <v>1982</v>
      </c>
      <c r="F518" t="s">
        <v>2661</v>
      </c>
      <c r="G518" s="16" t="s">
        <v>1013</v>
      </c>
      <c r="H518" s="10" t="s">
        <v>217</v>
      </c>
      <c r="I518" s="10"/>
      <c r="J518" s="10" t="s">
        <v>1384</v>
      </c>
      <c r="K518" s="10">
        <v>4</v>
      </c>
      <c r="L518" s="10">
        <v>4</v>
      </c>
      <c r="M518" s="53"/>
      <c r="N518" s="10">
        <v>4524</v>
      </c>
      <c r="O518" s="10"/>
      <c r="P518" s="10">
        <v>7844</v>
      </c>
      <c r="Q518" s="10"/>
      <c r="R518" s="10"/>
      <c r="S518" s="10"/>
      <c r="T518" s="10"/>
      <c r="U518" s="10"/>
      <c r="V518" s="10">
        <v>4456</v>
      </c>
      <c r="W518" s="10"/>
      <c r="X518" s="10"/>
      <c r="Y518" s="10"/>
      <c r="Z518" s="10"/>
      <c r="AA518" s="10"/>
      <c r="AB518" s="10"/>
      <c r="AC518" s="10"/>
      <c r="AD518" s="10"/>
      <c r="AE518" s="10"/>
      <c r="AF518" s="10"/>
      <c r="AG518" s="10"/>
      <c r="AH518" s="10"/>
      <c r="AI518" s="14">
        <f t="shared" si="81"/>
        <v>0.56807751147373786</v>
      </c>
      <c r="AJ518" s="10"/>
      <c r="AK518" s="10"/>
      <c r="AL518" s="10"/>
      <c r="AM518"/>
      <c r="AN518" s="10"/>
      <c r="AO518" s="10"/>
      <c r="AP518" s="10"/>
      <c r="AQ518" s="10">
        <v>22</v>
      </c>
      <c r="AR518" s="10" t="s">
        <v>14</v>
      </c>
      <c r="AS518" s="10"/>
      <c r="AT518" s="10"/>
      <c r="AU518" s="10" t="s">
        <v>2</v>
      </c>
      <c r="AV518" s="10" t="s">
        <v>3</v>
      </c>
      <c r="AW518" s="10" t="s">
        <v>1199</v>
      </c>
    </row>
    <row r="519" spans="1:49" s="12" customFormat="1" x14ac:dyDescent="0.3">
      <c r="A519" s="10" t="s">
        <v>1373</v>
      </c>
      <c r="B519" s="10" t="s">
        <v>441</v>
      </c>
      <c r="C519" s="10" t="s">
        <v>1374</v>
      </c>
      <c r="D519" s="10" t="s">
        <v>1376</v>
      </c>
      <c r="E519" s="10">
        <v>1983</v>
      </c>
      <c r="F519" t="s">
        <v>2661</v>
      </c>
      <c r="G519" s="16" t="s">
        <v>1013</v>
      </c>
      <c r="H519" s="10" t="s">
        <v>217</v>
      </c>
      <c r="I519" s="10"/>
      <c r="J519" s="10" t="s">
        <v>1384</v>
      </c>
      <c r="K519" s="10">
        <v>4</v>
      </c>
      <c r="L519" s="10">
        <v>4</v>
      </c>
      <c r="M519" s="53"/>
      <c r="N519" s="10">
        <v>3270</v>
      </c>
      <c r="O519" s="10"/>
      <c r="P519" s="10">
        <v>5429</v>
      </c>
      <c r="Q519" s="10"/>
      <c r="R519" s="10"/>
      <c r="S519" s="10"/>
      <c r="T519" s="10"/>
      <c r="U519" s="10"/>
      <c r="V519" s="10">
        <v>4407</v>
      </c>
      <c r="W519" s="10"/>
      <c r="X519" s="10"/>
      <c r="Y519" s="10"/>
      <c r="Z519" s="10"/>
      <c r="AA519" s="10"/>
      <c r="AB519" s="10"/>
      <c r="AC519" s="10"/>
      <c r="AD519" s="10"/>
      <c r="AE519" s="10"/>
      <c r="AF519" s="10"/>
      <c r="AG519" s="10"/>
      <c r="AH519" s="10"/>
      <c r="AI519" s="14">
        <f t="shared" si="81"/>
        <v>0.81175170381285688</v>
      </c>
      <c r="AJ519" s="10"/>
      <c r="AK519" s="10"/>
      <c r="AL519" s="10"/>
      <c r="AM519"/>
      <c r="AN519" s="10"/>
      <c r="AO519" s="10"/>
      <c r="AP519" s="10"/>
      <c r="AQ519" s="10">
        <v>60</v>
      </c>
      <c r="AR519" s="10" t="s">
        <v>14</v>
      </c>
      <c r="AS519" s="10"/>
      <c r="AT519" s="10"/>
      <c r="AU519" s="10" t="s">
        <v>2</v>
      </c>
      <c r="AV519" s="10" t="s">
        <v>3</v>
      </c>
      <c r="AW519" s="10" t="s">
        <v>1199</v>
      </c>
    </row>
    <row r="520" spans="1:49" s="12" customFormat="1" x14ac:dyDescent="0.3">
      <c r="A520" s="10" t="s">
        <v>1373</v>
      </c>
      <c r="B520" s="10" t="s">
        <v>441</v>
      </c>
      <c r="C520" s="10" t="s">
        <v>1374</v>
      </c>
      <c r="D520" s="10" t="s">
        <v>1376</v>
      </c>
      <c r="E520" s="10">
        <v>1981</v>
      </c>
      <c r="F520" t="s">
        <v>2661</v>
      </c>
      <c r="G520" s="16" t="s">
        <v>1013</v>
      </c>
      <c r="H520" s="10" t="s">
        <v>217</v>
      </c>
      <c r="I520" s="10"/>
      <c r="J520" s="10" t="s">
        <v>1385</v>
      </c>
      <c r="K520" s="10">
        <v>4</v>
      </c>
      <c r="L520" s="10">
        <v>4</v>
      </c>
      <c r="M520" s="53"/>
      <c r="N520" s="10">
        <v>5195</v>
      </c>
      <c r="O520" s="10"/>
      <c r="P520" s="10">
        <v>3260</v>
      </c>
      <c r="Q520" s="10"/>
      <c r="R520" s="10"/>
      <c r="S520" s="10"/>
      <c r="T520" s="10"/>
      <c r="U520" s="10"/>
      <c r="V520" s="10">
        <v>3996</v>
      </c>
      <c r="W520" s="10"/>
      <c r="X520" s="10"/>
      <c r="Y520" s="10"/>
      <c r="Z520" s="10"/>
      <c r="AA520" s="10"/>
      <c r="AB520" s="10"/>
      <c r="AC520" s="10"/>
      <c r="AD520" s="10"/>
      <c r="AE520" s="10"/>
      <c r="AF520" s="10"/>
      <c r="AG520" s="10"/>
      <c r="AH520" s="10"/>
      <c r="AI520" s="14">
        <f t="shared" si="81"/>
        <v>0.76920115495668917</v>
      </c>
      <c r="AJ520" s="10"/>
      <c r="AK520" s="10"/>
      <c r="AL520" s="10"/>
      <c r="AM520"/>
      <c r="AN520" s="10"/>
      <c r="AO520" s="10"/>
      <c r="AP520" s="10"/>
      <c r="AQ520" s="10">
        <v>75</v>
      </c>
      <c r="AR520" s="10" t="s">
        <v>14</v>
      </c>
      <c r="AS520" s="10"/>
      <c r="AT520" s="10"/>
      <c r="AU520" s="10" t="s">
        <v>2</v>
      </c>
      <c r="AV520" s="10" t="s">
        <v>3</v>
      </c>
      <c r="AW520" s="10" t="s">
        <v>1199</v>
      </c>
    </row>
    <row r="521" spans="1:49" s="12" customFormat="1" x14ac:dyDescent="0.3">
      <c r="A521" s="10" t="s">
        <v>1373</v>
      </c>
      <c r="B521" s="10" t="s">
        <v>441</v>
      </c>
      <c r="C521" s="10" t="s">
        <v>1374</v>
      </c>
      <c r="D521" s="10" t="s">
        <v>1376</v>
      </c>
      <c r="E521" s="10">
        <v>1982</v>
      </c>
      <c r="F521" t="s">
        <v>2661</v>
      </c>
      <c r="G521" s="16" t="s">
        <v>1013</v>
      </c>
      <c r="H521" s="10" t="s">
        <v>217</v>
      </c>
      <c r="I521" s="10"/>
      <c r="J521" s="10" t="s">
        <v>1385</v>
      </c>
      <c r="K521" s="10">
        <v>4</v>
      </c>
      <c r="L521" s="10">
        <v>4</v>
      </c>
      <c r="M521" s="53"/>
      <c r="N521" s="10">
        <v>4337</v>
      </c>
      <c r="O521" s="10"/>
      <c r="P521" s="10">
        <v>5482</v>
      </c>
      <c r="Q521" s="10"/>
      <c r="R521" s="10"/>
      <c r="S521" s="10"/>
      <c r="T521" s="10"/>
      <c r="U521" s="10"/>
      <c r="V521" s="10">
        <v>3903</v>
      </c>
      <c r="W521" s="10"/>
      <c r="X521" s="10"/>
      <c r="Y521" s="10"/>
      <c r="Z521" s="10"/>
      <c r="AA521" s="10"/>
      <c r="AB521" s="10"/>
      <c r="AC521" s="10"/>
      <c r="AD521" s="10"/>
      <c r="AE521" s="10"/>
      <c r="AF521" s="10"/>
      <c r="AG521" s="10"/>
      <c r="AH521" s="10"/>
      <c r="AI521" s="14">
        <f t="shared" si="81"/>
        <v>0.71196643560744255</v>
      </c>
      <c r="AJ521" s="10"/>
      <c r="AK521" s="10"/>
      <c r="AL521" s="10"/>
      <c r="AM521"/>
      <c r="AN521" s="10"/>
      <c r="AO521" s="10"/>
      <c r="AP521" s="10"/>
      <c r="AQ521" s="10">
        <v>22</v>
      </c>
      <c r="AR521" s="10" t="s">
        <v>14</v>
      </c>
      <c r="AS521" s="10"/>
      <c r="AT521" s="10"/>
      <c r="AU521" s="10" t="s">
        <v>2</v>
      </c>
      <c r="AV521" s="10" t="s">
        <v>3</v>
      </c>
      <c r="AW521" s="10" t="s">
        <v>1199</v>
      </c>
    </row>
    <row r="522" spans="1:49" s="12" customFormat="1" x14ac:dyDescent="0.3">
      <c r="A522" s="10" t="s">
        <v>1373</v>
      </c>
      <c r="B522" s="10" t="s">
        <v>441</v>
      </c>
      <c r="C522" s="10" t="s">
        <v>1374</v>
      </c>
      <c r="D522" s="10" t="s">
        <v>1376</v>
      </c>
      <c r="E522" s="10">
        <v>1983</v>
      </c>
      <c r="F522" t="s">
        <v>2661</v>
      </c>
      <c r="G522" s="16" t="s">
        <v>1013</v>
      </c>
      <c r="H522" s="10" t="s">
        <v>217</v>
      </c>
      <c r="I522" s="10"/>
      <c r="J522" s="10" t="s">
        <v>1385</v>
      </c>
      <c r="K522" s="10">
        <v>4</v>
      </c>
      <c r="L522" s="10">
        <v>4</v>
      </c>
      <c r="M522" s="53"/>
      <c r="N522" s="10">
        <v>3799</v>
      </c>
      <c r="O522" s="10"/>
      <c r="P522" s="10">
        <v>4661</v>
      </c>
      <c r="Q522" s="10"/>
      <c r="R522" s="10"/>
      <c r="S522" s="10"/>
      <c r="T522" s="10"/>
      <c r="U522" s="10"/>
      <c r="V522" s="10">
        <v>3758</v>
      </c>
      <c r="W522" s="10"/>
      <c r="X522" s="10"/>
      <c r="Y522" s="10"/>
      <c r="Z522" s="10"/>
      <c r="AA522" s="10"/>
      <c r="AB522" s="10"/>
      <c r="AC522" s="10"/>
      <c r="AD522" s="10"/>
      <c r="AE522" s="10"/>
      <c r="AF522" s="10"/>
      <c r="AG522" s="10"/>
      <c r="AH522" s="10"/>
      <c r="AI522" s="14">
        <f t="shared" si="81"/>
        <v>0.80626475005363651</v>
      </c>
      <c r="AJ522" s="10"/>
      <c r="AK522" s="10"/>
      <c r="AL522" s="10"/>
      <c r="AM522"/>
      <c r="AN522" s="10"/>
      <c r="AO522" s="10"/>
      <c r="AP522" s="10"/>
      <c r="AQ522" s="10">
        <v>60</v>
      </c>
      <c r="AR522" s="10" t="s">
        <v>14</v>
      </c>
      <c r="AS522" s="10"/>
      <c r="AT522" s="10"/>
      <c r="AU522" s="10" t="s">
        <v>2</v>
      </c>
      <c r="AV522" s="10" t="s">
        <v>3</v>
      </c>
      <c r="AW522" s="10" t="s">
        <v>1199</v>
      </c>
    </row>
    <row r="523" spans="1:49" s="12" customFormat="1" x14ac:dyDescent="0.3">
      <c r="A523" s="10" t="s">
        <v>1373</v>
      </c>
      <c r="B523" s="10" t="s">
        <v>441</v>
      </c>
      <c r="C523" s="10" t="s">
        <v>1374</v>
      </c>
      <c r="D523" s="10" t="s">
        <v>1376</v>
      </c>
      <c r="E523" s="10">
        <v>1981</v>
      </c>
      <c r="F523" t="s">
        <v>2661</v>
      </c>
      <c r="G523" s="16" t="s">
        <v>1013</v>
      </c>
      <c r="H523" s="10" t="s">
        <v>217</v>
      </c>
      <c r="I523" s="10"/>
      <c r="J523" s="10" t="s">
        <v>1386</v>
      </c>
      <c r="K523" s="10">
        <v>4</v>
      </c>
      <c r="L523" s="10">
        <v>4</v>
      </c>
      <c r="M523" s="53"/>
      <c r="N523" s="10">
        <v>8202</v>
      </c>
      <c r="O523" s="10"/>
      <c r="P523" s="10">
        <v>3260</v>
      </c>
      <c r="Q523" s="10"/>
      <c r="R523" s="10"/>
      <c r="S523" s="10"/>
      <c r="T523" s="10"/>
      <c r="U523" s="10"/>
      <c r="V523" s="10">
        <v>6243</v>
      </c>
      <c r="W523" s="10"/>
      <c r="X523" s="10"/>
      <c r="Y523" s="10"/>
      <c r="Z523" s="10"/>
      <c r="AA523" s="10"/>
      <c r="AB523" s="10"/>
      <c r="AC523" s="10"/>
      <c r="AD523" s="10"/>
      <c r="AE523" s="10"/>
      <c r="AF523" s="10"/>
      <c r="AG523" s="10"/>
      <c r="AH523" s="10"/>
      <c r="AI523" s="14">
        <f t="shared" si="81"/>
        <v>0.76115581565471835</v>
      </c>
      <c r="AJ523" s="10"/>
      <c r="AK523" s="10"/>
      <c r="AL523" s="10"/>
      <c r="AM523"/>
      <c r="AN523" s="10"/>
      <c r="AO523" s="10"/>
      <c r="AP523" s="10"/>
      <c r="AQ523" s="10">
        <v>75</v>
      </c>
      <c r="AR523" s="10" t="s">
        <v>14</v>
      </c>
      <c r="AS523" s="10"/>
      <c r="AT523" s="10"/>
      <c r="AU523" s="10" t="s">
        <v>2</v>
      </c>
      <c r="AV523" s="10" t="s">
        <v>3</v>
      </c>
      <c r="AW523" s="10" t="s">
        <v>1199</v>
      </c>
    </row>
    <row r="524" spans="1:49" s="12" customFormat="1" x14ac:dyDescent="0.3">
      <c r="A524" s="10" t="s">
        <v>1373</v>
      </c>
      <c r="B524" s="10" t="s">
        <v>441</v>
      </c>
      <c r="C524" s="10" t="s">
        <v>1374</v>
      </c>
      <c r="D524" s="10" t="s">
        <v>1376</v>
      </c>
      <c r="E524" s="10">
        <v>1982</v>
      </c>
      <c r="F524" t="s">
        <v>2661</v>
      </c>
      <c r="G524" s="16" t="s">
        <v>1013</v>
      </c>
      <c r="H524" s="10" t="s">
        <v>217</v>
      </c>
      <c r="I524" s="10"/>
      <c r="J524" s="10" t="s">
        <v>1386</v>
      </c>
      <c r="K524" s="10">
        <v>4</v>
      </c>
      <c r="L524" s="10">
        <v>4</v>
      </c>
      <c r="M524" s="53"/>
      <c r="N524" s="10">
        <v>7758</v>
      </c>
      <c r="O524" s="10"/>
      <c r="P524" s="10">
        <v>5482</v>
      </c>
      <c r="Q524" s="10"/>
      <c r="R524" s="10"/>
      <c r="S524" s="10"/>
      <c r="T524" s="10"/>
      <c r="U524" s="10"/>
      <c r="V524" s="10">
        <v>6031</v>
      </c>
      <c r="W524" s="10"/>
      <c r="X524" s="10"/>
      <c r="Y524" s="10"/>
      <c r="Z524" s="10"/>
      <c r="AA524" s="10"/>
      <c r="AB524" s="10"/>
      <c r="AC524" s="10"/>
      <c r="AD524" s="10"/>
      <c r="AE524" s="10"/>
      <c r="AF524" s="10"/>
      <c r="AG524" s="10"/>
      <c r="AH524" s="10"/>
      <c r="AI524" s="14">
        <f t="shared" ref="AI524:AI531" si="82">MIN(V524/N524,V524/P524)</f>
        <v>0.7773910801753029</v>
      </c>
      <c r="AJ524" s="10"/>
      <c r="AK524" s="10"/>
      <c r="AL524" s="10"/>
      <c r="AM524"/>
      <c r="AN524" s="10"/>
      <c r="AO524" s="10"/>
      <c r="AP524" s="10"/>
      <c r="AQ524" s="10">
        <v>22</v>
      </c>
      <c r="AR524" s="10" t="s">
        <v>14</v>
      </c>
      <c r="AS524" s="10"/>
      <c r="AT524" s="10"/>
      <c r="AU524" s="10" t="s">
        <v>2</v>
      </c>
      <c r="AV524" s="10" t="s">
        <v>3</v>
      </c>
      <c r="AW524" s="10" t="s">
        <v>1199</v>
      </c>
    </row>
    <row r="525" spans="1:49" s="12" customFormat="1" x14ac:dyDescent="0.3">
      <c r="A525" s="10" t="s">
        <v>1373</v>
      </c>
      <c r="B525" s="10" t="s">
        <v>441</v>
      </c>
      <c r="C525" s="10" t="s">
        <v>1374</v>
      </c>
      <c r="D525" s="10" t="s">
        <v>1376</v>
      </c>
      <c r="E525" s="10">
        <v>1983</v>
      </c>
      <c r="F525" t="s">
        <v>2661</v>
      </c>
      <c r="G525" s="16" t="s">
        <v>1013</v>
      </c>
      <c r="H525" s="10" t="s">
        <v>217</v>
      </c>
      <c r="I525" s="10"/>
      <c r="J525" s="10" t="s">
        <v>1386</v>
      </c>
      <c r="K525" s="10">
        <v>4</v>
      </c>
      <c r="L525" s="10">
        <v>4</v>
      </c>
      <c r="M525" s="53"/>
      <c r="N525" s="10">
        <v>8097</v>
      </c>
      <c r="O525" s="10"/>
      <c r="P525" s="10">
        <v>4661</v>
      </c>
      <c r="Q525" s="10"/>
      <c r="R525" s="10"/>
      <c r="S525" s="10"/>
      <c r="T525" s="10"/>
      <c r="U525" s="10"/>
      <c r="V525" s="10">
        <v>6494</v>
      </c>
      <c r="W525" s="10"/>
      <c r="X525" s="10"/>
      <c r="Y525" s="10"/>
      <c r="Z525" s="10"/>
      <c r="AA525" s="10"/>
      <c r="AB525" s="10"/>
      <c r="AC525" s="10"/>
      <c r="AD525" s="10"/>
      <c r="AE525" s="10"/>
      <c r="AF525" s="10"/>
      <c r="AG525" s="10"/>
      <c r="AH525" s="10"/>
      <c r="AI525" s="14">
        <f t="shared" si="82"/>
        <v>0.8020254415215512</v>
      </c>
      <c r="AJ525" s="10"/>
      <c r="AK525" s="10"/>
      <c r="AL525" s="10"/>
      <c r="AM525"/>
      <c r="AN525" s="10"/>
      <c r="AO525" s="10"/>
      <c r="AP525" s="10"/>
      <c r="AQ525" s="10">
        <v>60</v>
      </c>
      <c r="AR525" s="10" t="s">
        <v>14</v>
      </c>
      <c r="AS525" s="10"/>
      <c r="AT525" s="10"/>
      <c r="AU525" s="10" t="s">
        <v>2</v>
      </c>
      <c r="AV525" s="10" t="s">
        <v>3</v>
      </c>
      <c r="AW525" s="10" t="s">
        <v>1199</v>
      </c>
    </row>
    <row r="526" spans="1:49" s="12" customFormat="1" x14ac:dyDescent="0.3">
      <c r="A526" s="10" t="s">
        <v>1373</v>
      </c>
      <c r="B526" s="10" t="s">
        <v>441</v>
      </c>
      <c r="C526" s="10" t="s">
        <v>1374</v>
      </c>
      <c r="D526" s="10" t="s">
        <v>1376</v>
      </c>
      <c r="E526" s="10">
        <v>1981</v>
      </c>
      <c r="F526" t="s">
        <v>2661</v>
      </c>
      <c r="G526" s="16" t="s">
        <v>1013</v>
      </c>
      <c r="H526" s="10" t="s">
        <v>217</v>
      </c>
      <c r="I526" s="10"/>
      <c r="J526" s="10" t="s">
        <v>735</v>
      </c>
      <c r="K526" s="10">
        <v>4</v>
      </c>
      <c r="L526" s="10">
        <v>4</v>
      </c>
      <c r="M526" s="53"/>
      <c r="N526" s="10">
        <v>5384</v>
      </c>
      <c r="O526" s="10"/>
      <c r="P526" s="10">
        <v>3260</v>
      </c>
      <c r="Q526" s="10"/>
      <c r="R526" s="10"/>
      <c r="S526" s="10"/>
      <c r="T526" s="10"/>
      <c r="U526" s="10"/>
      <c r="V526" s="10">
        <v>3850</v>
      </c>
      <c r="W526" s="10"/>
      <c r="X526" s="10"/>
      <c r="Y526" s="10"/>
      <c r="Z526" s="10"/>
      <c r="AA526" s="10"/>
      <c r="AB526" s="10"/>
      <c r="AC526" s="10"/>
      <c r="AD526" s="10"/>
      <c r="AE526" s="10"/>
      <c r="AF526" s="10"/>
      <c r="AG526" s="10"/>
      <c r="AH526" s="10"/>
      <c r="AI526" s="14">
        <f t="shared" si="82"/>
        <v>0.71508172362555722</v>
      </c>
      <c r="AJ526" s="10"/>
      <c r="AK526" s="10"/>
      <c r="AL526" s="10"/>
      <c r="AM526"/>
      <c r="AN526" s="10"/>
      <c r="AO526" s="10"/>
      <c r="AP526" s="10"/>
      <c r="AQ526" s="10">
        <v>75</v>
      </c>
      <c r="AR526" s="10" t="s">
        <v>14</v>
      </c>
      <c r="AS526" s="10"/>
      <c r="AT526" s="10"/>
      <c r="AU526" s="10" t="s">
        <v>2</v>
      </c>
      <c r="AV526" s="10" t="s">
        <v>3</v>
      </c>
      <c r="AW526" s="10" t="s">
        <v>1199</v>
      </c>
    </row>
    <row r="527" spans="1:49" s="12" customFormat="1" x14ac:dyDescent="0.3">
      <c r="A527" s="10" t="s">
        <v>1373</v>
      </c>
      <c r="B527" s="10" t="s">
        <v>441</v>
      </c>
      <c r="C527" s="10" t="s">
        <v>1374</v>
      </c>
      <c r="D527" s="10" t="s">
        <v>1376</v>
      </c>
      <c r="E527" s="10">
        <v>1982</v>
      </c>
      <c r="F527" t="s">
        <v>2661</v>
      </c>
      <c r="G527" s="16" t="s">
        <v>1013</v>
      </c>
      <c r="H527" s="10" t="s">
        <v>217</v>
      </c>
      <c r="I527" s="10"/>
      <c r="J527" s="10" t="s">
        <v>735</v>
      </c>
      <c r="K527" s="10">
        <v>4</v>
      </c>
      <c r="L527" s="10">
        <v>4</v>
      </c>
      <c r="M527" s="53"/>
      <c r="N527" s="10">
        <v>4073</v>
      </c>
      <c r="O527" s="10"/>
      <c r="P527" s="10">
        <v>5482</v>
      </c>
      <c r="Q527" s="10"/>
      <c r="R527" s="10"/>
      <c r="S527" s="10"/>
      <c r="T527" s="10"/>
      <c r="U527" s="10"/>
      <c r="V527" s="10">
        <v>3486</v>
      </c>
      <c r="W527" s="10"/>
      <c r="X527" s="10"/>
      <c r="Y527" s="10"/>
      <c r="Z527" s="10"/>
      <c r="AA527" s="10"/>
      <c r="AB527" s="10"/>
      <c r="AC527" s="10"/>
      <c r="AD527" s="10"/>
      <c r="AE527" s="10"/>
      <c r="AF527" s="10"/>
      <c r="AG527" s="10"/>
      <c r="AH527" s="10"/>
      <c r="AI527" s="14">
        <f t="shared" si="82"/>
        <v>0.63589930682232765</v>
      </c>
      <c r="AJ527" s="10"/>
      <c r="AK527" s="10"/>
      <c r="AL527" s="10"/>
      <c r="AM527"/>
      <c r="AN527" s="10"/>
      <c r="AO527" s="10"/>
      <c r="AP527" s="10"/>
      <c r="AQ527" s="10">
        <v>22</v>
      </c>
      <c r="AR527" s="10" t="s">
        <v>14</v>
      </c>
      <c r="AS527" s="10"/>
      <c r="AT527" s="10"/>
      <c r="AU527" s="10" t="s">
        <v>2</v>
      </c>
      <c r="AV527" s="10" t="s">
        <v>3</v>
      </c>
      <c r="AW527" s="10" t="s">
        <v>1199</v>
      </c>
    </row>
    <row r="528" spans="1:49" s="12" customFormat="1" x14ac:dyDescent="0.3">
      <c r="A528" s="10" t="s">
        <v>1373</v>
      </c>
      <c r="B528" s="10" t="s">
        <v>441</v>
      </c>
      <c r="C528" s="10" t="s">
        <v>1374</v>
      </c>
      <c r="D528" s="10" t="s">
        <v>1376</v>
      </c>
      <c r="E528" s="10">
        <v>1983</v>
      </c>
      <c r="F528" t="s">
        <v>2661</v>
      </c>
      <c r="G528" s="16" t="s">
        <v>1013</v>
      </c>
      <c r="H528" s="10" t="s">
        <v>217</v>
      </c>
      <c r="I528" s="10"/>
      <c r="J528" s="10" t="s">
        <v>735</v>
      </c>
      <c r="K528" s="10">
        <v>4</v>
      </c>
      <c r="L528" s="10">
        <v>4</v>
      </c>
      <c r="M528" s="53"/>
      <c r="N528" s="10">
        <v>4364</v>
      </c>
      <c r="O528" s="10"/>
      <c r="P528" s="10">
        <v>4661</v>
      </c>
      <c r="Q528" s="10"/>
      <c r="R528" s="10"/>
      <c r="S528" s="10"/>
      <c r="T528" s="10"/>
      <c r="U528" s="10"/>
      <c r="V528" s="10">
        <v>4333</v>
      </c>
      <c r="W528" s="10"/>
      <c r="X528" s="10"/>
      <c r="Y528" s="10"/>
      <c r="Z528" s="10"/>
      <c r="AA528" s="10"/>
      <c r="AB528" s="10"/>
      <c r="AC528" s="10"/>
      <c r="AD528" s="10"/>
      <c r="AE528" s="10"/>
      <c r="AF528" s="10"/>
      <c r="AG528" s="10"/>
      <c r="AH528" s="10"/>
      <c r="AI528" s="14">
        <f t="shared" si="82"/>
        <v>0.92962883501394555</v>
      </c>
      <c r="AJ528" s="10"/>
      <c r="AK528" s="10"/>
      <c r="AL528" s="10"/>
      <c r="AM528"/>
      <c r="AN528" s="10"/>
      <c r="AO528" s="10"/>
      <c r="AP528" s="10"/>
      <c r="AQ528" s="10">
        <v>60</v>
      </c>
      <c r="AR528" s="10" t="s">
        <v>14</v>
      </c>
      <c r="AS528" s="10"/>
      <c r="AT528" s="10"/>
      <c r="AU528" s="10" t="s">
        <v>2</v>
      </c>
      <c r="AV528" s="10" t="s">
        <v>3</v>
      </c>
      <c r="AW528" s="10" t="s">
        <v>1199</v>
      </c>
    </row>
    <row r="529" spans="1:49" s="12" customFormat="1" x14ac:dyDescent="0.3">
      <c r="A529" s="10" t="s">
        <v>1373</v>
      </c>
      <c r="B529" s="10" t="s">
        <v>441</v>
      </c>
      <c r="C529" s="10" t="s">
        <v>1374</v>
      </c>
      <c r="D529" s="10" t="s">
        <v>1376</v>
      </c>
      <c r="E529" s="10">
        <v>1981</v>
      </c>
      <c r="F529" t="s">
        <v>2661</v>
      </c>
      <c r="G529" s="16" t="s">
        <v>1013</v>
      </c>
      <c r="H529" s="10" t="s">
        <v>217</v>
      </c>
      <c r="I529" s="10"/>
      <c r="J529" s="10" t="s">
        <v>1387</v>
      </c>
      <c r="K529" s="10">
        <v>4</v>
      </c>
      <c r="L529" s="10">
        <v>4</v>
      </c>
      <c r="M529" s="53"/>
      <c r="N529" s="10">
        <v>4790</v>
      </c>
      <c r="O529" s="10"/>
      <c r="P529" s="10">
        <v>3260</v>
      </c>
      <c r="Q529" s="10"/>
      <c r="R529" s="10"/>
      <c r="S529" s="10"/>
      <c r="T529" s="10"/>
      <c r="U529" s="10"/>
      <c r="V529" s="10">
        <v>4452</v>
      </c>
      <c r="W529" s="10"/>
      <c r="X529" s="10"/>
      <c r="Y529" s="10"/>
      <c r="Z529" s="10"/>
      <c r="AA529" s="10"/>
      <c r="AB529" s="10"/>
      <c r="AC529" s="10"/>
      <c r="AD529" s="10"/>
      <c r="AE529" s="10"/>
      <c r="AF529" s="10"/>
      <c r="AG529" s="10"/>
      <c r="AH529" s="10"/>
      <c r="AI529" s="14">
        <f t="shared" si="82"/>
        <v>0.92943632567849688</v>
      </c>
      <c r="AJ529" s="10"/>
      <c r="AK529" s="10"/>
      <c r="AL529" s="10"/>
      <c r="AM529"/>
      <c r="AN529" s="10"/>
      <c r="AO529" s="10"/>
      <c r="AP529" s="10"/>
      <c r="AQ529" s="10">
        <v>75</v>
      </c>
      <c r="AR529" s="10" t="s">
        <v>14</v>
      </c>
      <c r="AS529" s="10"/>
      <c r="AT529" s="10"/>
      <c r="AU529" s="10" t="s">
        <v>2</v>
      </c>
      <c r="AV529" s="10" t="s">
        <v>3</v>
      </c>
      <c r="AW529" s="10" t="s">
        <v>1199</v>
      </c>
    </row>
    <row r="530" spans="1:49" s="12" customFormat="1" x14ac:dyDescent="0.3">
      <c r="A530" s="10" t="s">
        <v>1373</v>
      </c>
      <c r="B530" s="10" t="s">
        <v>441</v>
      </c>
      <c r="C530" s="10" t="s">
        <v>1374</v>
      </c>
      <c r="D530" s="10" t="s">
        <v>1376</v>
      </c>
      <c r="E530" s="10">
        <v>1982</v>
      </c>
      <c r="F530" t="s">
        <v>2661</v>
      </c>
      <c r="G530" s="16" t="s">
        <v>1013</v>
      </c>
      <c r="H530" s="10" t="s">
        <v>217</v>
      </c>
      <c r="I530" s="10"/>
      <c r="J530" s="10" t="s">
        <v>1387</v>
      </c>
      <c r="K530" s="10">
        <v>4</v>
      </c>
      <c r="L530" s="10">
        <v>4</v>
      </c>
      <c r="M530" s="53"/>
      <c r="N530" s="10">
        <v>4524</v>
      </c>
      <c r="O530" s="10"/>
      <c r="P530" s="10">
        <v>5482</v>
      </c>
      <c r="Q530" s="10"/>
      <c r="R530" s="10"/>
      <c r="S530" s="10"/>
      <c r="T530" s="10"/>
      <c r="U530" s="10"/>
      <c r="V530" s="10">
        <v>3167</v>
      </c>
      <c r="W530" s="10"/>
      <c r="X530" s="10"/>
      <c r="Y530" s="10"/>
      <c r="Z530" s="10"/>
      <c r="AA530" s="10"/>
      <c r="AB530" s="10"/>
      <c r="AC530" s="10"/>
      <c r="AD530" s="10"/>
      <c r="AE530" s="10"/>
      <c r="AF530" s="10"/>
      <c r="AG530" s="10"/>
      <c r="AH530" s="10"/>
      <c r="AI530" s="14">
        <f t="shared" si="82"/>
        <v>0.57770886537759947</v>
      </c>
      <c r="AJ530" s="10"/>
      <c r="AK530" s="10"/>
      <c r="AL530" s="10"/>
      <c r="AM530"/>
      <c r="AN530" s="10"/>
      <c r="AO530" s="10"/>
      <c r="AP530" s="10"/>
      <c r="AQ530" s="10">
        <v>22</v>
      </c>
      <c r="AR530" s="10" t="s">
        <v>14</v>
      </c>
      <c r="AS530" s="10"/>
      <c r="AT530" s="10"/>
      <c r="AU530" s="10" t="s">
        <v>2</v>
      </c>
      <c r="AV530" s="10" t="s">
        <v>3</v>
      </c>
      <c r="AW530" s="10" t="s">
        <v>1199</v>
      </c>
    </row>
    <row r="531" spans="1:49" s="12" customFormat="1" x14ac:dyDescent="0.3">
      <c r="A531" s="10" t="s">
        <v>1373</v>
      </c>
      <c r="B531" s="10" t="s">
        <v>441</v>
      </c>
      <c r="C531" s="10" t="s">
        <v>1374</v>
      </c>
      <c r="D531" s="10" t="s">
        <v>1376</v>
      </c>
      <c r="E531" s="10">
        <v>1983</v>
      </c>
      <c r="F531" t="s">
        <v>2661</v>
      </c>
      <c r="G531" s="16" t="s">
        <v>1013</v>
      </c>
      <c r="H531" s="10" t="s">
        <v>217</v>
      </c>
      <c r="I531" s="10"/>
      <c r="J531" s="10" t="s">
        <v>1387</v>
      </c>
      <c r="K531" s="10">
        <v>4</v>
      </c>
      <c r="L531" s="10">
        <v>4</v>
      </c>
      <c r="M531" s="53"/>
      <c r="N531" s="10">
        <v>3270</v>
      </c>
      <c r="O531" s="10"/>
      <c r="P531" s="10">
        <v>4661</v>
      </c>
      <c r="Q531" s="10"/>
      <c r="R531" s="10"/>
      <c r="S531" s="10"/>
      <c r="T531" s="10"/>
      <c r="U531" s="10"/>
      <c r="V531" s="10">
        <v>3500</v>
      </c>
      <c r="W531" s="10"/>
      <c r="X531" s="10"/>
      <c r="Y531" s="10"/>
      <c r="Z531" s="10"/>
      <c r="AA531" s="10"/>
      <c r="AB531" s="10"/>
      <c r="AC531" s="10"/>
      <c r="AD531" s="10"/>
      <c r="AE531" s="10"/>
      <c r="AF531" s="10"/>
      <c r="AG531" s="10"/>
      <c r="AH531" s="10"/>
      <c r="AI531" s="14">
        <f t="shared" si="82"/>
        <v>0.75091182149753277</v>
      </c>
      <c r="AJ531" s="10"/>
      <c r="AK531" s="10"/>
      <c r="AL531" s="10"/>
      <c r="AM531"/>
      <c r="AN531" s="10"/>
      <c r="AO531" s="10"/>
      <c r="AP531" s="10"/>
      <c r="AQ531" s="10">
        <v>60</v>
      </c>
      <c r="AR531" s="10" t="s">
        <v>14</v>
      </c>
      <c r="AS531" s="10"/>
      <c r="AT531" s="10"/>
      <c r="AU531" s="10" t="s">
        <v>2</v>
      </c>
      <c r="AV531" s="10" t="s">
        <v>3</v>
      </c>
      <c r="AW531" s="10" t="s">
        <v>1199</v>
      </c>
    </row>
    <row r="532" spans="1:49" x14ac:dyDescent="0.3">
      <c r="A532" s="10" t="s">
        <v>1388</v>
      </c>
      <c r="B532" s="10" t="s">
        <v>441</v>
      </c>
      <c r="C532" s="10" t="s">
        <v>1374</v>
      </c>
      <c r="D532" s="10" t="s">
        <v>1375</v>
      </c>
      <c r="E532" s="10">
        <v>1988</v>
      </c>
      <c r="F532" t="s">
        <v>2661</v>
      </c>
      <c r="G532" s="16" t="s">
        <v>22</v>
      </c>
      <c r="H532" s="10" t="s">
        <v>17</v>
      </c>
      <c r="I532" s="10" t="s">
        <v>1390</v>
      </c>
      <c r="J532" s="10" t="s">
        <v>1389</v>
      </c>
      <c r="K532" s="10">
        <v>3</v>
      </c>
      <c r="L532" s="10">
        <v>3</v>
      </c>
      <c r="N532" s="10">
        <v>8.66</v>
      </c>
      <c r="O532" s="10"/>
      <c r="P532" s="10"/>
      <c r="Q532" s="10"/>
      <c r="R532" s="10"/>
      <c r="S532" s="10"/>
      <c r="T532" s="10"/>
      <c r="U532" s="10"/>
      <c r="V532" s="10">
        <v>9.1300000000000008</v>
      </c>
      <c r="W532" s="10"/>
      <c r="X532" s="10"/>
      <c r="Y532" s="10"/>
      <c r="Z532" s="10"/>
      <c r="AA532" s="10"/>
      <c r="AB532" s="10"/>
      <c r="AC532" s="10"/>
      <c r="AD532" s="10"/>
      <c r="AE532" s="10"/>
      <c r="AF532" s="10"/>
      <c r="AG532" s="10"/>
      <c r="AH532" s="10"/>
      <c r="AI532" s="14">
        <f t="shared" ref="AI532:AI563" si="83">V532/N532</f>
        <v>1.0542725173210163</v>
      </c>
      <c r="AJ532" s="10"/>
      <c r="AK532" s="10"/>
      <c r="AL532" s="10"/>
      <c r="AN532" s="10"/>
      <c r="AO532" s="10"/>
      <c r="AP532" s="10"/>
      <c r="AQ532" s="10">
        <v>0</v>
      </c>
      <c r="AR532" s="10" t="s">
        <v>308</v>
      </c>
      <c r="AS532" s="10"/>
      <c r="AT532" s="10"/>
      <c r="AU532" s="10" t="s">
        <v>2</v>
      </c>
      <c r="AV532" s="10" t="s">
        <v>3</v>
      </c>
      <c r="AW532" s="10" t="s">
        <v>1337</v>
      </c>
    </row>
    <row r="533" spans="1:49" x14ac:dyDescent="0.3">
      <c r="A533" s="10" t="s">
        <v>1388</v>
      </c>
      <c r="B533" s="10" t="s">
        <v>441</v>
      </c>
      <c r="C533" s="10" t="s">
        <v>1374</v>
      </c>
      <c r="D533" s="10" t="s">
        <v>1375</v>
      </c>
      <c r="E533" s="10">
        <v>1989</v>
      </c>
      <c r="F533" t="s">
        <v>2661</v>
      </c>
      <c r="G533" s="16" t="s">
        <v>22</v>
      </c>
      <c r="H533" s="10" t="s">
        <v>17</v>
      </c>
      <c r="I533" s="10" t="s">
        <v>1390</v>
      </c>
      <c r="J533" s="10" t="s">
        <v>1389</v>
      </c>
      <c r="K533" s="10">
        <v>3</v>
      </c>
      <c r="L533" s="10">
        <v>3</v>
      </c>
      <c r="N533" s="10">
        <v>6.42</v>
      </c>
      <c r="O533" s="10"/>
      <c r="P533" s="10"/>
      <c r="Q533" s="10"/>
      <c r="R533" s="10"/>
      <c r="S533" s="10"/>
      <c r="T533" s="10"/>
      <c r="U533" s="10"/>
      <c r="V533" s="10">
        <v>6.46</v>
      </c>
      <c r="W533" s="10"/>
      <c r="X533" s="10"/>
      <c r="Y533" s="10"/>
      <c r="Z533" s="10"/>
      <c r="AA533" s="10"/>
      <c r="AB533" s="10"/>
      <c r="AC533" s="10"/>
      <c r="AD533" s="10"/>
      <c r="AE533" s="10"/>
      <c r="AF533" s="10"/>
      <c r="AG533" s="10"/>
      <c r="AH533" s="10"/>
      <c r="AI533" s="14">
        <f t="shared" si="83"/>
        <v>1.0062305295950156</v>
      </c>
      <c r="AJ533" s="10"/>
      <c r="AK533" s="10"/>
      <c r="AL533" s="10"/>
      <c r="AN533" s="10"/>
      <c r="AO533" s="10"/>
      <c r="AP533" s="10"/>
      <c r="AQ533" s="10">
        <v>0</v>
      </c>
      <c r="AR533" s="10" t="s">
        <v>308</v>
      </c>
      <c r="AS533" s="10" t="s">
        <v>3</v>
      </c>
      <c r="AT533" s="10"/>
      <c r="AU533" s="10" t="s">
        <v>2</v>
      </c>
      <c r="AV533" s="10" t="s">
        <v>3</v>
      </c>
      <c r="AW533" s="10" t="s">
        <v>1337</v>
      </c>
    </row>
    <row r="534" spans="1:49" x14ac:dyDescent="0.3">
      <c r="A534" s="10" t="s">
        <v>1388</v>
      </c>
      <c r="B534" s="10" t="s">
        <v>441</v>
      </c>
      <c r="C534" s="10" t="s">
        <v>1374</v>
      </c>
      <c r="D534" s="10" t="s">
        <v>1375</v>
      </c>
      <c r="E534" s="10">
        <v>1990</v>
      </c>
      <c r="F534" t="s">
        <v>2661</v>
      </c>
      <c r="G534" s="16" t="s">
        <v>22</v>
      </c>
      <c r="H534" s="10" t="s">
        <v>17</v>
      </c>
      <c r="I534" s="10" t="s">
        <v>1390</v>
      </c>
      <c r="J534" s="10" t="s">
        <v>1389</v>
      </c>
      <c r="K534" s="10">
        <v>3</v>
      </c>
      <c r="L534" s="10">
        <v>3</v>
      </c>
      <c r="N534" s="10">
        <v>10.07</v>
      </c>
      <c r="O534" s="10"/>
      <c r="P534" s="10"/>
      <c r="Q534" s="10"/>
      <c r="R534" s="10"/>
      <c r="S534" s="10"/>
      <c r="T534" s="10"/>
      <c r="U534" s="10"/>
      <c r="V534" s="10">
        <v>10.64</v>
      </c>
      <c r="W534" s="10"/>
      <c r="X534" s="10"/>
      <c r="Y534" s="10"/>
      <c r="Z534" s="10"/>
      <c r="AA534" s="10"/>
      <c r="AB534" s="10"/>
      <c r="AC534" s="10"/>
      <c r="AD534" s="10"/>
      <c r="AE534" s="10"/>
      <c r="AF534" s="10"/>
      <c r="AG534" s="10"/>
      <c r="AH534" s="10"/>
      <c r="AI534" s="14">
        <f t="shared" si="83"/>
        <v>1.0566037735849056</v>
      </c>
      <c r="AJ534" s="10"/>
      <c r="AK534" s="10"/>
      <c r="AL534" s="10"/>
      <c r="AN534" s="10"/>
      <c r="AO534" s="10"/>
      <c r="AP534" s="10"/>
      <c r="AQ534" s="10">
        <v>0</v>
      </c>
      <c r="AR534" s="10" t="s">
        <v>308</v>
      </c>
      <c r="AS534" s="10"/>
      <c r="AT534" s="10"/>
      <c r="AU534" s="10" t="s">
        <v>2</v>
      </c>
      <c r="AV534" s="10" t="s">
        <v>3</v>
      </c>
      <c r="AW534" s="10" t="s">
        <v>1337</v>
      </c>
    </row>
    <row r="535" spans="1:49" x14ac:dyDescent="0.3">
      <c r="A535" s="10" t="s">
        <v>1388</v>
      </c>
      <c r="B535" s="10" t="s">
        <v>441</v>
      </c>
      <c r="C535" s="10" t="s">
        <v>1374</v>
      </c>
      <c r="D535" s="10" t="s">
        <v>1375</v>
      </c>
      <c r="E535" s="10">
        <v>1991</v>
      </c>
      <c r="F535" t="s">
        <v>2661</v>
      </c>
      <c r="G535" s="16" t="s">
        <v>22</v>
      </c>
      <c r="H535" s="10" t="s">
        <v>17</v>
      </c>
      <c r="I535" s="10" t="s">
        <v>1390</v>
      </c>
      <c r="J535" s="10" t="s">
        <v>1389</v>
      </c>
      <c r="K535" s="10">
        <v>3</v>
      </c>
      <c r="L535" s="10">
        <v>3</v>
      </c>
      <c r="N535" s="10">
        <v>6.93</v>
      </c>
      <c r="O535" s="10"/>
      <c r="P535" s="10"/>
      <c r="Q535" s="10"/>
      <c r="R535" s="10"/>
      <c r="S535" s="10"/>
      <c r="T535" s="10"/>
      <c r="U535" s="10"/>
      <c r="V535" s="10">
        <v>8.73</v>
      </c>
      <c r="W535" s="10"/>
      <c r="X535" s="10"/>
      <c r="Y535" s="10"/>
      <c r="Z535" s="10"/>
      <c r="AA535" s="10"/>
      <c r="AB535" s="10"/>
      <c r="AC535" s="10"/>
      <c r="AD535" s="10"/>
      <c r="AE535" s="10"/>
      <c r="AF535" s="10"/>
      <c r="AG535" s="10"/>
      <c r="AH535" s="10"/>
      <c r="AI535" s="14">
        <f t="shared" si="83"/>
        <v>1.2597402597402598</v>
      </c>
      <c r="AJ535" s="10"/>
      <c r="AK535" s="10"/>
      <c r="AL535" s="10"/>
      <c r="AN535" s="10"/>
      <c r="AO535" s="10"/>
      <c r="AP535" s="10"/>
      <c r="AQ535" s="10">
        <v>0</v>
      </c>
      <c r="AR535" s="10" t="s">
        <v>14</v>
      </c>
      <c r="AS535" s="10"/>
      <c r="AT535" s="10"/>
      <c r="AU535" s="10" t="s">
        <v>2</v>
      </c>
      <c r="AV535" s="10" t="s">
        <v>3</v>
      </c>
      <c r="AW535" s="10" t="s">
        <v>1337</v>
      </c>
    </row>
    <row r="536" spans="1:49" x14ac:dyDescent="0.3">
      <c r="A536" s="10" t="s">
        <v>1388</v>
      </c>
      <c r="B536" s="10" t="s">
        <v>441</v>
      </c>
      <c r="C536" s="10" t="s">
        <v>1374</v>
      </c>
      <c r="D536" s="10" t="s">
        <v>1375</v>
      </c>
      <c r="E536" s="10">
        <v>1988</v>
      </c>
      <c r="F536" t="s">
        <v>2661</v>
      </c>
      <c r="G536" s="16" t="s">
        <v>22</v>
      </c>
      <c r="H536" s="10" t="s">
        <v>17</v>
      </c>
      <c r="I536" s="10" t="s">
        <v>1390</v>
      </c>
      <c r="J536" s="10" t="s">
        <v>1391</v>
      </c>
      <c r="K536" s="10">
        <v>3</v>
      </c>
      <c r="L536" s="10">
        <v>3</v>
      </c>
      <c r="N536" s="10">
        <v>8.66</v>
      </c>
      <c r="O536" s="10"/>
      <c r="P536" s="10"/>
      <c r="Q536" s="10"/>
      <c r="R536" s="10"/>
      <c r="S536" s="10"/>
      <c r="T536" s="10"/>
      <c r="U536" s="10"/>
      <c r="V536" s="10">
        <v>10.63</v>
      </c>
      <c r="W536" s="10"/>
      <c r="X536" s="10"/>
      <c r="Y536" s="10"/>
      <c r="Z536" s="10"/>
      <c r="AA536" s="10"/>
      <c r="AB536" s="10"/>
      <c r="AC536" s="10"/>
      <c r="AD536" s="10"/>
      <c r="AE536" s="10"/>
      <c r="AF536" s="10"/>
      <c r="AG536" s="10"/>
      <c r="AH536" s="10"/>
      <c r="AI536" s="14">
        <f t="shared" si="83"/>
        <v>1.2274826789838338</v>
      </c>
      <c r="AJ536" s="10"/>
      <c r="AK536" s="10"/>
      <c r="AL536" s="10"/>
      <c r="AN536" s="10"/>
      <c r="AO536" s="10"/>
      <c r="AP536" s="10"/>
      <c r="AQ536" s="10">
        <v>0</v>
      </c>
      <c r="AR536" s="10" t="s">
        <v>308</v>
      </c>
      <c r="AS536" s="10"/>
      <c r="AT536" s="10"/>
      <c r="AU536" s="10" t="s">
        <v>2</v>
      </c>
      <c r="AV536" s="10" t="s">
        <v>3</v>
      </c>
      <c r="AW536" s="10" t="s">
        <v>1337</v>
      </c>
    </row>
    <row r="537" spans="1:49" x14ac:dyDescent="0.3">
      <c r="A537" s="10" t="s">
        <v>1388</v>
      </c>
      <c r="B537" s="10" t="s">
        <v>441</v>
      </c>
      <c r="C537" s="10" t="s">
        <v>1374</v>
      </c>
      <c r="D537" s="10" t="s">
        <v>1375</v>
      </c>
      <c r="E537" s="10">
        <v>1989</v>
      </c>
      <c r="F537" t="s">
        <v>2661</v>
      </c>
      <c r="G537" s="16" t="s">
        <v>22</v>
      </c>
      <c r="H537" s="10" t="s">
        <v>17</v>
      </c>
      <c r="I537" s="10" t="s">
        <v>1390</v>
      </c>
      <c r="J537" s="10" t="s">
        <v>1391</v>
      </c>
      <c r="K537" s="10">
        <v>3</v>
      </c>
      <c r="L537" s="10">
        <v>3</v>
      </c>
      <c r="N537" s="10">
        <v>6.42</v>
      </c>
      <c r="O537" s="10"/>
      <c r="P537" s="10"/>
      <c r="Q537" s="10"/>
      <c r="R537" s="10"/>
      <c r="S537" s="10"/>
      <c r="T537" s="10"/>
      <c r="U537" s="10"/>
      <c r="V537" s="10">
        <v>10.02</v>
      </c>
      <c r="W537" s="10"/>
      <c r="X537" s="10"/>
      <c r="Y537" s="10"/>
      <c r="Z537" s="10"/>
      <c r="AA537" s="10"/>
      <c r="AB537" s="10"/>
      <c r="AC537" s="10"/>
      <c r="AD537" s="10"/>
      <c r="AE537" s="10"/>
      <c r="AF537" s="10"/>
      <c r="AG537" s="10"/>
      <c r="AH537" s="10"/>
      <c r="AI537" s="14">
        <f t="shared" si="83"/>
        <v>1.5607476635514017</v>
      </c>
      <c r="AJ537" s="10"/>
      <c r="AK537" s="10"/>
      <c r="AL537" s="10"/>
      <c r="AN537" s="10"/>
      <c r="AO537" s="10"/>
      <c r="AP537" s="10"/>
      <c r="AQ537" s="10">
        <v>0</v>
      </c>
      <c r="AR537" s="10" t="s">
        <v>308</v>
      </c>
      <c r="AS537" s="10" t="s">
        <v>3</v>
      </c>
      <c r="AT537" s="10"/>
      <c r="AU537" s="10" t="s">
        <v>2</v>
      </c>
      <c r="AV537" s="10" t="s">
        <v>3</v>
      </c>
      <c r="AW537" s="10" t="s">
        <v>1337</v>
      </c>
    </row>
    <row r="538" spans="1:49" x14ac:dyDescent="0.3">
      <c r="A538" s="10" t="s">
        <v>1388</v>
      </c>
      <c r="B538" s="10" t="s">
        <v>441</v>
      </c>
      <c r="C538" s="10" t="s">
        <v>1374</v>
      </c>
      <c r="D538" s="10" t="s">
        <v>1375</v>
      </c>
      <c r="E538" s="10">
        <v>1990</v>
      </c>
      <c r="F538" t="s">
        <v>2661</v>
      </c>
      <c r="G538" s="16" t="s">
        <v>22</v>
      </c>
      <c r="H538" s="10" t="s">
        <v>17</v>
      </c>
      <c r="I538" s="10" t="s">
        <v>1390</v>
      </c>
      <c r="J538" s="10" t="s">
        <v>1391</v>
      </c>
      <c r="K538" s="10">
        <v>3</v>
      </c>
      <c r="L538" s="10">
        <v>3</v>
      </c>
      <c r="N538" s="10">
        <v>10.07</v>
      </c>
      <c r="O538" s="10"/>
      <c r="P538" s="10"/>
      <c r="Q538" s="10"/>
      <c r="R538" s="10"/>
      <c r="S538" s="10"/>
      <c r="T538" s="10"/>
      <c r="U538" s="10"/>
      <c r="V538" s="10">
        <v>13</v>
      </c>
      <c r="W538" s="10"/>
      <c r="X538" s="10"/>
      <c r="Y538" s="10"/>
      <c r="Z538" s="10"/>
      <c r="AA538" s="10"/>
      <c r="AB538" s="10"/>
      <c r="AC538" s="10"/>
      <c r="AD538" s="10"/>
      <c r="AE538" s="10"/>
      <c r="AF538" s="10"/>
      <c r="AG538" s="10"/>
      <c r="AH538" s="10"/>
      <c r="AI538" s="14">
        <f t="shared" si="83"/>
        <v>1.2909632571996028</v>
      </c>
      <c r="AJ538" s="10"/>
      <c r="AK538" s="10"/>
      <c r="AL538" s="10"/>
      <c r="AN538" s="10"/>
      <c r="AO538" s="10"/>
      <c r="AP538" s="10"/>
      <c r="AQ538" s="10">
        <v>0</v>
      </c>
      <c r="AR538" s="10" t="s">
        <v>308</v>
      </c>
      <c r="AS538" s="10"/>
      <c r="AT538" s="10"/>
      <c r="AU538" s="10" t="s">
        <v>2</v>
      </c>
      <c r="AV538" s="10" t="s">
        <v>3</v>
      </c>
      <c r="AW538" s="10" t="s">
        <v>1337</v>
      </c>
    </row>
    <row r="539" spans="1:49" x14ac:dyDescent="0.3">
      <c r="A539" s="10" t="s">
        <v>1388</v>
      </c>
      <c r="B539" s="10" t="s">
        <v>441</v>
      </c>
      <c r="C539" s="10" t="s">
        <v>1374</v>
      </c>
      <c r="D539" s="10" t="s">
        <v>1375</v>
      </c>
      <c r="E539" s="10">
        <v>1991</v>
      </c>
      <c r="F539" t="s">
        <v>2661</v>
      </c>
      <c r="G539" s="16" t="s">
        <v>22</v>
      </c>
      <c r="H539" s="10" t="s">
        <v>17</v>
      </c>
      <c r="I539" s="10" t="s">
        <v>1390</v>
      </c>
      <c r="J539" s="10" t="s">
        <v>1391</v>
      </c>
      <c r="K539" s="10">
        <v>3</v>
      </c>
      <c r="L539" s="10">
        <v>3</v>
      </c>
      <c r="N539" s="10">
        <v>6.93</v>
      </c>
      <c r="O539" s="10"/>
      <c r="P539" s="10"/>
      <c r="Q539" s="10"/>
      <c r="R539" s="10"/>
      <c r="S539" s="10"/>
      <c r="T539" s="10"/>
      <c r="U539" s="10"/>
      <c r="V539" s="10">
        <v>9.8699999999999992</v>
      </c>
      <c r="W539" s="10"/>
      <c r="X539" s="10"/>
      <c r="Y539" s="10"/>
      <c r="Z539" s="10"/>
      <c r="AA539" s="10"/>
      <c r="AB539" s="10"/>
      <c r="AC539" s="10"/>
      <c r="AD539" s="10"/>
      <c r="AE539" s="10"/>
      <c r="AF539" s="10"/>
      <c r="AG539" s="10"/>
      <c r="AH539" s="10"/>
      <c r="AI539" s="14">
        <f t="shared" si="83"/>
        <v>1.4242424242424241</v>
      </c>
      <c r="AJ539" s="10"/>
      <c r="AK539" s="10"/>
      <c r="AL539" s="10"/>
      <c r="AN539" s="10"/>
      <c r="AO539" s="10"/>
      <c r="AP539" s="10"/>
      <c r="AQ539" s="10">
        <v>0</v>
      </c>
      <c r="AR539" s="10" t="s">
        <v>14</v>
      </c>
      <c r="AS539" s="10"/>
      <c r="AT539" s="10"/>
      <c r="AU539" s="10" t="s">
        <v>2</v>
      </c>
      <c r="AV539" s="10" t="s">
        <v>3</v>
      </c>
      <c r="AW539" s="10" t="s">
        <v>1337</v>
      </c>
    </row>
    <row r="540" spans="1:49" x14ac:dyDescent="0.3">
      <c r="A540" s="10" t="s">
        <v>1388</v>
      </c>
      <c r="B540" s="10" t="s">
        <v>441</v>
      </c>
      <c r="C540" s="10" t="s">
        <v>1374</v>
      </c>
      <c r="D540" s="10" t="s">
        <v>1375</v>
      </c>
      <c r="E540" s="10">
        <v>1988</v>
      </c>
      <c r="F540" t="s">
        <v>2661</v>
      </c>
      <c r="G540" s="16" t="s">
        <v>22</v>
      </c>
      <c r="H540" s="10" t="s">
        <v>17</v>
      </c>
      <c r="I540" s="10" t="s">
        <v>1390</v>
      </c>
      <c r="J540" s="10" t="s">
        <v>1392</v>
      </c>
      <c r="K540" s="10">
        <v>3</v>
      </c>
      <c r="L540" s="10">
        <v>3</v>
      </c>
      <c r="N540" s="10">
        <v>8.66</v>
      </c>
      <c r="O540" s="10"/>
      <c r="P540" s="10"/>
      <c r="Q540" s="10"/>
      <c r="R540" s="10"/>
      <c r="S540" s="10"/>
      <c r="T540" s="10"/>
      <c r="U540" s="10"/>
      <c r="V540" s="10">
        <v>9.69</v>
      </c>
      <c r="W540" s="10"/>
      <c r="X540" s="10"/>
      <c r="Y540" s="10"/>
      <c r="Z540" s="10"/>
      <c r="AA540" s="10"/>
      <c r="AB540" s="10"/>
      <c r="AC540" s="10"/>
      <c r="AD540" s="10"/>
      <c r="AE540" s="10"/>
      <c r="AF540" s="10"/>
      <c r="AG540" s="10"/>
      <c r="AH540" s="10"/>
      <c r="AI540" s="14">
        <f t="shared" si="83"/>
        <v>1.1189376443418013</v>
      </c>
      <c r="AJ540" s="10"/>
      <c r="AK540" s="10"/>
      <c r="AL540" s="10"/>
      <c r="AN540" s="10"/>
      <c r="AO540" s="10"/>
      <c r="AP540" s="10"/>
      <c r="AQ540" s="10">
        <v>0</v>
      </c>
      <c r="AR540" s="10" t="s">
        <v>308</v>
      </c>
      <c r="AS540" s="10"/>
      <c r="AT540" s="10"/>
      <c r="AU540" s="10" t="s">
        <v>2</v>
      </c>
      <c r="AV540" s="10" t="s">
        <v>3</v>
      </c>
      <c r="AW540" s="10" t="s">
        <v>1337</v>
      </c>
    </row>
    <row r="541" spans="1:49" x14ac:dyDescent="0.3">
      <c r="A541" s="10" t="s">
        <v>1388</v>
      </c>
      <c r="B541" s="10" t="s">
        <v>441</v>
      </c>
      <c r="C541" s="10" t="s">
        <v>1374</v>
      </c>
      <c r="D541" s="10" t="s">
        <v>1375</v>
      </c>
      <c r="E541" s="10">
        <v>1989</v>
      </c>
      <c r="F541" t="s">
        <v>2661</v>
      </c>
      <c r="G541" s="16" t="s">
        <v>22</v>
      </c>
      <c r="H541" s="10" t="s">
        <v>17</v>
      </c>
      <c r="I541" s="10" t="s">
        <v>1390</v>
      </c>
      <c r="J541" s="10" t="s">
        <v>1392</v>
      </c>
      <c r="K541" s="10">
        <v>3</v>
      </c>
      <c r="L541" s="10">
        <v>3</v>
      </c>
      <c r="N541" s="10">
        <v>6.42</v>
      </c>
      <c r="O541" s="10"/>
      <c r="P541" s="10"/>
      <c r="Q541" s="10"/>
      <c r="R541" s="10"/>
      <c r="S541" s="10"/>
      <c r="T541" s="10"/>
      <c r="U541" s="10"/>
      <c r="V541" s="10">
        <v>7.04</v>
      </c>
      <c r="W541" s="10"/>
      <c r="X541" s="10"/>
      <c r="Y541" s="10"/>
      <c r="Z541" s="10"/>
      <c r="AA541" s="10"/>
      <c r="AB541" s="10"/>
      <c r="AC541" s="10"/>
      <c r="AD541" s="10"/>
      <c r="AE541" s="10"/>
      <c r="AF541" s="10"/>
      <c r="AG541" s="10"/>
      <c r="AH541" s="10"/>
      <c r="AI541" s="14">
        <f t="shared" si="83"/>
        <v>1.0965732087227416</v>
      </c>
      <c r="AJ541" s="10"/>
      <c r="AK541" s="10"/>
      <c r="AL541" s="10"/>
      <c r="AN541" s="10"/>
      <c r="AO541" s="10"/>
      <c r="AP541" s="10"/>
      <c r="AQ541" s="10">
        <v>0</v>
      </c>
      <c r="AR541" s="10" t="s">
        <v>308</v>
      </c>
      <c r="AS541" s="10" t="s">
        <v>3</v>
      </c>
      <c r="AT541" s="10"/>
      <c r="AU541" s="10" t="s">
        <v>2</v>
      </c>
      <c r="AV541" s="10" t="s">
        <v>3</v>
      </c>
      <c r="AW541" s="10" t="s">
        <v>1337</v>
      </c>
    </row>
    <row r="542" spans="1:49" x14ac:dyDescent="0.3">
      <c r="A542" s="10" t="s">
        <v>1388</v>
      </c>
      <c r="B542" s="10" t="s">
        <v>441</v>
      </c>
      <c r="C542" s="10" t="s">
        <v>1374</v>
      </c>
      <c r="D542" s="10" t="s">
        <v>1375</v>
      </c>
      <c r="E542" s="10">
        <v>1990</v>
      </c>
      <c r="F542" t="s">
        <v>2661</v>
      </c>
      <c r="G542" s="16" t="s">
        <v>22</v>
      </c>
      <c r="H542" s="10" t="s">
        <v>17</v>
      </c>
      <c r="I542" s="10" t="s">
        <v>1390</v>
      </c>
      <c r="J542" s="10" t="s">
        <v>1392</v>
      </c>
      <c r="K542" s="10">
        <v>3</v>
      </c>
      <c r="L542" s="10">
        <v>3</v>
      </c>
      <c r="N542" s="10">
        <v>10.07</v>
      </c>
      <c r="O542" s="10"/>
      <c r="P542" s="10"/>
      <c r="Q542" s="10"/>
      <c r="R542" s="10"/>
      <c r="S542" s="10"/>
      <c r="T542" s="10"/>
      <c r="U542" s="10"/>
      <c r="V542" s="10">
        <v>10.43</v>
      </c>
      <c r="W542" s="10"/>
      <c r="X542" s="10"/>
      <c r="Y542" s="10"/>
      <c r="Z542" s="10"/>
      <c r="AA542" s="10"/>
      <c r="AB542" s="10"/>
      <c r="AC542" s="10"/>
      <c r="AD542" s="10"/>
      <c r="AE542" s="10"/>
      <c r="AF542" s="10"/>
      <c r="AG542" s="10"/>
      <c r="AH542" s="10"/>
      <c r="AI542" s="14">
        <f t="shared" si="83"/>
        <v>1.0357497517378351</v>
      </c>
      <c r="AJ542" s="10"/>
      <c r="AK542" s="10"/>
      <c r="AL542" s="10"/>
      <c r="AN542" s="10"/>
      <c r="AO542" s="10"/>
      <c r="AP542" s="10"/>
      <c r="AQ542" s="10">
        <v>0</v>
      </c>
      <c r="AR542" s="10" t="s">
        <v>308</v>
      </c>
      <c r="AS542" s="10"/>
      <c r="AT542" s="10"/>
      <c r="AU542" s="10" t="s">
        <v>2</v>
      </c>
      <c r="AV542" s="10" t="s">
        <v>3</v>
      </c>
      <c r="AW542" s="10" t="s">
        <v>1337</v>
      </c>
    </row>
    <row r="543" spans="1:49" x14ac:dyDescent="0.3">
      <c r="A543" s="10" t="s">
        <v>1388</v>
      </c>
      <c r="B543" s="10" t="s">
        <v>441</v>
      </c>
      <c r="C543" s="10" t="s">
        <v>1374</v>
      </c>
      <c r="D543" s="10" t="s">
        <v>1375</v>
      </c>
      <c r="E543" s="10">
        <v>1991</v>
      </c>
      <c r="F543" t="s">
        <v>2661</v>
      </c>
      <c r="G543" s="16" t="s">
        <v>22</v>
      </c>
      <c r="H543" s="10" t="s">
        <v>17</v>
      </c>
      <c r="I543" s="10" t="s">
        <v>1390</v>
      </c>
      <c r="J543" s="10" t="s">
        <v>1392</v>
      </c>
      <c r="K543" s="10">
        <v>3</v>
      </c>
      <c r="L543" s="10">
        <v>3</v>
      </c>
      <c r="N543" s="10">
        <v>6.93</v>
      </c>
      <c r="O543" s="10"/>
      <c r="P543" s="10"/>
      <c r="Q543" s="10"/>
      <c r="R543" s="10"/>
      <c r="S543" s="10"/>
      <c r="T543" s="10"/>
      <c r="U543" s="10"/>
      <c r="V543" s="10">
        <v>9.8699999999999992</v>
      </c>
      <c r="W543" s="10"/>
      <c r="X543" s="10"/>
      <c r="Y543" s="10"/>
      <c r="Z543" s="10"/>
      <c r="AA543" s="10"/>
      <c r="AB543" s="10"/>
      <c r="AC543" s="10"/>
      <c r="AD543" s="10"/>
      <c r="AE543" s="10"/>
      <c r="AF543" s="10"/>
      <c r="AG543" s="10"/>
      <c r="AH543" s="10"/>
      <c r="AI543" s="14">
        <f t="shared" si="83"/>
        <v>1.4242424242424241</v>
      </c>
      <c r="AJ543" s="10"/>
      <c r="AK543" s="10"/>
      <c r="AL543" s="10"/>
      <c r="AN543" s="10"/>
      <c r="AO543" s="10"/>
      <c r="AP543" s="10"/>
      <c r="AQ543" s="10">
        <v>0</v>
      </c>
      <c r="AR543" s="10" t="s">
        <v>14</v>
      </c>
      <c r="AS543" s="10"/>
      <c r="AT543" s="10"/>
      <c r="AU543" s="10" t="s">
        <v>2</v>
      </c>
      <c r="AV543" s="10" t="s">
        <v>3</v>
      </c>
      <c r="AW543" s="10" t="s">
        <v>1337</v>
      </c>
    </row>
    <row r="544" spans="1:49" x14ac:dyDescent="0.3">
      <c r="A544" s="10" t="s">
        <v>1388</v>
      </c>
      <c r="B544" s="10" t="s">
        <v>441</v>
      </c>
      <c r="C544" s="10" t="s">
        <v>1374</v>
      </c>
      <c r="D544" s="10" t="s">
        <v>1375</v>
      </c>
      <c r="E544" s="10">
        <v>1988</v>
      </c>
      <c r="F544" t="s">
        <v>2661</v>
      </c>
      <c r="G544" s="16" t="s">
        <v>22</v>
      </c>
      <c r="H544" s="10" t="s">
        <v>17</v>
      </c>
      <c r="I544" s="10" t="s">
        <v>1394</v>
      </c>
      <c r="J544" s="10" t="s">
        <v>1393</v>
      </c>
      <c r="K544" s="10">
        <v>3</v>
      </c>
      <c r="L544" s="10">
        <v>3</v>
      </c>
      <c r="N544" s="10">
        <v>7.91</v>
      </c>
      <c r="O544" s="10"/>
      <c r="P544" s="10"/>
      <c r="Q544" s="10"/>
      <c r="R544" s="10"/>
      <c r="S544" s="10"/>
      <c r="T544" s="10"/>
      <c r="U544" s="10"/>
      <c r="V544" s="10">
        <v>8.8000000000000007</v>
      </c>
      <c r="W544" s="10"/>
      <c r="X544" s="10"/>
      <c r="Y544" s="10"/>
      <c r="Z544" s="10"/>
      <c r="AA544" s="10"/>
      <c r="AB544" s="10"/>
      <c r="AC544" s="10"/>
      <c r="AD544" s="10"/>
      <c r="AE544" s="10"/>
      <c r="AF544" s="10"/>
      <c r="AG544" s="10"/>
      <c r="AH544" s="10"/>
      <c r="AI544" s="14">
        <f t="shared" si="83"/>
        <v>1.1125158027812896</v>
      </c>
      <c r="AJ544" s="10"/>
      <c r="AK544" s="10"/>
      <c r="AL544" s="10"/>
      <c r="AN544" s="10"/>
      <c r="AO544" s="10"/>
      <c r="AP544" s="10"/>
      <c r="AQ544" s="10">
        <v>0</v>
      </c>
      <c r="AR544" s="10" t="s">
        <v>308</v>
      </c>
      <c r="AS544" s="10"/>
      <c r="AT544" s="10"/>
      <c r="AU544" s="10" t="s">
        <v>2</v>
      </c>
      <c r="AV544" s="10" t="s">
        <v>3</v>
      </c>
      <c r="AW544" s="10" t="s">
        <v>1337</v>
      </c>
    </row>
    <row r="545" spans="1:49" x14ac:dyDescent="0.3">
      <c r="A545" s="10" t="s">
        <v>1388</v>
      </c>
      <c r="B545" s="10" t="s">
        <v>441</v>
      </c>
      <c r="C545" s="10" t="s">
        <v>1374</v>
      </c>
      <c r="D545" s="10" t="s">
        <v>1375</v>
      </c>
      <c r="E545" s="10">
        <v>1989</v>
      </c>
      <c r="F545" t="s">
        <v>2661</v>
      </c>
      <c r="G545" s="16" t="s">
        <v>22</v>
      </c>
      <c r="H545" s="10" t="s">
        <v>17</v>
      </c>
      <c r="I545" s="10" t="s">
        <v>1394</v>
      </c>
      <c r="J545" s="10" t="s">
        <v>1393</v>
      </c>
      <c r="K545" s="10">
        <v>3</v>
      </c>
      <c r="L545" s="10">
        <v>3</v>
      </c>
      <c r="N545" s="10">
        <v>7.77</v>
      </c>
      <c r="O545" s="10"/>
      <c r="P545" s="10"/>
      <c r="Q545" s="10"/>
      <c r="R545" s="10"/>
      <c r="S545" s="10"/>
      <c r="T545" s="10"/>
      <c r="U545" s="10"/>
      <c r="V545" s="10">
        <v>5.18</v>
      </c>
      <c r="W545" s="10"/>
      <c r="X545" s="10"/>
      <c r="Y545" s="10"/>
      <c r="Z545" s="10"/>
      <c r="AA545" s="10"/>
      <c r="AB545" s="10"/>
      <c r="AC545" s="10"/>
      <c r="AD545" s="10"/>
      <c r="AE545" s="10"/>
      <c r="AF545" s="10"/>
      <c r="AG545" s="10"/>
      <c r="AH545" s="10"/>
      <c r="AI545" s="14">
        <f t="shared" si="83"/>
        <v>0.66666666666666663</v>
      </c>
      <c r="AJ545" s="10"/>
      <c r="AK545" s="10"/>
      <c r="AL545" s="10"/>
      <c r="AN545" s="10"/>
      <c r="AO545" s="10"/>
      <c r="AP545" s="10"/>
      <c r="AQ545" s="10">
        <v>0</v>
      </c>
      <c r="AR545" s="10" t="s">
        <v>308</v>
      </c>
      <c r="AS545" s="10" t="s">
        <v>3</v>
      </c>
      <c r="AT545" s="10"/>
      <c r="AU545" s="10" t="s">
        <v>2</v>
      </c>
      <c r="AV545" s="10" t="s">
        <v>3</v>
      </c>
      <c r="AW545" s="10" t="s">
        <v>1337</v>
      </c>
    </row>
    <row r="546" spans="1:49" x14ac:dyDescent="0.3">
      <c r="A546" s="10" t="s">
        <v>1388</v>
      </c>
      <c r="B546" s="10" t="s">
        <v>441</v>
      </c>
      <c r="C546" s="10" t="s">
        <v>1374</v>
      </c>
      <c r="D546" s="10" t="s">
        <v>1375</v>
      </c>
      <c r="E546" s="10">
        <v>1990</v>
      </c>
      <c r="F546" t="s">
        <v>2661</v>
      </c>
      <c r="G546" s="16" t="s">
        <v>22</v>
      </c>
      <c r="H546" s="10" t="s">
        <v>17</v>
      </c>
      <c r="I546" s="10" t="s">
        <v>1394</v>
      </c>
      <c r="J546" s="10" t="s">
        <v>1393</v>
      </c>
      <c r="K546" s="10">
        <v>3</v>
      </c>
      <c r="L546" s="10">
        <v>3</v>
      </c>
      <c r="N546" s="10">
        <v>9.94</v>
      </c>
      <c r="O546" s="10"/>
      <c r="P546" s="10"/>
      <c r="Q546" s="10"/>
      <c r="R546" s="10"/>
      <c r="S546" s="10"/>
      <c r="T546" s="10"/>
      <c r="U546" s="10"/>
      <c r="V546" s="10">
        <v>13.01</v>
      </c>
      <c r="W546" s="10"/>
      <c r="X546" s="10"/>
      <c r="Y546" s="10"/>
      <c r="Z546" s="10"/>
      <c r="AA546" s="10"/>
      <c r="AB546" s="10"/>
      <c r="AC546" s="10"/>
      <c r="AD546" s="10"/>
      <c r="AE546" s="10"/>
      <c r="AF546" s="10"/>
      <c r="AG546" s="10"/>
      <c r="AH546" s="10"/>
      <c r="AI546" s="14">
        <f t="shared" si="83"/>
        <v>1.3088531187122736</v>
      </c>
      <c r="AJ546" s="10"/>
      <c r="AK546" s="10"/>
      <c r="AL546" s="10"/>
      <c r="AN546" s="10"/>
      <c r="AO546" s="10"/>
      <c r="AP546" s="10"/>
      <c r="AQ546" s="10">
        <v>0</v>
      </c>
      <c r="AR546" s="10" t="s">
        <v>308</v>
      </c>
      <c r="AS546" s="10"/>
      <c r="AT546" s="10"/>
      <c r="AU546" s="10" t="s">
        <v>2</v>
      </c>
      <c r="AV546" s="10" t="s">
        <v>3</v>
      </c>
      <c r="AW546" s="10" t="s">
        <v>1337</v>
      </c>
    </row>
    <row r="547" spans="1:49" x14ac:dyDescent="0.3">
      <c r="A547" s="10" t="s">
        <v>1388</v>
      </c>
      <c r="B547" s="10" t="s">
        <v>441</v>
      </c>
      <c r="C547" s="10" t="s">
        <v>1374</v>
      </c>
      <c r="D547" s="10" t="s">
        <v>1375</v>
      </c>
      <c r="E547" s="10">
        <v>1991</v>
      </c>
      <c r="F547" t="s">
        <v>2661</v>
      </c>
      <c r="G547" s="16" t="s">
        <v>22</v>
      </c>
      <c r="H547" s="10" t="s">
        <v>17</v>
      </c>
      <c r="I547" s="10" t="s">
        <v>1394</v>
      </c>
      <c r="J547" s="10" t="s">
        <v>1393</v>
      </c>
      <c r="K547" s="10">
        <v>3</v>
      </c>
      <c r="L547" s="10">
        <v>3</v>
      </c>
      <c r="N547" s="10">
        <v>15.21</v>
      </c>
      <c r="O547" s="10"/>
      <c r="P547" s="10"/>
      <c r="Q547" s="10"/>
      <c r="R547" s="10"/>
      <c r="S547" s="10"/>
      <c r="T547" s="10"/>
      <c r="U547" s="10"/>
      <c r="V547" s="10">
        <v>12.97</v>
      </c>
      <c r="W547" s="10"/>
      <c r="X547" s="10"/>
      <c r="Y547" s="10"/>
      <c r="Z547" s="10"/>
      <c r="AA547" s="10"/>
      <c r="AB547" s="10"/>
      <c r="AC547" s="10"/>
      <c r="AD547" s="10"/>
      <c r="AE547" s="10"/>
      <c r="AF547" s="10"/>
      <c r="AG547" s="10"/>
      <c r="AH547" s="10"/>
      <c r="AI547" s="14">
        <f t="shared" si="83"/>
        <v>0.85272846811308345</v>
      </c>
      <c r="AJ547" s="10"/>
      <c r="AK547" s="10"/>
      <c r="AL547" s="10"/>
      <c r="AN547" s="10"/>
      <c r="AO547" s="10"/>
      <c r="AP547" s="10"/>
      <c r="AQ547" s="10">
        <v>0</v>
      </c>
      <c r="AR547" s="10" t="s">
        <v>14</v>
      </c>
      <c r="AS547" s="10"/>
      <c r="AT547" s="10"/>
      <c r="AU547" s="10" t="s">
        <v>2</v>
      </c>
      <c r="AV547" s="10" t="s">
        <v>3</v>
      </c>
      <c r="AW547" s="10" t="s">
        <v>1337</v>
      </c>
    </row>
    <row r="548" spans="1:49" x14ac:dyDescent="0.3">
      <c r="A548" s="10" t="s">
        <v>1388</v>
      </c>
      <c r="B548" s="10" t="s">
        <v>441</v>
      </c>
      <c r="C548" s="10" t="s">
        <v>1374</v>
      </c>
      <c r="D548" s="10" t="s">
        <v>1375</v>
      </c>
      <c r="E548" s="10">
        <v>1988</v>
      </c>
      <c r="F548" t="s">
        <v>2661</v>
      </c>
      <c r="G548" s="16" t="s">
        <v>22</v>
      </c>
      <c r="H548" s="10" t="s">
        <v>17</v>
      </c>
      <c r="I548" s="10" t="s">
        <v>1394</v>
      </c>
      <c r="J548" s="10" t="s">
        <v>1395</v>
      </c>
      <c r="K548" s="10">
        <v>3</v>
      </c>
      <c r="L548" s="10">
        <v>3</v>
      </c>
      <c r="N548" s="10">
        <v>7.91</v>
      </c>
      <c r="O548" s="10"/>
      <c r="P548" s="10"/>
      <c r="Q548" s="10"/>
      <c r="R548" s="10"/>
      <c r="S548" s="10"/>
      <c r="T548" s="10"/>
      <c r="U548" s="10"/>
      <c r="V548" s="10">
        <v>10.76</v>
      </c>
      <c r="W548" s="10"/>
      <c r="X548" s="10"/>
      <c r="Y548" s="10"/>
      <c r="Z548" s="10"/>
      <c r="AA548" s="10"/>
      <c r="AB548" s="10"/>
      <c r="AC548" s="10"/>
      <c r="AD548" s="10"/>
      <c r="AE548" s="10"/>
      <c r="AF548" s="10"/>
      <c r="AG548" s="10"/>
      <c r="AH548" s="10"/>
      <c r="AI548" s="14">
        <f t="shared" si="83"/>
        <v>1.3603034134007586</v>
      </c>
      <c r="AJ548" s="10"/>
      <c r="AK548" s="10"/>
      <c r="AL548" s="10"/>
      <c r="AN548" s="10"/>
      <c r="AO548" s="10"/>
      <c r="AP548" s="10"/>
      <c r="AQ548" s="10">
        <v>0</v>
      </c>
      <c r="AR548" s="10" t="s">
        <v>308</v>
      </c>
      <c r="AS548" s="10"/>
      <c r="AT548" s="10"/>
      <c r="AU548" s="10" t="s">
        <v>2</v>
      </c>
      <c r="AV548" s="10" t="s">
        <v>3</v>
      </c>
      <c r="AW548" s="10" t="s">
        <v>1337</v>
      </c>
    </row>
    <row r="549" spans="1:49" x14ac:dyDescent="0.3">
      <c r="A549" s="10" t="s">
        <v>1388</v>
      </c>
      <c r="B549" s="10" t="s">
        <v>441</v>
      </c>
      <c r="C549" s="10" t="s">
        <v>1374</v>
      </c>
      <c r="D549" s="10" t="s">
        <v>1375</v>
      </c>
      <c r="E549" s="10">
        <v>1989</v>
      </c>
      <c r="F549" t="s">
        <v>2661</v>
      </c>
      <c r="G549" s="16" t="s">
        <v>22</v>
      </c>
      <c r="H549" s="10" t="s">
        <v>17</v>
      </c>
      <c r="I549" s="10" t="s">
        <v>1394</v>
      </c>
      <c r="J549" s="10" t="s">
        <v>1395</v>
      </c>
      <c r="K549" s="10">
        <v>3</v>
      </c>
      <c r="L549" s="10">
        <v>3</v>
      </c>
      <c r="N549" s="10">
        <v>7.77</v>
      </c>
      <c r="O549" s="10"/>
      <c r="P549" s="10"/>
      <c r="Q549" s="10"/>
      <c r="R549" s="10"/>
      <c r="S549" s="10"/>
      <c r="T549" s="10"/>
      <c r="U549" s="10"/>
      <c r="V549" s="10">
        <v>8.42</v>
      </c>
      <c r="W549" s="10"/>
      <c r="X549" s="10"/>
      <c r="Y549" s="10"/>
      <c r="Z549" s="10"/>
      <c r="AA549" s="10"/>
      <c r="AB549" s="10"/>
      <c r="AC549" s="10"/>
      <c r="AD549" s="10"/>
      <c r="AE549" s="10"/>
      <c r="AF549" s="10"/>
      <c r="AG549" s="10"/>
      <c r="AH549" s="10"/>
      <c r="AI549" s="14">
        <f t="shared" si="83"/>
        <v>1.0836550836550838</v>
      </c>
      <c r="AJ549" s="10"/>
      <c r="AK549" s="10"/>
      <c r="AL549" s="10"/>
      <c r="AN549" s="10"/>
      <c r="AO549" s="10"/>
      <c r="AP549" s="10"/>
      <c r="AQ549" s="10">
        <v>0</v>
      </c>
      <c r="AR549" s="10" t="s">
        <v>308</v>
      </c>
      <c r="AS549" s="10" t="s">
        <v>3</v>
      </c>
      <c r="AT549" s="10"/>
      <c r="AU549" s="10" t="s">
        <v>2</v>
      </c>
      <c r="AV549" s="10" t="s">
        <v>3</v>
      </c>
      <c r="AW549" s="10" t="s">
        <v>1337</v>
      </c>
    </row>
    <row r="550" spans="1:49" x14ac:dyDescent="0.3">
      <c r="A550" s="10" t="s">
        <v>1388</v>
      </c>
      <c r="B550" s="10" t="s">
        <v>441</v>
      </c>
      <c r="C550" s="10" t="s">
        <v>1374</v>
      </c>
      <c r="D550" s="10" t="s">
        <v>1375</v>
      </c>
      <c r="E550" s="10">
        <v>1990</v>
      </c>
      <c r="F550" t="s">
        <v>2661</v>
      </c>
      <c r="G550" s="16" t="s">
        <v>22</v>
      </c>
      <c r="H550" s="10" t="s">
        <v>17</v>
      </c>
      <c r="I550" s="10" t="s">
        <v>1394</v>
      </c>
      <c r="J550" s="10" t="s">
        <v>1395</v>
      </c>
      <c r="K550" s="10">
        <v>3</v>
      </c>
      <c r="L550" s="10">
        <v>3</v>
      </c>
      <c r="N550" s="10">
        <v>9.94</v>
      </c>
      <c r="O550" s="10"/>
      <c r="P550" s="10"/>
      <c r="Q550" s="10"/>
      <c r="R550" s="10"/>
      <c r="S550" s="10"/>
      <c r="T550" s="10"/>
      <c r="U550" s="10"/>
      <c r="V550" s="10">
        <v>13.69</v>
      </c>
      <c r="W550" s="10"/>
      <c r="X550" s="10"/>
      <c r="Y550" s="10"/>
      <c r="Z550" s="10"/>
      <c r="AA550" s="10"/>
      <c r="AB550" s="10"/>
      <c r="AC550" s="10"/>
      <c r="AD550" s="10"/>
      <c r="AE550" s="10"/>
      <c r="AF550" s="10"/>
      <c r="AG550" s="10"/>
      <c r="AH550" s="10"/>
      <c r="AI550" s="14">
        <f t="shared" si="83"/>
        <v>1.3772635814889336</v>
      </c>
      <c r="AJ550" s="10"/>
      <c r="AK550" s="10"/>
      <c r="AL550" s="10"/>
      <c r="AN550" s="10"/>
      <c r="AO550" s="10"/>
      <c r="AP550" s="10"/>
      <c r="AQ550" s="10">
        <v>0</v>
      </c>
      <c r="AR550" s="10" t="s">
        <v>308</v>
      </c>
      <c r="AS550" s="10"/>
      <c r="AT550" s="10"/>
      <c r="AU550" s="10" t="s">
        <v>2</v>
      </c>
      <c r="AV550" s="10" t="s">
        <v>3</v>
      </c>
      <c r="AW550" s="10" t="s">
        <v>1337</v>
      </c>
    </row>
    <row r="551" spans="1:49" x14ac:dyDescent="0.3">
      <c r="A551" s="10" t="s">
        <v>1388</v>
      </c>
      <c r="B551" s="10" t="s">
        <v>441</v>
      </c>
      <c r="C551" s="10" t="s">
        <v>1374</v>
      </c>
      <c r="D551" s="10" t="s">
        <v>1375</v>
      </c>
      <c r="E551" s="10">
        <v>1991</v>
      </c>
      <c r="F551" t="s">
        <v>2661</v>
      </c>
      <c r="G551" s="16" t="s">
        <v>22</v>
      </c>
      <c r="H551" s="10" t="s">
        <v>17</v>
      </c>
      <c r="I551" s="10" t="s">
        <v>1394</v>
      </c>
      <c r="J551" s="10" t="s">
        <v>1395</v>
      </c>
      <c r="K551" s="10">
        <v>3</v>
      </c>
      <c r="L551" s="10">
        <v>3</v>
      </c>
      <c r="N551" s="10">
        <v>15.21</v>
      </c>
      <c r="O551" s="10"/>
      <c r="P551" s="10"/>
      <c r="Q551" s="10"/>
      <c r="R551" s="10"/>
      <c r="S551" s="10"/>
      <c r="T551" s="10"/>
      <c r="U551" s="10"/>
      <c r="V551" s="10">
        <v>13.6</v>
      </c>
      <c r="W551" s="10"/>
      <c r="X551" s="10"/>
      <c r="Y551" s="10"/>
      <c r="Z551" s="10"/>
      <c r="AA551" s="10"/>
      <c r="AB551" s="10"/>
      <c r="AC551" s="10"/>
      <c r="AD551" s="10"/>
      <c r="AE551" s="10"/>
      <c r="AF551" s="10"/>
      <c r="AG551" s="10"/>
      <c r="AH551" s="10"/>
      <c r="AI551" s="14">
        <f t="shared" si="83"/>
        <v>0.8941485864562787</v>
      </c>
      <c r="AJ551" s="10"/>
      <c r="AK551" s="10"/>
      <c r="AL551" s="10"/>
      <c r="AN551" s="10"/>
      <c r="AO551" s="10"/>
      <c r="AP551" s="10"/>
      <c r="AQ551" s="10">
        <v>0</v>
      </c>
      <c r="AR551" s="10" t="s">
        <v>14</v>
      </c>
      <c r="AS551" s="10"/>
      <c r="AT551" s="10"/>
      <c r="AU551" s="10" t="s">
        <v>2</v>
      </c>
      <c r="AV551" s="10" t="s">
        <v>3</v>
      </c>
      <c r="AW551" s="10" t="s">
        <v>1337</v>
      </c>
    </row>
    <row r="552" spans="1:49" x14ac:dyDescent="0.3">
      <c r="A552" s="10" t="s">
        <v>1388</v>
      </c>
      <c r="B552" s="10" t="s">
        <v>441</v>
      </c>
      <c r="C552" s="10" t="s">
        <v>1374</v>
      </c>
      <c r="D552" s="10" t="s">
        <v>1375</v>
      </c>
      <c r="E552" s="10">
        <v>1988</v>
      </c>
      <c r="F552" t="s">
        <v>2661</v>
      </c>
      <c r="G552" s="16" t="s">
        <v>22</v>
      </c>
      <c r="H552" s="10" t="s">
        <v>17</v>
      </c>
      <c r="I552" s="10" t="s">
        <v>1394</v>
      </c>
      <c r="J552" s="10" t="s">
        <v>1396</v>
      </c>
      <c r="K552" s="10">
        <v>3</v>
      </c>
      <c r="L552" s="10">
        <v>3</v>
      </c>
      <c r="N552" s="10">
        <v>7.91</v>
      </c>
      <c r="O552" s="10"/>
      <c r="P552" s="10"/>
      <c r="Q552" s="10"/>
      <c r="R552" s="10"/>
      <c r="S552" s="10"/>
      <c r="T552" s="10"/>
      <c r="U552" s="10"/>
      <c r="V552" s="10">
        <v>9.14</v>
      </c>
      <c r="W552" s="10"/>
      <c r="X552" s="10"/>
      <c r="Y552" s="10"/>
      <c r="Z552" s="10"/>
      <c r="AA552" s="10"/>
      <c r="AB552" s="10"/>
      <c r="AC552" s="10"/>
      <c r="AD552" s="10"/>
      <c r="AE552" s="10"/>
      <c r="AF552" s="10"/>
      <c r="AG552" s="10"/>
      <c r="AH552" s="10"/>
      <c r="AI552" s="14">
        <f t="shared" si="83"/>
        <v>1.1554993678887484</v>
      </c>
      <c r="AJ552" s="10"/>
      <c r="AK552" s="10"/>
      <c r="AL552" s="10"/>
      <c r="AN552" s="10"/>
      <c r="AO552" s="10"/>
      <c r="AP552" s="10"/>
      <c r="AQ552" s="10">
        <v>0</v>
      </c>
      <c r="AR552" s="10" t="s">
        <v>308</v>
      </c>
      <c r="AS552" s="10"/>
      <c r="AT552" s="10"/>
      <c r="AU552" s="10" t="s">
        <v>2</v>
      </c>
      <c r="AV552" s="10" t="s">
        <v>3</v>
      </c>
      <c r="AW552" s="10" t="s">
        <v>1337</v>
      </c>
    </row>
    <row r="553" spans="1:49" x14ac:dyDescent="0.3">
      <c r="A553" s="10" t="s">
        <v>1388</v>
      </c>
      <c r="B553" s="10" t="s">
        <v>441</v>
      </c>
      <c r="C553" s="10" t="s">
        <v>1374</v>
      </c>
      <c r="D553" s="10" t="s">
        <v>1375</v>
      </c>
      <c r="E553" s="10">
        <v>1989</v>
      </c>
      <c r="F553" t="s">
        <v>2661</v>
      </c>
      <c r="G553" s="16" t="s">
        <v>22</v>
      </c>
      <c r="H553" s="10" t="s">
        <v>17</v>
      </c>
      <c r="I553" s="10" t="s">
        <v>1394</v>
      </c>
      <c r="J553" s="10" t="s">
        <v>1396</v>
      </c>
      <c r="K553" s="10">
        <v>3</v>
      </c>
      <c r="L553" s="10">
        <v>3</v>
      </c>
      <c r="N553" s="10">
        <v>7.77</v>
      </c>
      <c r="O553" s="10"/>
      <c r="P553" s="10"/>
      <c r="Q553" s="10"/>
      <c r="R553" s="10"/>
      <c r="S553" s="10"/>
      <c r="T553" s="10"/>
      <c r="U553" s="10"/>
      <c r="V553" s="10">
        <v>7.62</v>
      </c>
      <c r="W553" s="10"/>
      <c r="X553" s="10"/>
      <c r="Y553" s="10"/>
      <c r="Z553" s="10"/>
      <c r="AA553" s="10"/>
      <c r="AB553" s="10"/>
      <c r="AC553" s="10"/>
      <c r="AD553" s="10"/>
      <c r="AE553" s="10"/>
      <c r="AF553" s="10"/>
      <c r="AG553" s="10"/>
      <c r="AH553" s="10"/>
      <c r="AI553" s="14">
        <f t="shared" si="83"/>
        <v>0.98069498069498073</v>
      </c>
      <c r="AJ553" s="10"/>
      <c r="AK553" s="10"/>
      <c r="AL553" s="10"/>
      <c r="AN553" s="10"/>
      <c r="AO553" s="10"/>
      <c r="AP553" s="10"/>
      <c r="AQ553" s="10">
        <v>0</v>
      </c>
      <c r="AR553" s="10" t="s">
        <v>308</v>
      </c>
      <c r="AS553" s="10" t="s">
        <v>3</v>
      </c>
      <c r="AT553" s="10"/>
      <c r="AU553" s="10" t="s">
        <v>2</v>
      </c>
      <c r="AV553" s="10" t="s">
        <v>3</v>
      </c>
      <c r="AW553" s="10" t="s">
        <v>1337</v>
      </c>
    </row>
    <row r="554" spans="1:49" x14ac:dyDescent="0.3">
      <c r="A554" s="10" t="s">
        <v>1388</v>
      </c>
      <c r="B554" s="10" t="s">
        <v>441</v>
      </c>
      <c r="C554" s="10" t="s">
        <v>1374</v>
      </c>
      <c r="D554" s="10" t="s">
        <v>1375</v>
      </c>
      <c r="E554" s="10">
        <v>1990</v>
      </c>
      <c r="F554" t="s">
        <v>2661</v>
      </c>
      <c r="G554" s="16" t="s">
        <v>22</v>
      </c>
      <c r="H554" s="10" t="s">
        <v>17</v>
      </c>
      <c r="I554" s="10" t="s">
        <v>1394</v>
      </c>
      <c r="J554" s="10" t="s">
        <v>1396</v>
      </c>
      <c r="K554" s="10">
        <v>3</v>
      </c>
      <c r="L554" s="10">
        <v>3</v>
      </c>
      <c r="N554" s="10">
        <v>9.94</v>
      </c>
      <c r="O554" s="10"/>
      <c r="P554" s="10"/>
      <c r="Q554" s="10"/>
      <c r="R554" s="10"/>
      <c r="S554" s="10"/>
      <c r="T554" s="10"/>
      <c r="U554" s="10"/>
      <c r="V554" s="10">
        <v>12.29</v>
      </c>
      <c r="W554" s="10"/>
      <c r="X554" s="10"/>
      <c r="Y554" s="10"/>
      <c r="Z554" s="10"/>
      <c r="AA554" s="10"/>
      <c r="AB554" s="10"/>
      <c r="AC554" s="10"/>
      <c r="AD554" s="10"/>
      <c r="AE554" s="10"/>
      <c r="AF554" s="10"/>
      <c r="AG554" s="10"/>
      <c r="AH554" s="10"/>
      <c r="AI554" s="14">
        <f t="shared" si="83"/>
        <v>1.2364185110663983</v>
      </c>
      <c r="AJ554" s="10"/>
      <c r="AK554" s="10"/>
      <c r="AL554" s="10"/>
      <c r="AN554" s="10"/>
      <c r="AO554" s="10"/>
      <c r="AP554" s="10"/>
      <c r="AQ554" s="10">
        <v>0</v>
      </c>
      <c r="AR554" s="10" t="s">
        <v>308</v>
      </c>
      <c r="AS554" s="10"/>
      <c r="AT554" s="10"/>
      <c r="AU554" s="10" t="s">
        <v>2</v>
      </c>
      <c r="AV554" s="10" t="s">
        <v>3</v>
      </c>
      <c r="AW554" s="10" t="s">
        <v>1337</v>
      </c>
    </row>
    <row r="555" spans="1:49" x14ac:dyDescent="0.3">
      <c r="A555" s="10" t="s">
        <v>1388</v>
      </c>
      <c r="B555" s="10" t="s">
        <v>441</v>
      </c>
      <c r="C555" s="10" t="s">
        <v>1374</v>
      </c>
      <c r="D555" s="10" t="s">
        <v>1375</v>
      </c>
      <c r="E555" s="10">
        <v>1991</v>
      </c>
      <c r="F555" t="s">
        <v>2661</v>
      </c>
      <c r="G555" s="16" t="s">
        <v>22</v>
      </c>
      <c r="H555" s="10" t="s">
        <v>17</v>
      </c>
      <c r="I555" s="10" t="s">
        <v>1394</v>
      </c>
      <c r="J555" s="10" t="s">
        <v>1396</v>
      </c>
      <c r="K555" s="10">
        <v>3</v>
      </c>
      <c r="L555" s="10">
        <v>3</v>
      </c>
      <c r="N555" s="10">
        <v>15.21</v>
      </c>
      <c r="O555" s="10"/>
      <c r="P555" s="10"/>
      <c r="Q555" s="10"/>
      <c r="R555" s="10"/>
      <c r="S555" s="10"/>
      <c r="T555" s="10"/>
      <c r="U555" s="10"/>
      <c r="V555" s="10">
        <v>15.2</v>
      </c>
      <c r="W555" s="10"/>
      <c r="X555" s="10"/>
      <c r="Y555" s="10"/>
      <c r="Z555" s="10"/>
      <c r="AA555" s="10"/>
      <c r="AB555" s="10"/>
      <c r="AC555" s="10"/>
      <c r="AD555" s="10"/>
      <c r="AE555" s="10"/>
      <c r="AF555" s="10"/>
      <c r="AG555" s="10"/>
      <c r="AH555" s="10"/>
      <c r="AI555" s="14">
        <f t="shared" si="83"/>
        <v>0.99934253780407611</v>
      </c>
      <c r="AJ555" s="10"/>
      <c r="AK555" s="10"/>
      <c r="AL555" s="10"/>
      <c r="AN555" s="10"/>
      <c r="AO555" s="10"/>
      <c r="AP555" s="10"/>
      <c r="AQ555" s="10">
        <v>0</v>
      </c>
      <c r="AR555" s="10" t="s">
        <v>14</v>
      </c>
      <c r="AS555" s="10"/>
      <c r="AT555" s="10"/>
      <c r="AU555" s="10" t="s">
        <v>2</v>
      </c>
      <c r="AV555" s="10" t="s">
        <v>3</v>
      </c>
      <c r="AW555" s="10" t="s">
        <v>1337</v>
      </c>
    </row>
    <row r="556" spans="1:49" x14ac:dyDescent="0.3">
      <c r="A556" s="10" t="s">
        <v>1388</v>
      </c>
      <c r="B556" s="10" t="s">
        <v>441</v>
      </c>
      <c r="C556" s="10" t="s">
        <v>1374</v>
      </c>
      <c r="D556" s="10" t="s">
        <v>1375</v>
      </c>
      <c r="E556" s="10">
        <v>1988</v>
      </c>
      <c r="F556" t="s">
        <v>2661</v>
      </c>
      <c r="G556" s="16" t="s">
        <v>22</v>
      </c>
      <c r="H556" s="10" t="s">
        <v>17</v>
      </c>
      <c r="I556" s="10" t="s">
        <v>1400</v>
      </c>
      <c r="J556" s="10" t="s">
        <v>1397</v>
      </c>
      <c r="K556" s="10">
        <v>3</v>
      </c>
      <c r="L556" s="10">
        <v>3</v>
      </c>
      <c r="N556" s="10">
        <v>8.08</v>
      </c>
      <c r="O556" s="10"/>
      <c r="P556" s="10"/>
      <c r="Q556" s="10"/>
      <c r="R556" s="10"/>
      <c r="S556" s="10"/>
      <c r="T556" s="10"/>
      <c r="U556" s="10"/>
      <c r="V556" s="10">
        <v>8.5399999999999991</v>
      </c>
      <c r="W556" s="10"/>
      <c r="X556" s="10"/>
      <c r="Y556" s="10"/>
      <c r="Z556" s="10"/>
      <c r="AA556" s="10"/>
      <c r="AB556" s="10"/>
      <c r="AC556" s="10"/>
      <c r="AD556" s="10"/>
      <c r="AE556" s="10"/>
      <c r="AF556" s="10"/>
      <c r="AG556" s="10"/>
      <c r="AH556" s="10"/>
      <c r="AI556" s="14">
        <f t="shared" si="83"/>
        <v>1.0569306930693068</v>
      </c>
      <c r="AJ556" s="10"/>
      <c r="AK556" s="10"/>
      <c r="AL556" s="10"/>
      <c r="AN556" s="10"/>
      <c r="AO556" s="10"/>
      <c r="AP556" s="10"/>
      <c r="AQ556" s="10">
        <v>0</v>
      </c>
      <c r="AR556" s="10" t="s">
        <v>308</v>
      </c>
      <c r="AS556" s="10"/>
      <c r="AT556" s="10"/>
      <c r="AU556" s="10" t="s">
        <v>2</v>
      </c>
      <c r="AV556" s="10" t="s">
        <v>3</v>
      </c>
      <c r="AW556" s="10" t="s">
        <v>1337</v>
      </c>
    </row>
    <row r="557" spans="1:49" x14ac:dyDescent="0.3">
      <c r="A557" s="10" t="s">
        <v>1388</v>
      </c>
      <c r="B557" s="10" t="s">
        <v>441</v>
      </c>
      <c r="C557" s="10" t="s">
        <v>1374</v>
      </c>
      <c r="D557" s="10" t="s">
        <v>1375</v>
      </c>
      <c r="E557" s="10">
        <v>1989</v>
      </c>
      <c r="F557" t="s">
        <v>2661</v>
      </c>
      <c r="G557" s="16" t="s">
        <v>22</v>
      </c>
      <c r="H557" s="10" t="s">
        <v>17</v>
      </c>
      <c r="I557" s="10" t="s">
        <v>1400</v>
      </c>
      <c r="J557" s="10" t="s">
        <v>1397</v>
      </c>
      <c r="K557" s="10">
        <v>3</v>
      </c>
      <c r="L557" s="10">
        <v>3</v>
      </c>
      <c r="N557" s="10">
        <v>7.33</v>
      </c>
      <c r="O557" s="10"/>
      <c r="P557" s="10"/>
      <c r="Q557" s="10"/>
      <c r="R557" s="10"/>
      <c r="S557" s="10"/>
      <c r="T557" s="10"/>
      <c r="U557" s="10"/>
      <c r="V557" s="10">
        <v>6.28</v>
      </c>
      <c r="W557" s="10"/>
      <c r="X557" s="10"/>
      <c r="Y557" s="10"/>
      <c r="Z557" s="10"/>
      <c r="AA557" s="10"/>
      <c r="AB557" s="10"/>
      <c r="AC557" s="10"/>
      <c r="AD557" s="10"/>
      <c r="AE557" s="10"/>
      <c r="AF557" s="10"/>
      <c r="AG557" s="10"/>
      <c r="AH557" s="10"/>
      <c r="AI557" s="14">
        <f t="shared" si="83"/>
        <v>0.85675306957708053</v>
      </c>
      <c r="AJ557" s="10"/>
      <c r="AK557" s="10"/>
      <c r="AL557" s="10"/>
      <c r="AN557" s="10"/>
      <c r="AO557" s="10"/>
      <c r="AP557" s="10"/>
      <c r="AQ557" s="10">
        <v>0</v>
      </c>
      <c r="AR557" s="10" t="s">
        <v>308</v>
      </c>
      <c r="AS557" s="10" t="s">
        <v>3</v>
      </c>
      <c r="AT557" s="10"/>
      <c r="AU557" s="10" t="s">
        <v>2</v>
      </c>
      <c r="AV557" s="10" t="s">
        <v>3</v>
      </c>
      <c r="AW557" s="10" t="s">
        <v>1337</v>
      </c>
    </row>
    <row r="558" spans="1:49" x14ac:dyDescent="0.3">
      <c r="A558" s="10" t="s">
        <v>1388</v>
      </c>
      <c r="B558" s="10" t="s">
        <v>441</v>
      </c>
      <c r="C558" s="10" t="s">
        <v>1374</v>
      </c>
      <c r="D558" s="10" t="s">
        <v>1375</v>
      </c>
      <c r="E558" s="10">
        <v>1990</v>
      </c>
      <c r="F558" t="s">
        <v>2661</v>
      </c>
      <c r="G558" s="16" t="s">
        <v>22</v>
      </c>
      <c r="H558" s="10" t="s">
        <v>17</v>
      </c>
      <c r="I558" s="10" t="s">
        <v>1400</v>
      </c>
      <c r="J558" s="10" t="s">
        <v>1397</v>
      </c>
      <c r="K558" s="10">
        <v>3</v>
      </c>
      <c r="L558" s="10">
        <v>3</v>
      </c>
      <c r="N558" s="10">
        <v>11.36</v>
      </c>
      <c r="O558" s="10"/>
      <c r="P558" s="10"/>
      <c r="Q558" s="10"/>
      <c r="R558" s="10"/>
      <c r="S558" s="10"/>
      <c r="T558" s="10"/>
      <c r="U558" s="10"/>
      <c r="V558" s="10">
        <v>12.35</v>
      </c>
      <c r="W558" s="10"/>
      <c r="X558" s="10"/>
      <c r="Y558" s="10"/>
      <c r="Z558" s="10"/>
      <c r="AA558" s="10"/>
      <c r="AB558" s="10"/>
      <c r="AC558" s="10"/>
      <c r="AD558" s="10"/>
      <c r="AE558" s="10"/>
      <c r="AF558" s="10"/>
      <c r="AG558" s="10"/>
      <c r="AH558" s="10"/>
      <c r="AI558" s="14">
        <f t="shared" si="83"/>
        <v>1.0871478873239437</v>
      </c>
      <c r="AJ558" s="10"/>
      <c r="AK558" s="10"/>
      <c r="AL558" s="10"/>
      <c r="AN558" s="10"/>
      <c r="AO558" s="10"/>
      <c r="AP558" s="10"/>
      <c r="AQ558" s="10">
        <v>0</v>
      </c>
      <c r="AR558" s="10" t="s">
        <v>308</v>
      </c>
      <c r="AS558" s="10"/>
      <c r="AT558" s="10"/>
      <c r="AU558" s="10" t="s">
        <v>2</v>
      </c>
      <c r="AV558" s="10" t="s">
        <v>3</v>
      </c>
      <c r="AW558" s="10" t="s">
        <v>1337</v>
      </c>
    </row>
    <row r="559" spans="1:49" x14ac:dyDescent="0.3">
      <c r="A559" s="10" t="s">
        <v>1388</v>
      </c>
      <c r="B559" s="10" t="s">
        <v>441</v>
      </c>
      <c r="C559" s="10" t="s">
        <v>1374</v>
      </c>
      <c r="D559" s="10" t="s">
        <v>1375</v>
      </c>
      <c r="E559" s="10">
        <v>1991</v>
      </c>
      <c r="F559" t="s">
        <v>2661</v>
      </c>
      <c r="G559" s="16" t="s">
        <v>22</v>
      </c>
      <c r="H559" s="10" t="s">
        <v>17</v>
      </c>
      <c r="I559" s="10" t="s">
        <v>1400</v>
      </c>
      <c r="J559" s="10" t="s">
        <v>1397</v>
      </c>
      <c r="K559" s="10">
        <v>3</v>
      </c>
      <c r="L559" s="10">
        <v>3</v>
      </c>
      <c r="N559" s="10">
        <v>7.09</v>
      </c>
      <c r="O559" s="10"/>
      <c r="P559" s="10"/>
      <c r="Q559" s="10"/>
      <c r="R559" s="10"/>
      <c r="S559" s="10"/>
      <c r="T559" s="10"/>
      <c r="U559" s="10"/>
      <c r="V559" s="10">
        <v>9.56</v>
      </c>
      <c r="W559" s="10"/>
      <c r="X559" s="10"/>
      <c r="Y559" s="10"/>
      <c r="Z559" s="10"/>
      <c r="AA559" s="10"/>
      <c r="AB559" s="10"/>
      <c r="AC559" s="10"/>
      <c r="AD559" s="10"/>
      <c r="AE559" s="10"/>
      <c r="AF559" s="10"/>
      <c r="AG559" s="10"/>
      <c r="AH559" s="10"/>
      <c r="AI559" s="14">
        <f t="shared" si="83"/>
        <v>1.3483779971791257</v>
      </c>
      <c r="AJ559" s="10"/>
      <c r="AK559" s="10"/>
      <c r="AL559" s="10"/>
      <c r="AN559" s="10"/>
      <c r="AO559" s="10"/>
      <c r="AP559" s="10"/>
      <c r="AQ559" s="10">
        <v>0</v>
      </c>
      <c r="AR559" s="10" t="s">
        <v>14</v>
      </c>
      <c r="AS559" s="10"/>
      <c r="AT559" s="10"/>
      <c r="AU559" s="10" t="s">
        <v>2</v>
      </c>
      <c r="AV559" s="10" t="s">
        <v>3</v>
      </c>
      <c r="AW559" s="10" t="s">
        <v>1337</v>
      </c>
    </row>
    <row r="560" spans="1:49" x14ac:dyDescent="0.3">
      <c r="A560" s="10" t="s">
        <v>1388</v>
      </c>
      <c r="B560" s="10" t="s">
        <v>441</v>
      </c>
      <c r="C560" s="10" t="s">
        <v>1374</v>
      </c>
      <c r="D560" s="10" t="s">
        <v>1375</v>
      </c>
      <c r="E560" s="10">
        <v>1988</v>
      </c>
      <c r="F560" t="s">
        <v>2661</v>
      </c>
      <c r="G560" s="16" t="s">
        <v>22</v>
      </c>
      <c r="H560" s="10" t="s">
        <v>17</v>
      </c>
      <c r="I560" s="10" t="s">
        <v>1400</v>
      </c>
      <c r="J560" s="10" t="s">
        <v>1398</v>
      </c>
      <c r="K560" s="10">
        <v>3</v>
      </c>
      <c r="L560" s="10">
        <v>3</v>
      </c>
      <c r="N560" s="10">
        <v>8.08</v>
      </c>
      <c r="O560" s="10"/>
      <c r="P560" s="10"/>
      <c r="Q560" s="10"/>
      <c r="R560" s="10"/>
      <c r="S560" s="10"/>
      <c r="T560" s="10"/>
      <c r="U560" s="10"/>
      <c r="V560" s="10">
        <v>10.76</v>
      </c>
      <c r="W560" s="10"/>
      <c r="X560" s="10"/>
      <c r="Y560" s="10"/>
      <c r="Z560" s="10"/>
      <c r="AA560" s="10"/>
      <c r="AB560" s="10"/>
      <c r="AC560" s="10"/>
      <c r="AD560" s="10"/>
      <c r="AE560" s="10"/>
      <c r="AF560" s="10"/>
      <c r="AG560" s="10"/>
      <c r="AH560" s="10"/>
      <c r="AI560" s="14">
        <f t="shared" si="83"/>
        <v>1.3316831683168318</v>
      </c>
      <c r="AJ560" s="10"/>
      <c r="AK560" s="10"/>
      <c r="AL560" s="10"/>
      <c r="AN560" s="10"/>
      <c r="AO560" s="10"/>
      <c r="AP560" s="10"/>
      <c r="AQ560" s="10">
        <v>0</v>
      </c>
      <c r="AR560" s="10" t="s">
        <v>308</v>
      </c>
      <c r="AS560" s="10"/>
      <c r="AT560" s="10"/>
      <c r="AU560" s="10" t="s">
        <v>2</v>
      </c>
      <c r="AV560" s="10" t="s">
        <v>3</v>
      </c>
      <c r="AW560" s="10" t="s">
        <v>1337</v>
      </c>
    </row>
    <row r="561" spans="1:49" x14ac:dyDescent="0.3">
      <c r="A561" s="10" t="s">
        <v>1388</v>
      </c>
      <c r="B561" s="10" t="s">
        <v>441</v>
      </c>
      <c r="C561" s="10" t="s">
        <v>1374</v>
      </c>
      <c r="D561" s="10" t="s">
        <v>1375</v>
      </c>
      <c r="E561" s="10">
        <v>1989</v>
      </c>
      <c r="F561" t="s">
        <v>2661</v>
      </c>
      <c r="G561" s="16" t="s">
        <v>22</v>
      </c>
      <c r="H561" s="10" t="s">
        <v>17</v>
      </c>
      <c r="I561" s="10" t="s">
        <v>1400</v>
      </c>
      <c r="J561" s="10" t="s">
        <v>1398</v>
      </c>
      <c r="K561" s="10">
        <v>3</v>
      </c>
      <c r="L561" s="10">
        <v>3</v>
      </c>
      <c r="N561" s="10">
        <v>7.33</v>
      </c>
      <c r="O561" s="10"/>
      <c r="P561" s="10"/>
      <c r="Q561" s="10"/>
      <c r="R561" s="10"/>
      <c r="S561" s="10"/>
      <c r="T561" s="10"/>
      <c r="U561" s="10"/>
      <c r="V561" s="10">
        <v>8.7799999999999994</v>
      </c>
      <c r="W561" s="10"/>
      <c r="X561" s="10"/>
      <c r="Y561" s="10"/>
      <c r="Z561" s="10"/>
      <c r="AA561" s="10"/>
      <c r="AB561" s="10"/>
      <c r="AC561" s="10"/>
      <c r="AD561" s="10"/>
      <c r="AE561" s="10"/>
      <c r="AF561" s="10"/>
      <c r="AG561" s="10"/>
      <c r="AH561" s="10"/>
      <c r="AI561" s="14">
        <f t="shared" si="83"/>
        <v>1.1978171896316507</v>
      </c>
      <c r="AJ561" s="10"/>
      <c r="AK561" s="10"/>
      <c r="AL561" s="10"/>
      <c r="AN561" s="10"/>
      <c r="AO561" s="10"/>
      <c r="AP561" s="10"/>
      <c r="AQ561" s="10">
        <v>0</v>
      </c>
      <c r="AR561" s="10" t="s">
        <v>308</v>
      </c>
      <c r="AS561" s="10" t="s">
        <v>3</v>
      </c>
      <c r="AT561" s="10"/>
      <c r="AU561" s="10" t="s">
        <v>2</v>
      </c>
      <c r="AV561" s="10" t="s">
        <v>3</v>
      </c>
      <c r="AW561" s="10" t="s">
        <v>1337</v>
      </c>
    </row>
    <row r="562" spans="1:49" x14ac:dyDescent="0.3">
      <c r="A562" s="10" t="s">
        <v>1388</v>
      </c>
      <c r="B562" s="10" t="s">
        <v>441</v>
      </c>
      <c r="C562" s="10" t="s">
        <v>1374</v>
      </c>
      <c r="D562" s="10" t="s">
        <v>1375</v>
      </c>
      <c r="E562" s="10">
        <v>1990</v>
      </c>
      <c r="F562" t="s">
        <v>2661</v>
      </c>
      <c r="G562" s="16" t="s">
        <v>22</v>
      </c>
      <c r="H562" s="10" t="s">
        <v>17</v>
      </c>
      <c r="I562" s="10" t="s">
        <v>1400</v>
      </c>
      <c r="J562" s="10" t="s">
        <v>1398</v>
      </c>
      <c r="K562" s="10">
        <v>3</v>
      </c>
      <c r="L562" s="10">
        <v>3</v>
      </c>
      <c r="N562" s="10">
        <v>11.36</v>
      </c>
      <c r="O562" s="10"/>
      <c r="P562" s="10"/>
      <c r="Q562" s="10"/>
      <c r="R562" s="10"/>
      <c r="S562" s="10"/>
      <c r="T562" s="10"/>
      <c r="U562" s="10"/>
      <c r="V562" s="10">
        <v>13.64</v>
      </c>
      <c r="W562" s="10"/>
      <c r="X562" s="10"/>
      <c r="Y562" s="10"/>
      <c r="Z562" s="10"/>
      <c r="AA562" s="10"/>
      <c r="AB562" s="10"/>
      <c r="AC562" s="10"/>
      <c r="AD562" s="10"/>
      <c r="AE562" s="10"/>
      <c r="AF562" s="10"/>
      <c r="AG562" s="10"/>
      <c r="AH562" s="10"/>
      <c r="AI562" s="14">
        <f t="shared" si="83"/>
        <v>1.2007042253521127</v>
      </c>
      <c r="AJ562" s="10"/>
      <c r="AK562" s="10"/>
      <c r="AL562" s="10"/>
      <c r="AN562" s="10"/>
      <c r="AO562" s="10"/>
      <c r="AP562" s="10"/>
      <c r="AQ562" s="10">
        <v>0</v>
      </c>
      <c r="AR562" s="10" t="s">
        <v>308</v>
      </c>
      <c r="AS562" s="10"/>
      <c r="AT562" s="10"/>
      <c r="AU562" s="10" t="s">
        <v>2</v>
      </c>
      <c r="AV562" s="10" t="s">
        <v>3</v>
      </c>
      <c r="AW562" s="10" t="s">
        <v>1337</v>
      </c>
    </row>
    <row r="563" spans="1:49" x14ac:dyDescent="0.3">
      <c r="A563" s="10" t="s">
        <v>1388</v>
      </c>
      <c r="B563" s="10" t="s">
        <v>441</v>
      </c>
      <c r="C563" s="10" t="s">
        <v>1374</v>
      </c>
      <c r="D563" s="10" t="s">
        <v>1375</v>
      </c>
      <c r="E563" s="10">
        <v>1991</v>
      </c>
      <c r="F563" t="s">
        <v>2661</v>
      </c>
      <c r="G563" s="16" t="s">
        <v>22</v>
      </c>
      <c r="H563" s="10" t="s">
        <v>17</v>
      </c>
      <c r="I563" s="10" t="s">
        <v>1400</v>
      </c>
      <c r="J563" s="10" t="s">
        <v>1398</v>
      </c>
      <c r="K563" s="10">
        <v>3</v>
      </c>
      <c r="L563" s="10">
        <v>3</v>
      </c>
      <c r="N563" s="10">
        <v>7.09</v>
      </c>
      <c r="O563" s="10"/>
      <c r="P563" s="10"/>
      <c r="Q563" s="10"/>
      <c r="R563" s="10"/>
      <c r="S563" s="10"/>
      <c r="T563" s="10"/>
      <c r="U563" s="10"/>
      <c r="V563" s="10">
        <v>11.06</v>
      </c>
      <c r="W563" s="10"/>
      <c r="X563" s="10"/>
      <c r="Y563" s="10"/>
      <c r="Z563" s="10"/>
      <c r="AA563" s="10"/>
      <c r="AB563" s="10"/>
      <c r="AC563" s="10"/>
      <c r="AD563" s="10"/>
      <c r="AE563" s="10"/>
      <c r="AF563" s="10"/>
      <c r="AG563" s="10"/>
      <c r="AH563" s="10"/>
      <c r="AI563" s="14">
        <f t="shared" si="83"/>
        <v>1.5599435825105783</v>
      </c>
      <c r="AJ563" s="10"/>
      <c r="AK563" s="10"/>
      <c r="AL563" s="10"/>
      <c r="AN563" s="10"/>
      <c r="AO563" s="10"/>
      <c r="AP563" s="10"/>
      <c r="AQ563" s="10">
        <v>0</v>
      </c>
      <c r="AR563" s="10" t="s">
        <v>14</v>
      </c>
      <c r="AS563" s="10"/>
      <c r="AT563" s="10"/>
      <c r="AU563" s="10" t="s">
        <v>2</v>
      </c>
      <c r="AV563" s="10" t="s">
        <v>3</v>
      </c>
      <c r="AW563" s="10" t="s">
        <v>1337</v>
      </c>
    </row>
    <row r="564" spans="1:49" x14ac:dyDescent="0.3">
      <c r="A564" s="10" t="s">
        <v>1388</v>
      </c>
      <c r="B564" s="10" t="s">
        <v>441</v>
      </c>
      <c r="C564" s="10" t="s">
        <v>1374</v>
      </c>
      <c r="D564" s="10" t="s">
        <v>1375</v>
      </c>
      <c r="E564" s="10">
        <v>1988</v>
      </c>
      <c r="F564" t="s">
        <v>2661</v>
      </c>
      <c r="G564" s="16" t="s">
        <v>22</v>
      </c>
      <c r="H564" s="10" t="s">
        <v>17</v>
      </c>
      <c r="I564" s="10" t="s">
        <v>1400</v>
      </c>
      <c r="J564" s="10" t="s">
        <v>1399</v>
      </c>
      <c r="K564" s="10">
        <v>3</v>
      </c>
      <c r="L564" s="10">
        <v>3</v>
      </c>
      <c r="N564" s="10">
        <v>8.08</v>
      </c>
      <c r="O564" s="10"/>
      <c r="P564" s="10"/>
      <c r="Q564" s="10"/>
      <c r="R564" s="10"/>
      <c r="S564" s="10"/>
      <c r="T564" s="10"/>
      <c r="U564" s="10"/>
      <c r="V564" s="10">
        <v>9.58</v>
      </c>
      <c r="W564" s="10"/>
      <c r="X564" s="10"/>
      <c r="Y564" s="10"/>
      <c r="Z564" s="10"/>
      <c r="AA564" s="10"/>
      <c r="AB564" s="10"/>
      <c r="AC564" s="10"/>
      <c r="AD564" s="10"/>
      <c r="AE564" s="10"/>
      <c r="AF564" s="10"/>
      <c r="AG564" s="10"/>
      <c r="AH564" s="10"/>
      <c r="AI564" s="14">
        <f t="shared" ref="AI564:AI595" si="84">V564/N564</f>
        <v>1.1856435643564356</v>
      </c>
      <c r="AJ564" s="10"/>
      <c r="AK564" s="10"/>
      <c r="AL564" s="10"/>
      <c r="AN564" s="10"/>
      <c r="AO564" s="10"/>
      <c r="AP564" s="10"/>
      <c r="AQ564" s="10">
        <v>0</v>
      </c>
      <c r="AR564" s="10" t="s">
        <v>308</v>
      </c>
      <c r="AS564" s="10"/>
      <c r="AT564" s="10"/>
      <c r="AU564" s="10" t="s">
        <v>2</v>
      </c>
      <c r="AV564" s="10" t="s">
        <v>3</v>
      </c>
      <c r="AW564" s="10" t="s">
        <v>1337</v>
      </c>
    </row>
    <row r="565" spans="1:49" x14ac:dyDescent="0.3">
      <c r="A565" s="10" t="s">
        <v>1388</v>
      </c>
      <c r="B565" s="10" t="s">
        <v>441</v>
      </c>
      <c r="C565" s="10" t="s">
        <v>1374</v>
      </c>
      <c r="D565" s="10" t="s">
        <v>1375</v>
      </c>
      <c r="E565" s="10">
        <v>1989</v>
      </c>
      <c r="F565" t="s">
        <v>2661</v>
      </c>
      <c r="G565" s="16" t="s">
        <v>22</v>
      </c>
      <c r="H565" s="10" t="s">
        <v>17</v>
      </c>
      <c r="I565" s="10" t="s">
        <v>1400</v>
      </c>
      <c r="J565" s="10" t="s">
        <v>1399</v>
      </c>
      <c r="K565" s="10">
        <v>3</v>
      </c>
      <c r="L565" s="10">
        <v>3</v>
      </c>
      <c r="N565" s="10">
        <v>7.33</v>
      </c>
      <c r="O565" s="10"/>
      <c r="P565" s="10"/>
      <c r="Q565" s="10"/>
      <c r="R565" s="10"/>
      <c r="S565" s="10"/>
      <c r="T565" s="10"/>
      <c r="U565" s="10"/>
      <c r="V565" s="10">
        <v>6.77</v>
      </c>
      <c r="W565" s="10"/>
      <c r="X565" s="10"/>
      <c r="Y565" s="10"/>
      <c r="Z565" s="10"/>
      <c r="AA565" s="10"/>
      <c r="AB565" s="10"/>
      <c r="AC565" s="10"/>
      <c r="AD565" s="10"/>
      <c r="AE565" s="10"/>
      <c r="AF565" s="10"/>
      <c r="AG565" s="10"/>
      <c r="AH565" s="10"/>
      <c r="AI565" s="14">
        <f t="shared" si="84"/>
        <v>0.92360163710777621</v>
      </c>
      <c r="AJ565" s="10"/>
      <c r="AK565" s="10"/>
      <c r="AL565" s="10"/>
      <c r="AN565" s="10"/>
      <c r="AO565" s="10"/>
      <c r="AP565" s="10"/>
      <c r="AQ565" s="10">
        <v>0</v>
      </c>
      <c r="AR565" s="10" t="s">
        <v>308</v>
      </c>
      <c r="AS565" s="10" t="s">
        <v>3</v>
      </c>
      <c r="AT565" s="10"/>
      <c r="AU565" s="10" t="s">
        <v>2</v>
      </c>
      <c r="AV565" s="10" t="s">
        <v>3</v>
      </c>
      <c r="AW565" s="10" t="s">
        <v>1337</v>
      </c>
    </row>
    <row r="566" spans="1:49" x14ac:dyDescent="0.3">
      <c r="A566" s="10" t="s">
        <v>1388</v>
      </c>
      <c r="B566" s="10" t="s">
        <v>441</v>
      </c>
      <c r="C566" s="10" t="s">
        <v>1374</v>
      </c>
      <c r="D566" s="10" t="s">
        <v>1375</v>
      </c>
      <c r="E566" s="10">
        <v>1990</v>
      </c>
      <c r="F566" t="s">
        <v>2661</v>
      </c>
      <c r="G566" s="16" t="s">
        <v>22</v>
      </c>
      <c r="H566" s="10" t="s">
        <v>17</v>
      </c>
      <c r="I566" s="10" t="s">
        <v>1400</v>
      </c>
      <c r="J566" s="10" t="s">
        <v>1399</v>
      </c>
      <c r="K566" s="10">
        <v>3</v>
      </c>
      <c r="L566" s="10">
        <v>3</v>
      </c>
      <c r="N566" s="10">
        <v>11.36</v>
      </c>
      <c r="O566" s="10"/>
      <c r="P566" s="10"/>
      <c r="Q566" s="10"/>
      <c r="R566" s="10"/>
      <c r="S566" s="10"/>
      <c r="T566" s="10"/>
      <c r="U566" s="10"/>
      <c r="V566" s="10">
        <v>10.35</v>
      </c>
      <c r="W566" s="10"/>
      <c r="X566" s="10"/>
      <c r="Y566" s="10"/>
      <c r="Z566" s="10"/>
      <c r="AA566" s="10"/>
      <c r="AB566" s="10"/>
      <c r="AC566" s="10"/>
      <c r="AD566" s="10"/>
      <c r="AE566" s="10"/>
      <c r="AF566" s="10"/>
      <c r="AG566" s="10"/>
      <c r="AH566" s="10"/>
      <c r="AI566" s="14">
        <f t="shared" si="84"/>
        <v>0.91109154929577463</v>
      </c>
      <c r="AJ566" s="10"/>
      <c r="AK566" s="10"/>
      <c r="AL566" s="10"/>
      <c r="AN566" s="10"/>
      <c r="AO566" s="10"/>
      <c r="AP566" s="10"/>
      <c r="AQ566" s="10">
        <v>0</v>
      </c>
      <c r="AR566" s="10" t="s">
        <v>308</v>
      </c>
      <c r="AS566" s="10"/>
      <c r="AT566" s="10"/>
      <c r="AU566" s="10" t="s">
        <v>2</v>
      </c>
      <c r="AV566" s="10" t="s">
        <v>3</v>
      </c>
      <c r="AW566" s="10" t="s">
        <v>1337</v>
      </c>
    </row>
    <row r="567" spans="1:49" x14ac:dyDescent="0.3">
      <c r="A567" s="10" t="s">
        <v>1388</v>
      </c>
      <c r="B567" s="10" t="s">
        <v>441</v>
      </c>
      <c r="C567" s="10" t="s">
        <v>1374</v>
      </c>
      <c r="D567" s="10" t="s">
        <v>1375</v>
      </c>
      <c r="E567" s="10">
        <v>1991</v>
      </c>
      <c r="F567" t="s">
        <v>2661</v>
      </c>
      <c r="G567" s="16" t="s">
        <v>22</v>
      </c>
      <c r="H567" s="10" t="s">
        <v>17</v>
      </c>
      <c r="I567" s="10" t="s">
        <v>1400</v>
      </c>
      <c r="J567" s="10" t="s">
        <v>1399</v>
      </c>
      <c r="K567" s="10">
        <v>3</v>
      </c>
      <c r="L567" s="10">
        <v>3</v>
      </c>
      <c r="N567" s="10">
        <v>7.09</v>
      </c>
      <c r="O567" s="10"/>
      <c r="P567" s="10"/>
      <c r="Q567" s="10"/>
      <c r="R567" s="10"/>
      <c r="S567" s="10"/>
      <c r="T567" s="10"/>
      <c r="U567" s="10"/>
      <c r="V567" s="10">
        <v>9.51</v>
      </c>
      <c r="W567" s="10"/>
      <c r="X567" s="10"/>
      <c r="Y567" s="10"/>
      <c r="Z567" s="10"/>
      <c r="AA567" s="10"/>
      <c r="AB567" s="10"/>
      <c r="AC567" s="10"/>
      <c r="AD567" s="10"/>
      <c r="AE567" s="10"/>
      <c r="AF567" s="10"/>
      <c r="AG567" s="10"/>
      <c r="AH567" s="10"/>
      <c r="AI567" s="14">
        <f t="shared" si="84"/>
        <v>1.3413258110014104</v>
      </c>
      <c r="AJ567" s="10"/>
      <c r="AK567" s="10"/>
      <c r="AL567" s="10"/>
      <c r="AN567" s="10"/>
      <c r="AO567" s="10"/>
      <c r="AP567" s="10"/>
      <c r="AQ567" s="10">
        <v>0</v>
      </c>
      <c r="AR567" s="10" t="s">
        <v>14</v>
      </c>
      <c r="AS567" s="10"/>
      <c r="AT567" s="10"/>
      <c r="AU567" s="10" t="s">
        <v>2</v>
      </c>
      <c r="AV567" s="10" t="s">
        <v>3</v>
      </c>
      <c r="AW567" s="10" t="s">
        <v>1337</v>
      </c>
    </row>
    <row r="568" spans="1:49" x14ac:dyDescent="0.3">
      <c r="A568" s="10" t="s">
        <v>1388</v>
      </c>
      <c r="B568" s="10" t="s">
        <v>441</v>
      </c>
      <c r="C568" s="10" t="s">
        <v>1374</v>
      </c>
      <c r="D568" s="10" t="s">
        <v>1375</v>
      </c>
      <c r="E568" s="10">
        <v>1988</v>
      </c>
      <c r="F568" t="s">
        <v>2661</v>
      </c>
      <c r="G568" s="16" t="s">
        <v>22</v>
      </c>
      <c r="H568" s="10" t="s">
        <v>17</v>
      </c>
      <c r="I568" s="10" t="s">
        <v>1404</v>
      </c>
      <c r="J568" s="10" t="s">
        <v>1401</v>
      </c>
      <c r="K568" s="10">
        <v>3</v>
      </c>
      <c r="L568" s="10">
        <v>3</v>
      </c>
      <c r="N568" s="10">
        <v>8.6999999999999993</v>
      </c>
      <c r="O568" s="10"/>
      <c r="P568" s="10"/>
      <c r="Q568" s="10"/>
      <c r="R568" s="10"/>
      <c r="S568" s="10"/>
      <c r="T568" s="10"/>
      <c r="U568" s="10"/>
      <c r="V568" s="10">
        <v>8.2899999999999991</v>
      </c>
      <c r="W568" s="10"/>
      <c r="X568" s="10"/>
      <c r="Y568" s="10"/>
      <c r="Z568" s="10"/>
      <c r="AA568" s="10"/>
      <c r="AB568" s="10"/>
      <c r="AC568" s="10"/>
      <c r="AD568" s="10"/>
      <c r="AE568" s="10"/>
      <c r="AF568" s="10"/>
      <c r="AG568" s="10"/>
      <c r="AH568" s="10"/>
      <c r="AI568" s="14">
        <f t="shared" si="84"/>
        <v>0.95287356321839078</v>
      </c>
      <c r="AJ568" s="10"/>
      <c r="AK568" s="10"/>
      <c r="AL568" s="10"/>
      <c r="AN568" s="10"/>
      <c r="AO568" s="10"/>
      <c r="AP568" s="10"/>
      <c r="AQ568" s="10">
        <v>0</v>
      </c>
      <c r="AR568" s="10" t="s">
        <v>308</v>
      </c>
      <c r="AS568" s="10"/>
      <c r="AT568" s="10"/>
      <c r="AU568" s="10" t="s">
        <v>2</v>
      </c>
      <c r="AV568" s="10" t="s">
        <v>3</v>
      </c>
      <c r="AW568" s="10" t="s">
        <v>1337</v>
      </c>
    </row>
    <row r="569" spans="1:49" x14ac:dyDescent="0.3">
      <c r="A569" s="10" t="s">
        <v>1388</v>
      </c>
      <c r="B569" s="10" t="s">
        <v>441</v>
      </c>
      <c r="C569" s="10" t="s">
        <v>1374</v>
      </c>
      <c r="D569" s="10" t="s">
        <v>1375</v>
      </c>
      <c r="E569" s="10">
        <v>1989</v>
      </c>
      <c r="F569" t="s">
        <v>2661</v>
      </c>
      <c r="G569" s="16" t="s">
        <v>22</v>
      </c>
      <c r="H569" s="10" t="s">
        <v>17</v>
      </c>
      <c r="I569" s="10" t="s">
        <v>1404</v>
      </c>
      <c r="J569" s="10" t="s">
        <v>1401</v>
      </c>
      <c r="K569" s="10">
        <v>3</v>
      </c>
      <c r="L569" s="10">
        <v>3</v>
      </c>
      <c r="N569" s="10">
        <v>5.86</v>
      </c>
      <c r="O569" s="10"/>
      <c r="P569" s="10"/>
      <c r="Q569" s="10"/>
      <c r="R569" s="10"/>
      <c r="S569" s="10"/>
      <c r="T569" s="10"/>
      <c r="U569" s="10"/>
      <c r="V569" s="10">
        <v>5.29</v>
      </c>
      <c r="W569" s="10"/>
      <c r="X569" s="10"/>
      <c r="Y569" s="10"/>
      <c r="Z569" s="10"/>
      <c r="AA569" s="10"/>
      <c r="AB569" s="10"/>
      <c r="AC569" s="10"/>
      <c r="AD569" s="10"/>
      <c r="AE569" s="10"/>
      <c r="AF569" s="10"/>
      <c r="AG569" s="10"/>
      <c r="AH569" s="10"/>
      <c r="AI569" s="14">
        <f t="shared" si="84"/>
        <v>0.90273037542662116</v>
      </c>
      <c r="AJ569" s="10"/>
      <c r="AK569" s="10"/>
      <c r="AL569" s="10"/>
      <c r="AN569" s="10"/>
      <c r="AO569" s="10"/>
      <c r="AP569" s="10"/>
      <c r="AQ569" s="10">
        <v>0</v>
      </c>
      <c r="AR569" s="10" t="s">
        <v>308</v>
      </c>
      <c r="AS569" s="10" t="s">
        <v>3</v>
      </c>
      <c r="AT569" s="10"/>
      <c r="AU569" s="10" t="s">
        <v>2</v>
      </c>
      <c r="AV569" s="10" t="s">
        <v>3</v>
      </c>
      <c r="AW569" s="10" t="s">
        <v>1337</v>
      </c>
    </row>
    <row r="570" spans="1:49" x14ac:dyDescent="0.3">
      <c r="A570" s="10" t="s">
        <v>1388</v>
      </c>
      <c r="B570" s="10" t="s">
        <v>441</v>
      </c>
      <c r="C570" s="10" t="s">
        <v>1374</v>
      </c>
      <c r="D570" s="10" t="s">
        <v>1375</v>
      </c>
      <c r="E570" s="10">
        <v>1990</v>
      </c>
      <c r="F570" t="s">
        <v>2661</v>
      </c>
      <c r="G570" s="16" t="s">
        <v>22</v>
      </c>
      <c r="H570" s="10" t="s">
        <v>17</v>
      </c>
      <c r="I570" s="10" t="s">
        <v>1404</v>
      </c>
      <c r="J570" s="10" t="s">
        <v>1401</v>
      </c>
      <c r="K570" s="10">
        <v>3</v>
      </c>
      <c r="L570" s="10">
        <v>3</v>
      </c>
      <c r="N570" s="10">
        <v>8.59</v>
      </c>
      <c r="O570" s="10"/>
      <c r="P570" s="10"/>
      <c r="Q570" s="10"/>
      <c r="R570" s="10"/>
      <c r="S570" s="10"/>
      <c r="T570" s="10"/>
      <c r="U570" s="10"/>
      <c r="V570" s="10">
        <v>10.95</v>
      </c>
      <c r="W570" s="10"/>
      <c r="X570" s="10"/>
      <c r="Y570" s="10"/>
      <c r="Z570" s="10"/>
      <c r="AA570" s="10"/>
      <c r="AB570" s="10"/>
      <c r="AC570" s="10"/>
      <c r="AD570" s="10"/>
      <c r="AE570" s="10"/>
      <c r="AF570" s="10"/>
      <c r="AG570" s="10"/>
      <c r="AH570" s="10"/>
      <c r="AI570" s="14">
        <f t="shared" si="84"/>
        <v>1.2747380675203726</v>
      </c>
      <c r="AJ570" s="10"/>
      <c r="AK570" s="10"/>
      <c r="AL570" s="10"/>
      <c r="AN570" s="10"/>
      <c r="AO570" s="10"/>
      <c r="AP570" s="10"/>
      <c r="AQ570" s="10">
        <v>0</v>
      </c>
      <c r="AR570" s="10" t="s">
        <v>308</v>
      </c>
      <c r="AS570" s="10"/>
      <c r="AT570" s="10"/>
      <c r="AU570" s="10" t="s">
        <v>2</v>
      </c>
      <c r="AV570" s="10" t="s">
        <v>3</v>
      </c>
      <c r="AW570" s="10" t="s">
        <v>1337</v>
      </c>
    </row>
    <row r="571" spans="1:49" x14ac:dyDescent="0.3">
      <c r="A571" s="10" t="s">
        <v>1388</v>
      </c>
      <c r="B571" s="10" t="s">
        <v>441</v>
      </c>
      <c r="C571" s="10" t="s">
        <v>1374</v>
      </c>
      <c r="D571" s="10" t="s">
        <v>1375</v>
      </c>
      <c r="E571" s="10">
        <v>1991</v>
      </c>
      <c r="F571" t="s">
        <v>2661</v>
      </c>
      <c r="G571" s="16" t="s">
        <v>22</v>
      </c>
      <c r="H571" s="10" t="s">
        <v>17</v>
      </c>
      <c r="I571" s="10" t="s">
        <v>1404</v>
      </c>
      <c r="J571" s="10" t="s">
        <v>1401</v>
      </c>
      <c r="K571" s="10">
        <v>3</v>
      </c>
      <c r="L571" s="10">
        <v>3</v>
      </c>
      <c r="N571" s="10">
        <v>6.91</v>
      </c>
      <c r="O571" s="10"/>
      <c r="P571" s="10"/>
      <c r="Q571" s="10"/>
      <c r="R571" s="10"/>
      <c r="S571" s="10"/>
      <c r="T571" s="10"/>
      <c r="U571" s="10"/>
      <c r="V571" s="10">
        <v>7.78</v>
      </c>
      <c r="W571" s="10"/>
      <c r="X571" s="10"/>
      <c r="Y571" s="10"/>
      <c r="Z571" s="10"/>
      <c r="AA571" s="10"/>
      <c r="AB571" s="10"/>
      <c r="AC571" s="10"/>
      <c r="AD571" s="10"/>
      <c r="AE571" s="10"/>
      <c r="AF571" s="10"/>
      <c r="AG571" s="10"/>
      <c r="AH571" s="10"/>
      <c r="AI571" s="14">
        <f t="shared" si="84"/>
        <v>1.1259044862518091</v>
      </c>
      <c r="AJ571" s="10"/>
      <c r="AK571" s="10"/>
      <c r="AL571" s="10"/>
      <c r="AN571" s="10"/>
      <c r="AO571" s="10"/>
      <c r="AP571" s="10"/>
      <c r="AQ571" s="10">
        <v>0</v>
      </c>
      <c r="AR571" s="10" t="s">
        <v>14</v>
      </c>
      <c r="AS571" s="10"/>
      <c r="AT571" s="10"/>
      <c r="AU571" s="10" t="s">
        <v>2</v>
      </c>
      <c r="AV571" s="10" t="s">
        <v>3</v>
      </c>
      <c r="AW571" s="10" t="s">
        <v>1337</v>
      </c>
    </row>
    <row r="572" spans="1:49" x14ac:dyDescent="0.3">
      <c r="A572" s="10" t="s">
        <v>1388</v>
      </c>
      <c r="B572" s="10" t="s">
        <v>441</v>
      </c>
      <c r="C572" s="10" t="s">
        <v>1374</v>
      </c>
      <c r="D572" s="10" t="s">
        <v>1375</v>
      </c>
      <c r="E572" s="10">
        <v>1988</v>
      </c>
      <c r="F572" t="s">
        <v>2661</v>
      </c>
      <c r="G572" s="16" t="s">
        <v>22</v>
      </c>
      <c r="H572" s="10" t="s">
        <v>17</v>
      </c>
      <c r="I572" s="10" t="s">
        <v>1404</v>
      </c>
      <c r="J572" s="10" t="s">
        <v>1402</v>
      </c>
      <c r="K572" s="10">
        <v>3</v>
      </c>
      <c r="L572" s="10">
        <v>3</v>
      </c>
      <c r="N572" s="10">
        <v>8.6999999999999993</v>
      </c>
      <c r="O572" s="10"/>
      <c r="P572" s="10"/>
      <c r="Q572" s="10"/>
      <c r="R572" s="10"/>
      <c r="S572" s="10"/>
      <c r="T572" s="10"/>
      <c r="U572" s="10"/>
      <c r="V572" s="10">
        <v>9.82</v>
      </c>
      <c r="W572" s="10"/>
      <c r="X572" s="10"/>
      <c r="Y572" s="10"/>
      <c r="Z572" s="10"/>
      <c r="AA572" s="10"/>
      <c r="AB572" s="10"/>
      <c r="AC572" s="10"/>
      <c r="AD572" s="10"/>
      <c r="AE572" s="10"/>
      <c r="AF572" s="10"/>
      <c r="AG572" s="10"/>
      <c r="AH572" s="10"/>
      <c r="AI572" s="14">
        <f t="shared" si="84"/>
        <v>1.1287356321839082</v>
      </c>
      <c r="AJ572" s="10"/>
      <c r="AK572" s="10"/>
      <c r="AL572" s="10"/>
      <c r="AN572" s="10"/>
      <c r="AO572" s="10"/>
      <c r="AP572" s="10"/>
      <c r="AQ572" s="10">
        <v>0</v>
      </c>
      <c r="AR572" s="10" t="s">
        <v>308</v>
      </c>
      <c r="AS572" s="10"/>
      <c r="AT572" s="10"/>
      <c r="AU572" s="10" t="s">
        <v>2</v>
      </c>
      <c r="AV572" s="10" t="s">
        <v>3</v>
      </c>
      <c r="AW572" s="10" t="s">
        <v>1337</v>
      </c>
    </row>
    <row r="573" spans="1:49" x14ac:dyDescent="0.3">
      <c r="A573" s="10" t="s">
        <v>1388</v>
      </c>
      <c r="B573" s="10" t="s">
        <v>441</v>
      </c>
      <c r="C573" s="10" t="s">
        <v>1374</v>
      </c>
      <c r="D573" s="10" t="s">
        <v>1375</v>
      </c>
      <c r="E573" s="10">
        <v>1989</v>
      </c>
      <c r="F573" t="s">
        <v>2661</v>
      </c>
      <c r="G573" s="16" t="s">
        <v>22</v>
      </c>
      <c r="H573" s="10" t="s">
        <v>17</v>
      </c>
      <c r="I573" s="10" t="s">
        <v>1404</v>
      </c>
      <c r="J573" s="10" t="s">
        <v>1402</v>
      </c>
      <c r="K573" s="10">
        <v>3</v>
      </c>
      <c r="L573" s="10">
        <v>3</v>
      </c>
      <c r="N573" s="10">
        <v>5.86</v>
      </c>
      <c r="O573" s="10"/>
      <c r="P573" s="10"/>
      <c r="Q573" s="10"/>
      <c r="R573" s="10"/>
      <c r="S573" s="10"/>
      <c r="T573" s="10"/>
      <c r="U573" s="10"/>
      <c r="V573" s="10">
        <v>8.52</v>
      </c>
      <c r="W573" s="10"/>
      <c r="X573" s="10"/>
      <c r="Y573" s="10"/>
      <c r="Z573" s="10"/>
      <c r="AA573" s="10"/>
      <c r="AB573" s="10"/>
      <c r="AC573" s="10"/>
      <c r="AD573" s="10"/>
      <c r="AE573" s="10"/>
      <c r="AF573" s="10"/>
      <c r="AG573" s="10"/>
      <c r="AH573" s="10"/>
      <c r="AI573" s="14">
        <f t="shared" si="84"/>
        <v>1.4539249146757678</v>
      </c>
      <c r="AJ573" s="10"/>
      <c r="AK573" s="10"/>
      <c r="AL573" s="10"/>
      <c r="AN573" s="10"/>
      <c r="AO573" s="10"/>
      <c r="AP573" s="10"/>
      <c r="AQ573" s="10">
        <v>0</v>
      </c>
      <c r="AR573" s="10" t="s">
        <v>308</v>
      </c>
      <c r="AS573" s="10" t="s">
        <v>3</v>
      </c>
      <c r="AT573" s="10"/>
      <c r="AU573" s="10" t="s">
        <v>2</v>
      </c>
      <c r="AV573" s="10" t="s">
        <v>3</v>
      </c>
      <c r="AW573" s="10" t="s">
        <v>1337</v>
      </c>
    </row>
    <row r="574" spans="1:49" x14ac:dyDescent="0.3">
      <c r="A574" s="10" t="s">
        <v>1388</v>
      </c>
      <c r="B574" s="10" t="s">
        <v>441</v>
      </c>
      <c r="C574" s="10" t="s">
        <v>1374</v>
      </c>
      <c r="D574" s="10" t="s">
        <v>1375</v>
      </c>
      <c r="E574" s="10">
        <v>1990</v>
      </c>
      <c r="F574" t="s">
        <v>2661</v>
      </c>
      <c r="G574" s="16" t="s">
        <v>22</v>
      </c>
      <c r="H574" s="10" t="s">
        <v>17</v>
      </c>
      <c r="I574" s="10" t="s">
        <v>1404</v>
      </c>
      <c r="J574" s="10" t="s">
        <v>1402</v>
      </c>
      <c r="K574" s="10">
        <v>3</v>
      </c>
      <c r="L574" s="10">
        <v>3</v>
      </c>
      <c r="N574" s="10">
        <v>8.59</v>
      </c>
      <c r="O574" s="10"/>
      <c r="P574" s="10"/>
      <c r="Q574" s="10"/>
      <c r="R574" s="10"/>
      <c r="S574" s="10"/>
      <c r="T574" s="10"/>
      <c r="U574" s="10"/>
      <c r="V574" s="10">
        <v>14.66</v>
      </c>
      <c r="W574" s="10"/>
      <c r="X574" s="10"/>
      <c r="Y574" s="10"/>
      <c r="Z574" s="10"/>
      <c r="AA574" s="10"/>
      <c r="AB574" s="10"/>
      <c r="AC574" s="10"/>
      <c r="AD574" s="10"/>
      <c r="AE574" s="10"/>
      <c r="AF574" s="10"/>
      <c r="AG574" s="10"/>
      <c r="AH574" s="10"/>
      <c r="AI574" s="14">
        <f t="shared" si="84"/>
        <v>1.7066356228172295</v>
      </c>
      <c r="AJ574" s="10"/>
      <c r="AK574" s="10"/>
      <c r="AL574" s="10"/>
      <c r="AN574" s="10"/>
      <c r="AO574" s="10"/>
      <c r="AP574" s="10"/>
      <c r="AQ574" s="10">
        <v>0</v>
      </c>
      <c r="AR574" s="10" t="s">
        <v>308</v>
      </c>
      <c r="AS574" s="10"/>
      <c r="AT574" s="10"/>
      <c r="AU574" s="10" t="s">
        <v>2</v>
      </c>
      <c r="AV574" s="10" t="s">
        <v>3</v>
      </c>
      <c r="AW574" s="10" t="s">
        <v>1337</v>
      </c>
    </row>
    <row r="575" spans="1:49" x14ac:dyDescent="0.3">
      <c r="A575" s="10" t="s">
        <v>1388</v>
      </c>
      <c r="B575" s="10" t="s">
        <v>441</v>
      </c>
      <c r="C575" s="10" t="s">
        <v>1374</v>
      </c>
      <c r="D575" s="10" t="s">
        <v>1375</v>
      </c>
      <c r="E575" s="10">
        <v>1991</v>
      </c>
      <c r="F575" t="s">
        <v>2661</v>
      </c>
      <c r="G575" s="16" t="s">
        <v>22</v>
      </c>
      <c r="H575" s="10" t="s">
        <v>17</v>
      </c>
      <c r="I575" s="10" t="s">
        <v>1404</v>
      </c>
      <c r="J575" s="10" t="s">
        <v>1402</v>
      </c>
      <c r="K575" s="10">
        <v>3</v>
      </c>
      <c r="L575" s="10">
        <v>3</v>
      </c>
      <c r="N575" s="10">
        <v>6.91</v>
      </c>
      <c r="O575" s="10"/>
      <c r="P575" s="10"/>
      <c r="Q575" s="10"/>
      <c r="R575" s="10"/>
      <c r="S575" s="10"/>
      <c r="T575" s="10"/>
      <c r="U575" s="10"/>
      <c r="V575" s="10">
        <v>10.55</v>
      </c>
      <c r="W575" s="10"/>
      <c r="X575" s="10"/>
      <c r="Y575" s="10"/>
      <c r="Z575" s="10"/>
      <c r="AA575" s="10"/>
      <c r="AB575" s="10"/>
      <c r="AC575" s="10"/>
      <c r="AD575" s="10"/>
      <c r="AE575" s="10"/>
      <c r="AF575" s="10"/>
      <c r="AG575" s="10"/>
      <c r="AH575" s="10"/>
      <c r="AI575" s="14">
        <f t="shared" si="84"/>
        <v>1.5267727930535457</v>
      </c>
      <c r="AJ575" s="10"/>
      <c r="AK575" s="10"/>
      <c r="AL575" s="10"/>
      <c r="AN575" s="10"/>
      <c r="AO575" s="10"/>
      <c r="AP575" s="10"/>
      <c r="AQ575" s="10">
        <v>0</v>
      </c>
      <c r="AR575" s="10" t="s">
        <v>14</v>
      </c>
      <c r="AS575" s="10"/>
      <c r="AT575" s="10"/>
      <c r="AU575" s="10" t="s">
        <v>2</v>
      </c>
      <c r="AV575" s="10" t="s">
        <v>3</v>
      </c>
      <c r="AW575" s="10" t="s">
        <v>1337</v>
      </c>
    </row>
    <row r="576" spans="1:49" x14ac:dyDescent="0.3">
      <c r="A576" s="10" t="s">
        <v>1388</v>
      </c>
      <c r="B576" s="10" t="s">
        <v>441</v>
      </c>
      <c r="C576" s="10" t="s">
        <v>1374</v>
      </c>
      <c r="D576" s="10" t="s">
        <v>1375</v>
      </c>
      <c r="E576" s="10">
        <v>1988</v>
      </c>
      <c r="F576" t="s">
        <v>2661</v>
      </c>
      <c r="G576" s="16" t="s">
        <v>22</v>
      </c>
      <c r="H576" s="10" t="s">
        <v>17</v>
      </c>
      <c r="I576" s="10" t="s">
        <v>1404</v>
      </c>
      <c r="J576" s="10" t="s">
        <v>1403</v>
      </c>
      <c r="K576" s="10">
        <v>3</v>
      </c>
      <c r="L576" s="10">
        <v>3</v>
      </c>
      <c r="N576" s="10">
        <v>8.6999999999999993</v>
      </c>
      <c r="O576" s="10"/>
      <c r="P576" s="10"/>
      <c r="Q576" s="10"/>
      <c r="R576" s="10"/>
      <c r="S576" s="10"/>
      <c r="T576" s="10"/>
      <c r="U576" s="10"/>
      <c r="V576" s="10">
        <v>7.63</v>
      </c>
      <c r="W576" s="10"/>
      <c r="X576" s="10"/>
      <c r="Y576" s="10"/>
      <c r="Z576" s="10"/>
      <c r="AA576" s="10"/>
      <c r="AB576" s="10"/>
      <c r="AC576" s="10"/>
      <c r="AD576" s="10"/>
      <c r="AE576" s="10"/>
      <c r="AF576" s="10"/>
      <c r="AG576" s="10"/>
      <c r="AH576" s="10"/>
      <c r="AI576" s="14">
        <f t="shared" si="84"/>
        <v>0.87701149425287361</v>
      </c>
      <c r="AJ576" s="10"/>
      <c r="AK576" s="10"/>
      <c r="AL576" s="10"/>
      <c r="AN576" s="10"/>
      <c r="AO576" s="10"/>
      <c r="AP576" s="10"/>
      <c r="AQ576" s="10">
        <v>0</v>
      </c>
      <c r="AR576" s="10" t="s">
        <v>308</v>
      </c>
      <c r="AS576" s="10"/>
      <c r="AT576" s="10"/>
      <c r="AU576" s="10" t="s">
        <v>2</v>
      </c>
      <c r="AV576" s="10" t="s">
        <v>3</v>
      </c>
      <c r="AW576" s="10" t="s">
        <v>1337</v>
      </c>
    </row>
    <row r="577" spans="1:49" x14ac:dyDescent="0.3">
      <c r="A577" s="10" t="s">
        <v>1388</v>
      </c>
      <c r="B577" s="10" t="s">
        <v>441</v>
      </c>
      <c r="C577" s="10" t="s">
        <v>1374</v>
      </c>
      <c r="D577" s="10" t="s">
        <v>1375</v>
      </c>
      <c r="E577" s="10">
        <v>1989</v>
      </c>
      <c r="F577" t="s">
        <v>2661</v>
      </c>
      <c r="G577" s="16" t="s">
        <v>22</v>
      </c>
      <c r="H577" s="10" t="s">
        <v>17</v>
      </c>
      <c r="I577" s="10" t="s">
        <v>1404</v>
      </c>
      <c r="J577" s="10" t="s">
        <v>1403</v>
      </c>
      <c r="K577" s="10">
        <v>3</v>
      </c>
      <c r="L577" s="10">
        <v>3</v>
      </c>
      <c r="N577" s="10">
        <v>5.86</v>
      </c>
      <c r="O577" s="10"/>
      <c r="P577" s="10"/>
      <c r="Q577" s="10"/>
      <c r="R577" s="10"/>
      <c r="S577" s="10"/>
      <c r="T577" s="10"/>
      <c r="U577" s="10"/>
      <c r="V577" s="10">
        <v>6.22</v>
      </c>
      <c r="W577" s="10"/>
      <c r="X577" s="10"/>
      <c r="Y577" s="10"/>
      <c r="Z577" s="10"/>
      <c r="AA577" s="10"/>
      <c r="AB577" s="10"/>
      <c r="AC577" s="10"/>
      <c r="AD577" s="10"/>
      <c r="AE577" s="10"/>
      <c r="AF577" s="10"/>
      <c r="AG577" s="10"/>
      <c r="AH577" s="10"/>
      <c r="AI577" s="14">
        <f t="shared" si="84"/>
        <v>1.0614334470989759</v>
      </c>
      <c r="AJ577" s="10"/>
      <c r="AK577" s="10"/>
      <c r="AL577" s="10"/>
      <c r="AN577" s="10"/>
      <c r="AO577" s="10"/>
      <c r="AP577" s="10"/>
      <c r="AQ577" s="10">
        <v>0</v>
      </c>
      <c r="AR577" s="10" t="s">
        <v>308</v>
      </c>
      <c r="AS577" s="10" t="s">
        <v>3</v>
      </c>
      <c r="AT577" s="10"/>
      <c r="AU577" s="10" t="s">
        <v>2</v>
      </c>
      <c r="AV577" s="10" t="s">
        <v>3</v>
      </c>
      <c r="AW577" s="10" t="s">
        <v>1337</v>
      </c>
    </row>
    <row r="578" spans="1:49" x14ac:dyDescent="0.3">
      <c r="A578" s="10" t="s">
        <v>1388</v>
      </c>
      <c r="B578" s="10" t="s">
        <v>441</v>
      </c>
      <c r="C578" s="10" t="s">
        <v>1374</v>
      </c>
      <c r="D578" s="10" t="s">
        <v>1375</v>
      </c>
      <c r="E578" s="10">
        <v>1990</v>
      </c>
      <c r="F578" t="s">
        <v>2661</v>
      </c>
      <c r="G578" s="16" t="s">
        <v>22</v>
      </c>
      <c r="H578" s="10" t="s">
        <v>17</v>
      </c>
      <c r="I578" s="10" t="s">
        <v>1404</v>
      </c>
      <c r="J578" s="10" t="s">
        <v>1403</v>
      </c>
      <c r="K578" s="10">
        <v>3</v>
      </c>
      <c r="L578" s="10">
        <v>3</v>
      </c>
      <c r="N578" s="10">
        <v>8.59</v>
      </c>
      <c r="O578" s="10"/>
      <c r="P578" s="10"/>
      <c r="Q578" s="10"/>
      <c r="R578" s="10"/>
      <c r="S578" s="10"/>
      <c r="T578" s="10"/>
      <c r="U578" s="10"/>
      <c r="V578" s="10">
        <v>10.73</v>
      </c>
      <c r="W578" s="10"/>
      <c r="X578" s="10"/>
      <c r="Y578" s="10"/>
      <c r="Z578" s="10"/>
      <c r="AA578" s="10"/>
      <c r="AB578" s="10"/>
      <c r="AC578" s="10"/>
      <c r="AD578" s="10"/>
      <c r="AE578" s="10"/>
      <c r="AF578" s="10"/>
      <c r="AG578" s="10"/>
      <c r="AH578" s="10"/>
      <c r="AI578" s="14">
        <f t="shared" si="84"/>
        <v>1.2491268917345753</v>
      </c>
      <c r="AJ578" s="10"/>
      <c r="AK578" s="10"/>
      <c r="AL578" s="10"/>
      <c r="AN578" s="10"/>
      <c r="AO578" s="10"/>
      <c r="AP578" s="10"/>
      <c r="AQ578" s="10">
        <v>0</v>
      </c>
      <c r="AR578" s="10" t="s">
        <v>308</v>
      </c>
      <c r="AS578" s="10"/>
      <c r="AT578" s="10"/>
      <c r="AU578" s="10" t="s">
        <v>2</v>
      </c>
      <c r="AV578" s="10" t="s">
        <v>3</v>
      </c>
      <c r="AW578" s="10" t="s">
        <v>1337</v>
      </c>
    </row>
    <row r="579" spans="1:49" x14ac:dyDescent="0.3">
      <c r="A579" s="10" t="s">
        <v>1388</v>
      </c>
      <c r="B579" s="10" t="s">
        <v>441</v>
      </c>
      <c r="C579" s="10" t="s">
        <v>1374</v>
      </c>
      <c r="D579" s="10" t="s">
        <v>1375</v>
      </c>
      <c r="E579" s="10">
        <v>1991</v>
      </c>
      <c r="F579" t="s">
        <v>2661</v>
      </c>
      <c r="G579" s="16" t="s">
        <v>22</v>
      </c>
      <c r="H579" s="10" t="s">
        <v>17</v>
      </c>
      <c r="I579" s="10" t="s">
        <v>1404</v>
      </c>
      <c r="J579" s="10" t="s">
        <v>1403</v>
      </c>
      <c r="K579" s="10">
        <v>3</v>
      </c>
      <c r="L579" s="10">
        <v>3</v>
      </c>
      <c r="N579" s="10">
        <v>6.91</v>
      </c>
      <c r="O579" s="10"/>
      <c r="P579" s="10"/>
      <c r="Q579" s="10"/>
      <c r="R579" s="10"/>
      <c r="S579" s="10"/>
      <c r="T579" s="10"/>
      <c r="U579" s="10"/>
      <c r="V579" s="10">
        <v>8.56</v>
      </c>
      <c r="W579" s="10"/>
      <c r="X579" s="10"/>
      <c r="Y579" s="10"/>
      <c r="Z579" s="10"/>
      <c r="AA579" s="10"/>
      <c r="AB579" s="10"/>
      <c r="AC579" s="10"/>
      <c r="AD579" s="10"/>
      <c r="AE579" s="10"/>
      <c r="AF579" s="10"/>
      <c r="AG579" s="10"/>
      <c r="AH579" s="10"/>
      <c r="AI579" s="14">
        <f t="shared" si="84"/>
        <v>1.2387843704775687</v>
      </c>
      <c r="AJ579" s="10"/>
      <c r="AK579" s="10"/>
      <c r="AL579" s="10"/>
      <c r="AN579" s="10"/>
      <c r="AO579" s="10"/>
      <c r="AP579" s="10"/>
      <c r="AQ579" s="10">
        <v>0</v>
      </c>
      <c r="AR579" s="10" t="s">
        <v>14</v>
      </c>
      <c r="AS579" s="10"/>
      <c r="AT579" s="10"/>
      <c r="AU579" s="10" t="s">
        <v>2</v>
      </c>
      <c r="AV579" s="10" t="s">
        <v>3</v>
      </c>
      <c r="AW579" s="10" t="s">
        <v>1337</v>
      </c>
    </row>
    <row r="580" spans="1:49" x14ac:dyDescent="0.3">
      <c r="A580" s="10" t="s">
        <v>1406</v>
      </c>
      <c r="B580" s="10" t="s">
        <v>29</v>
      </c>
      <c r="C580" s="10" t="s">
        <v>1408</v>
      </c>
      <c r="D580" s="10" t="s">
        <v>1409</v>
      </c>
      <c r="E580" s="10" t="s">
        <v>1411</v>
      </c>
      <c r="F580" t="s">
        <v>2661</v>
      </c>
      <c r="G580" s="16" t="s">
        <v>22</v>
      </c>
      <c r="H580" s="10" t="s">
        <v>17</v>
      </c>
      <c r="I580" s="10" t="s">
        <v>1412</v>
      </c>
      <c r="J580" s="10" t="s">
        <v>1410</v>
      </c>
      <c r="K580" s="10">
        <v>3</v>
      </c>
      <c r="L580" s="10">
        <v>3</v>
      </c>
      <c r="N580" s="10">
        <f>2200</f>
        <v>2200</v>
      </c>
      <c r="O580" s="10"/>
      <c r="P580" s="10"/>
      <c r="Q580" s="10"/>
      <c r="R580" s="10"/>
      <c r="S580" s="10"/>
      <c r="T580" s="10"/>
      <c r="U580" s="10"/>
      <c r="V580" s="10">
        <v>2400</v>
      </c>
      <c r="W580" s="10"/>
      <c r="X580" s="10"/>
      <c r="Y580" s="10"/>
      <c r="Z580" s="10"/>
      <c r="AA580" s="10"/>
      <c r="AB580" s="10"/>
      <c r="AC580" s="10"/>
      <c r="AD580" s="10"/>
      <c r="AE580" s="10"/>
      <c r="AF580" s="10"/>
      <c r="AG580" s="10"/>
      <c r="AH580" s="10"/>
      <c r="AI580" s="14">
        <f t="shared" si="84"/>
        <v>1.0909090909090908</v>
      </c>
      <c r="AJ580" s="10"/>
      <c r="AK580" s="10"/>
      <c r="AL580" s="10"/>
      <c r="AN580" s="10"/>
      <c r="AO580" s="10"/>
      <c r="AP580" s="10"/>
      <c r="AQ580" s="10">
        <v>15.5</v>
      </c>
      <c r="AR580" s="10" t="s">
        <v>14</v>
      </c>
      <c r="AS580" s="10" t="s">
        <v>3</v>
      </c>
      <c r="AT580" s="10" t="s">
        <v>2</v>
      </c>
      <c r="AU580" s="10" t="s">
        <v>2</v>
      </c>
      <c r="AV580" s="10" t="s">
        <v>3</v>
      </c>
      <c r="AW580" s="10" t="s">
        <v>1337</v>
      </c>
    </row>
    <row r="581" spans="1:49" x14ac:dyDescent="0.3">
      <c r="A581" s="10" t="s">
        <v>1406</v>
      </c>
      <c r="B581" s="10" t="s">
        <v>29</v>
      </c>
      <c r="C581" s="10" t="s">
        <v>1408</v>
      </c>
      <c r="D581" s="10" t="s">
        <v>1409</v>
      </c>
      <c r="E581" s="10" t="s">
        <v>1411</v>
      </c>
      <c r="F581" t="s">
        <v>2661</v>
      </c>
      <c r="G581" s="16" t="s">
        <v>22</v>
      </c>
      <c r="H581" s="10" t="s">
        <v>17</v>
      </c>
      <c r="I581" s="10" t="s">
        <v>1413</v>
      </c>
      <c r="J581" s="10" t="s">
        <v>1410</v>
      </c>
      <c r="K581" s="10">
        <v>3</v>
      </c>
      <c r="L581" s="10">
        <v>3</v>
      </c>
      <c r="N581" s="10">
        <v>2770</v>
      </c>
      <c r="O581" s="10"/>
      <c r="P581" s="10"/>
      <c r="Q581" s="10"/>
      <c r="R581" s="10"/>
      <c r="S581" s="10"/>
      <c r="T581" s="10"/>
      <c r="U581" s="10"/>
      <c r="V581" s="10">
        <v>3040</v>
      </c>
      <c r="W581" s="10"/>
      <c r="X581" s="10"/>
      <c r="Y581" s="10"/>
      <c r="Z581" s="10"/>
      <c r="AA581" s="10"/>
      <c r="AB581" s="10"/>
      <c r="AC581" s="10"/>
      <c r="AD581" s="10"/>
      <c r="AE581" s="10"/>
      <c r="AF581" s="10"/>
      <c r="AG581" s="10"/>
      <c r="AH581" s="10"/>
      <c r="AI581" s="14">
        <f t="shared" si="84"/>
        <v>1.0974729241877257</v>
      </c>
      <c r="AJ581" s="10"/>
      <c r="AK581" s="10"/>
      <c r="AL581" s="10"/>
      <c r="AN581" s="10"/>
      <c r="AO581" s="10"/>
      <c r="AP581" s="10"/>
      <c r="AQ581" s="10">
        <v>15.5</v>
      </c>
      <c r="AR581" s="10" t="s">
        <v>14</v>
      </c>
      <c r="AS581" s="10" t="s">
        <v>3</v>
      </c>
      <c r="AT581" s="10" t="s">
        <v>2</v>
      </c>
      <c r="AU581" s="10" t="s">
        <v>2</v>
      </c>
      <c r="AV581" s="10" t="s">
        <v>3</v>
      </c>
      <c r="AW581" s="10" t="s">
        <v>1337</v>
      </c>
    </row>
    <row r="582" spans="1:49" x14ac:dyDescent="0.3">
      <c r="A582" s="10" t="s">
        <v>1406</v>
      </c>
      <c r="B582" s="10" t="s">
        <v>29</v>
      </c>
      <c r="C582" s="10" t="s">
        <v>1408</v>
      </c>
      <c r="D582" s="10" t="s">
        <v>1409</v>
      </c>
      <c r="E582" s="10" t="s">
        <v>1411</v>
      </c>
      <c r="F582" t="s">
        <v>2661</v>
      </c>
      <c r="G582" s="16" t="s">
        <v>22</v>
      </c>
      <c r="H582" s="10" t="s">
        <v>17</v>
      </c>
      <c r="I582" s="10" t="s">
        <v>1414</v>
      </c>
      <c r="J582" s="10" t="s">
        <v>1410</v>
      </c>
      <c r="K582" s="10">
        <v>3</v>
      </c>
      <c r="L582" s="10">
        <v>3</v>
      </c>
      <c r="N582" s="10">
        <v>2860</v>
      </c>
      <c r="O582" s="10"/>
      <c r="P582" s="10"/>
      <c r="Q582" s="10"/>
      <c r="R582" s="10"/>
      <c r="S582" s="10"/>
      <c r="T582" s="10"/>
      <c r="U582" s="10"/>
      <c r="V582" s="10">
        <v>3220</v>
      </c>
      <c r="W582" s="10"/>
      <c r="X582" s="10"/>
      <c r="Y582" s="10"/>
      <c r="Z582" s="10"/>
      <c r="AA582" s="10"/>
      <c r="AB582" s="10"/>
      <c r="AC582" s="10"/>
      <c r="AD582" s="10"/>
      <c r="AE582" s="10"/>
      <c r="AF582" s="10"/>
      <c r="AG582" s="10"/>
      <c r="AH582" s="10"/>
      <c r="AI582" s="14">
        <f t="shared" si="84"/>
        <v>1.1258741258741258</v>
      </c>
      <c r="AJ582" s="10"/>
      <c r="AK582" s="10"/>
      <c r="AL582" s="10"/>
      <c r="AN582" s="10"/>
      <c r="AO582" s="10"/>
      <c r="AP582" s="10"/>
      <c r="AQ582" s="10">
        <v>15.5</v>
      </c>
      <c r="AR582" s="10" t="s">
        <v>14</v>
      </c>
      <c r="AS582" s="10" t="s">
        <v>3</v>
      </c>
      <c r="AT582" s="10" t="s">
        <v>2</v>
      </c>
      <c r="AU582" s="10" t="s">
        <v>2</v>
      </c>
      <c r="AV582" s="10" t="s">
        <v>3</v>
      </c>
      <c r="AW582" s="10" t="s">
        <v>1337</v>
      </c>
    </row>
    <row r="583" spans="1:49" x14ac:dyDescent="0.3">
      <c r="A583" s="10" t="s">
        <v>1406</v>
      </c>
      <c r="B583" s="10" t="s">
        <v>29</v>
      </c>
      <c r="C583" s="10" t="s">
        <v>1408</v>
      </c>
      <c r="D583" s="10" t="s">
        <v>1409</v>
      </c>
      <c r="E583" s="10" t="s">
        <v>1411</v>
      </c>
      <c r="F583" t="s">
        <v>2661</v>
      </c>
      <c r="G583" s="16" t="s">
        <v>22</v>
      </c>
      <c r="H583" s="10" t="s">
        <v>17</v>
      </c>
      <c r="I583" s="10" t="s">
        <v>1415</v>
      </c>
      <c r="J583" s="10" t="s">
        <v>1410</v>
      </c>
      <c r="K583" s="10">
        <v>3</v>
      </c>
      <c r="L583" s="10">
        <v>3</v>
      </c>
      <c r="N583" s="10">
        <v>3150</v>
      </c>
      <c r="O583" s="10"/>
      <c r="P583" s="10"/>
      <c r="Q583" s="10"/>
      <c r="R583" s="10"/>
      <c r="S583" s="10"/>
      <c r="T583" s="10"/>
      <c r="U583" s="10"/>
      <c r="V583" s="10">
        <v>3450</v>
      </c>
      <c r="W583" s="10"/>
      <c r="X583" s="10"/>
      <c r="Y583" s="10"/>
      <c r="Z583" s="10"/>
      <c r="AA583" s="10"/>
      <c r="AB583" s="10"/>
      <c r="AC583" s="10"/>
      <c r="AD583" s="10"/>
      <c r="AE583" s="10"/>
      <c r="AF583" s="10"/>
      <c r="AG583" s="10"/>
      <c r="AH583" s="10"/>
      <c r="AI583" s="14">
        <f t="shared" si="84"/>
        <v>1.0952380952380953</v>
      </c>
      <c r="AJ583" s="10"/>
      <c r="AK583" s="10"/>
      <c r="AL583" s="10"/>
      <c r="AN583" s="10"/>
      <c r="AO583" s="10"/>
      <c r="AP583" s="10"/>
      <c r="AQ583" s="10">
        <v>15.5</v>
      </c>
      <c r="AR583" s="10" t="s">
        <v>14</v>
      </c>
      <c r="AS583" s="10" t="s">
        <v>3</v>
      </c>
      <c r="AT583" s="10" t="s">
        <v>2</v>
      </c>
      <c r="AU583" s="10" t="s">
        <v>2</v>
      </c>
      <c r="AV583" s="10" t="s">
        <v>3</v>
      </c>
      <c r="AW583" s="10" t="s">
        <v>1337</v>
      </c>
    </row>
    <row r="584" spans="1:49" x14ac:dyDescent="0.3">
      <c r="A584" s="10" t="s">
        <v>1406</v>
      </c>
      <c r="B584" s="10" t="s">
        <v>29</v>
      </c>
      <c r="C584" s="10" t="s">
        <v>1408</v>
      </c>
      <c r="D584" s="10" t="s">
        <v>1409</v>
      </c>
      <c r="E584" s="10" t="s">
        <v>1411</v>
      </c>
      <c r="F584" t="s">
        <v>2661</v>
      </c>
      <c r="G584" s="16" t="s">
        <v>22</v>
      </c>
      <c r="H584" s="10" t="s">
        <v>17</v>
      </c>
      <c r="I584" s="10" t="s">
        <v>1416</v>
      </c>
      <c r="J584" s="10" t="s">
        <v>1410</v>
      </c>
      <c r="K584" s="10">
        <v>3</v>
      </c>
      <c r="L584" s="10">
        <v>3</v>
      </c>
      <c r="N584" s="10">
        <v>3020</v>
      </c>
      <c r="O584" s="10"/>
      <c r="P584" s="10"/>
      <c r="Q584" s="10"/>
      <c r="R584" s="10"/>
      <c r="S584" s="10"/>
      <c r="T584" s="10"/>
      <c r="U584" s="10"/>
      <c r="V584" s="10">
        <v>3330</v>
      </c>
      <c r="W584" s="10"/>
      <c r="X584" s="10"/>
      <c r="Y584" s="10"/>
      <c r="Z584" s="10"/>
      <c r="AA584" s="10"/>
      <c r="AB584" s="10"/>
      <c r="AC584" s="10"/>
      <c r="AD584" s="10"/>
      <c r="AE584" s="10"/>
      <c r="AF584" s="10"/>
      <c r="AG584" s="10"/>
      <c r="AH584" s="10"/>
      <c r="AI584" s="14">
        <f t="shared" si="84"/>
        <v>1.1026490066225165</v>
      </c>
      <c r="AJ584" s="10"/>
      <c r="AK584" s="10"/>
      <c r="AL584" s="10"/>
      <c r="AN584" s="10"/>
      <c r="AO584" s="10"/>
      <c r="AP584" s="10"/>
      <c r="AQ584" s="10">
        <v>15.5</v>
      </c>
      <c r="AR584" s="10" t="s">
        <v>14</v>
      </c>
      <c r="AS584" s="10" t="s">
        <v>3</v>
      </c>
      <c r="AT584" s="10" t="s">
        <v>2</v>
      </c>
      <c r="AU584" s="10" t="s">
        <v>2</v>
      </c>
      <c r="AV584" s="10" t="s">
        <v>3</v>
      </c>
      <c r="AW584" s="10" t="s">
        <v>1337</v>
      </c>
    </row>
    <row r="585" spans="1:49" x14ac:dyDescent="0.3">
      <c r="A585" s="10" t="s">
        <v>1406</v>
      </c>
      <c r="B585" s="10" t="s">
        <v>29</v>
      </c>
      <c r="C585" s="10" t="s">
        <v>1408</v>
      </c>
      <c r="D585" s="10" t="s">
        <v>1409</v>
      </c>
      <c r="E585" s="10" t="s">
        <v>1411</v>
      </c>
      <c r="F585" t="s">
        <v>2661</v>
      </c>
      <c r="G585" s="16" t="s">
        <v>22</v>
      </c>
      <c r="H585" s="10" t="s">
        <v>17</v>
      </c>
      <c r="I585" s="10" t="s">
        <v>1417</v>
      </c>
      <c r="J585" s="10" t="s">
        <v>1410</v>
      </c>
      <c r="K585" s="10">
        <v>3</v>
      </c>
      <c r="L585" s="10">
        <v>3</v>
      </c>
      <c r="N585" s="10">
        <v>3360</v>
      </c>
      <c r="O585" s="10"/>
      <c r="P585" s="10"/>
      <c r="Q585" s="10"/>
      <c r="R585" s="10"/>
      <c r="S585" s="10"/>
      <c r="T585" s="10"/>
      <c r="U585" s="10"/>
      <c r="V585" s="10">
        <v>3580</v>
      </c>
      <c r="W585" s="10"/>
      <c r="X585" s="10"/>
      <c r="Y585" s="10"/>
      <c r="Z585" s="10"/>
      <c r="AA585" s="10"/>
      <c r="AB585" s="10"/>
      <c r="AC585" s="10"/>
      <c r="AD585" s="10"/>
      <c r="AE585" s="10"/>
      <c r="AF585" s="10"/>
      <c r="AG585" s="10"/>
      <c r="AH585" s="10"/>
      <c r="AI585" s="14">
        <f t="shared" si="84"/>
        <v>1.0654761904761905</v>
      </c>
      <c r="AJ585" s="10"/>
      <c r="AK585" s="10"/>
      <c r="AL585" s="10"/>
      <c r="AN585" s="10"/>
      <c r="AO585" s="10"/>
      <c r="AP585" s="10"/>
      <c r="AQ585" s="10">
        <v>15.5</v>
      </c>
      <c r="AR585" s="10" t="s">
        <v>14</v>
      </c>
      <c r="AS585" s="10" t="s">
        <v>3</v>
      </c>
      <c r="AT585" s="10" t="s">
        <v>2</v>
      </c>
      <c r="AU585" s="10" t="s">
        <v>2</v>
      </c>
      <c r="AV585" s="10" t="s">
        <v>3</v>
      </c>
      <c r="AW585" s="10" t="s">
        <v>1337</v>
      </c>
    </row>
    <row r="586" spans="1:49" x14ac:dyDescent="0.3">
      <c r="A586" s="10" t="s">
        <v>1406</v>
      </c>
      <c r="B586" s="10" t="s">
        <v>29</v>
      </c>
      <c r="C586" s="10" t="s">
        <v>1408</v>
      </c>
      <c r="D586" s="10" t="s">
        <v>1409</v>
      </c>
      <c r="E586" s="10" t="s">
        <v>1411</v>
      </c>
      <c r="F586" t="s">
        <v>2661</v>
      </c>
      <c r="G586" s="16" t="s">
        <v>22</v>
      </c>
      <c r="H586" s="10" t="s">
        <v>17</v>
      </c>
      <c r="I586" s="10" t="s">
        <v>1418</v>
      </c>
      <c r="J586" s="10" t="s">
        <v>1410</v>
      </c>
      <c r="K586" s="10">
        <v>3</v>
      </c>
      <c r="L586" s="10">
        <v>3</v>
      </c>
      <c r="N586" s="10">
        <v>3520</v>
      </c>
      <c r="O586" s="10"/>
      <c r="P586" s="10"/>
      <c r="Q586" s="10"/>
      <c r="R586" s="10"/>
      <c r="S586" s="10"/>
      <c r="T586" s="10"/>
      <c r="U586" s="10"/>
      <c r="V586" s="10">
        <v>3730</v>
      </c>
      <c r="W586" s="10"/>
      <c r="X586" s="10"/>
      <c r="Y586" s="10"/>
      <c r="Z586" s="10"/>
      <c r="AA586" s="10"/>
      <c r="AB586" s="10"/>
      <c r="AC586" s="10"/>
      <c r="AD586" s="10"/>
      <c r="AE586" s="10"/>
      <c r="AF586" s="10"/>
      <c r="AG586" s="10"/>
      <c r="AH586" s="10"/>
      <c r="AI586" s="14">
        <f t="shared" si="84"/>
        <v>1.0596590909090908</v>
      </c>
      <c r="AJ586" s="10"/>
      <c r="AK586" s="10"/>
      <c r="AL586" s="10"/>
      <c r="AN586" s="10"/>
      <c r="AO586" s="10"/>
      <c r="AP586" s="10"/>
      <c r="AQ586" s="10">
        <v>15.5</v>
      </c>
      <c r="AR586" s="10" t="s">
        <v>14</v>
      </c>
      <c r="AS586" s="10" t="s">
        <v>3</v>
      </c>
      <c r="AT586" s="10" t="s">
        <v>2</v>
      </c>
      <c r="AU586" s="10" t="s">
        <v>2</v>
      </c>
      <c r="AV586" s="10" t="s">
        <v>3</v>
      </c>
      <c r="AW586" s="10" t="s">
        <v>1337</v>
      </c>
    </row>
    <row r="587" spans="1:49" x14ac:dyDescent="0.3">
      <c r="A587" s="10" t="s">
        <v>1406</v>
      </c>
      <c r="B587" s="10" t="s">
        <v>29</v>
      </c>
      <c r="C587" s="10" t="s">
        <v>1408</v>
      </c>
      <c r="D587" s="10" t="s">
        <v>1409</v>
      </c>
      <c r="E587" s="10" t="s">
        <v>1411</v>
      </c>
      <c r="F587" t="s">
        <v>2661</v>
      </c>
      <c r="G587" s="16" t="s">
        <v>22</v>
      </c>
      <c r="H587" s="10" t="s">
        <v>17</v>
      </c>
      <c r="I587" s="10" t="s">
        <v>1419</v>
      </c>
      <c r="J587" s="10" t="s">
        <v>1410</v>
      </c>
      <c r="K587" s="10">
        <v>3</v>
      </c>
      <c r="L587" s="10">
        <v>3</v>
      </c>
      <c r="N587" s="10">
        <v>3350</v>
      </c>
      <c r="O587" s="10"/>
      <c r="P587" s="10"/>
      <c r="Q587" s="10"/>
      <c r="R587" s="10"/>
      <c r="S587" s="10"/>
      <c r="T587" s="10"/>
      <c r="U587" s="10"/>
      <c r="V587" s="10">
        <v>3720</v>
      </c>
      <c r="W587" s="10"/>
      <c r="X587" s="10"/>
      <c r="Y587" s="10"/>
      <c r="Z587" s="10"/>
      <c r="AA587" s="10"/>
      <c r="AB587" s="10"/>
      <c r="AC587" s="10"/>
      <c r="AD587" s="10"/>
      <c r="AE587" s="10"/>
      <c r="AF587" s="10"/>
      <c r="AG587" s="10"/>
      <c r="AH587" s="10"/>
      <c r="AI587" s="14">
        <f t="shared" si="84"/>
        <v>1.1104477611940298</v>
      </c>
      <c r="AJ587" s="10"/>
      <c r="AK587" s="10"/>
      <c r="AL587" s="10"/>
      <c r="AN587" s="10"/>
      <c r="AO587" s="10"/>
      <c r="AP587" s="10"/>
      <c r="AQ587" s="10">
        <v>15.5</v>
      </c>
      <c r="AR587" s="10" t="s">
        <v>14</v>
      </c>
      <c r="AS587" s="10" t="s">
        <v>3</v>
      </c>
      <c r="AT587" s="10" t="s">
        <v>2</v>
      </c>
      <c r="AU587" s="10" t="s">
        <v>2</v>
      </c>
      <c r="AV587" s="10" t="s">
        <v>3</v>
      </c>
      <c r="AW587" s="10" t="s">
        <v>1337</v>
      </c>
    </row>
    <row r="588" spans="1:49" x14ac:dyDescent="0.3">
      <c r="A588" s="10" t="s">
        <v>1406</v>
      </c>
      <c r="B588" s="10" t="s">
        <v>29</v>
      </c>
      <c r="C588" s="10" t="s">
        <v>1408</v>
      </c>
      <c r="D588" s="10" t="s">
        <v>1409</v>
      </c>
      <c r="E588" s="10" t="s">
        <v>1411</v>
      </c>
      <c r="F588" t="s">
        <v>2661</v>
      </c>
      <c r="G588" s="16" t="s">
        <v>22</v>
      </c>
      <c r="H588" s="10" t="s">
        <v>17</v>
      </c>
      <c r="I588" s="10" t="s">
        <v>1420</v>
      </c>
      <c r="J588" s="10" t="s">
        <v>1410</v>
      </c>
      <c r="K588" s="10">
        <v>3</v>
      </c>
      <c r="L588" s="10">
        <v>3</v>
      </c>
      <c r="N588" s="10">
        <v>3800</v>
      </c>
      <c r="O588" s="10"/>
      <c r="P588" s="10"/>
      <c r="Q588" s="10"/>
      <c r="R588" s="10"/>
      <c r="S588" s="10"/>
      <c r="T588" s="10"/>
      <c r="U588" s="10"/>
      <c r="V588" s="10">
        <v>3850</v>
      </c>
      <c r="W588" s="10"/>
      <c r="X588" s="10"/>
      <c r="Y588" s="10"/>
      <c r="Z588" s="10"/>
      <c r="AA588" s="10"/>
      <c r="AB588" s="10"/>
      <c r="AC588" s="10"/>
      <c r="AD588" s="10"/>
      <c r="AE588" s="10"/>
      <c r="AF588" s="10"/>
      <c r="AG588" s="10"/>
      <c r="AH588" s="10"/>
      <c r="AI588" s="14">
        <f t="shared" si="84"/>
        <v>1.013157894736842</v>
      </c>
      <c r="AJ588" s="10"/>
      <c r="AK588" s="10"/>
      <c r="AL588" s="10"/>
      <c r="AN588" s="10"/>
      <c r="AO588" s="10"/>
      <c r="AP588" s="10"/>
      <c r="AQ588" s="10">
        <v>15.5</v>
      </c>
      <c r="AR588" s="10" t="s">
        <v>14</v>
      </c>
      <c r="AS588" s="10" t="s">
        <v>3</v>
      </c>
      <c r="AT588" s="10" t="s">
        <v>2</v>
      </c>
      <c r="AU588" s="10" t="s">
        <v>2</v>
      </c>
      <c r="AV588" s="10" t="s">
        <v>3</v>
      </c>
      <c r="AW588" s="10" t="s">
        <v>1337</v>
      </c>
    </row>
    <row r="589" spans="1:49" x14ac:dyDescent="0.3">
      <c r="A589" s="10" t="s">
        <v>1406</v>
      </c>
      <c r="B589" s="10" t="s">
        <v>29</v>
      </c>
      <c r="C589" s="10" t="s">
        <v>1408</v>
      </c>
      <c r="D589" s="10" t="s">
        <v>1409</v>
      </c>
      <c r="E589" s="10" t="s">
        <v>1411</v>
      </c>
      <c r="F589" t="s">
        <v>2661</v>
      </c>
      <c r="G589" s="16" t="s">
        <v>22</v>
      </c>
      <c r="H589" s="10" t="s">
        <v>17</v>
      </c>
      <c r="I589" s="10" t="s">
        <v>1421</v>
      </c>
      <c r="J589" s="10" t="s">
        <v>1410</v>
      </c>
      <c r="K589" s="10">
        <v>3</v>
      </c>
      <c r="L589" s="10">
        <v>3</v>
      </c>
      <c r="N589" s="10">
        <v>3980</v>
      </c>
      <c r="O589" s="10"/>
      <c r="P589" s="10"/>
      <c r="Q589" s="10"/>
      <c r="R589" s="10"/>
      <c r="S589" s="10"/>
      <c r="T589" s="10"/>
      <c r="U589" s="10"/>
      <c r="V589" s="10">
        <v>4100</v>
      </c>
      <c r="W589" s="10"/>
      <c r="X589" s="10"/>
      <c r="Y589" s="10"/>
      <c r="Z589" s="10"/>
      <c r="AA589" s="10"/>
      <c r="AB589" s="10"/>
      <c r="AC589" s="10"/>
      <c r="AD589" s="10"/>
      <c r="AE589" s="10"/>
      <c r="AF589" s="10"/>
      <c r="AG589" s="10"/>
      <c r="AH589" s="10"/>
      <c r="AI589" s="14">
        <f t="shared" si="84"/>
        <v>1.0301507537688441</v>
      </c>
      <c r="AJ589" s="10"/>
      <c r="AK589" s="10"/>
      <c r="AL589" s="10"/>
      <c r="AN589" s="10"/>
      <c r="AO589" s="10"/>
      <c r="AP589" s="10"/>
      <c r="AQ589" s="10">
        <v>15.5</v>
      </c>
      <c r="AR589" s="10" t="s">
        <v>14</v>
      </c>
      <c r="AS589" s="10" t="s">
        <v>3</v>
      </c>
      <c r="AT589" s="10" t="s">
        <v>2</v>
      </c>
      <c r="AU589" s="10" t="s">
        <v>2</v>
      </c>
      <c r="AV589" s="10" t="s">
        <v>3</v>
      </c>
      <c r="AW589" s="10" t="s">
        <v>1337</v>
      </c>
    </row>
    <row r="590" spans="1:49" x14ac:dyDescent="0.3">
      <c r="A590" s="10" t="s">
        <v>1406</v>
      </c>
      <c r="B590" s="10" t="s">
        <v>29</v>
      </c>
      <c r="C590" s="10" t="s">
        <v>1408</v>
      </c>
      <c r="D590" s="10" t="s">
        <v>1409</v>
      </c>
      <c r="E590" s="10" t="s">
        <v>1411</v>
      </c>
      <c r="F590" t="s">
        <v>2661</v>
      </c>
      <c r="G590" s="16" t="s">
        <v>22</v>
      </c>
      <c r="H590" s="10" t="s">
        <v>17</v>
      </c>
      <c r="I590" s="10" t="s">
        <v>1422</v>
      </c>
      <c r="J590" s="10" t="s">
        <v>1410</v>
      </c>
      <c r="K590" s="10">
        <v>3</v>
      </c>
      <c r="L590" s="10">
        <v>3</v>
      </c>
      <c r="N590" s="10">
        <v>2370</v>
      </c>
      <c r="O590" s="10"/>
      <c r="P590" s="10"/>
      <c r="Q590" s="10"/>
      <c r="R590" s="10"/>
      <c r="S590" s="10"/>
      <c r="T590" s="10"/>
      <c r="U590" s="10"/>
      <c r="V590" s="10">
        <v>2520</v>
      </c>
      <c r="W590" s="10"/>
      <c r="X590" s="10"/>
      <c r="Y590" s="10"/>
      <c r="Z590" s="10"/>
      <c r="AA590" s="10"/>
      <c r="AB590" s="10"/>
      <c r="AC590" s="10"/>
      <c r="AD590" s="10"/>
      <c r="AE590" s="10"/>
      <c r="AF590" s="10"/>
      <c r="AG590" s="10"/>
      <c r="AH590" s="10"/>
      <c r="AI590" s="14">
        <f t="shared" si="84"/>
        <v>1.0632911392405062</v>
      </c>
      <c r="AJ590" s="10"/>
      <c r="AK590" s="10"/>
      <c r="AL590" s="10"/>
      <c r="AN590" s="10"/>
      <c r="AO590" s="10"/>
      <c r="AP590" s="10"/>
      <c r="AQ590" s="10">
        <v>15.5</v>
      </c>
      <c r="AR590" s="10" t="s">
        <v>14</v>
      </c>
      <c r="AS590" s="10" t="s">
        <v>3</v>
      </c>
      <c r="AT590" s="10" t="s">
        <v>2</v>
      </c>
      <c r="AU590" s="10" t="s">
        <v>2</v>
      </c>
      <c r="AV590" s="10" t="s">
        <v>3</v>
      </c>
      <c r="AW590" s="10" t="s">
        <v>1337</v>
      </c>
    </row>
    <row r="591" spans="1:49" x14ac:dyDescent="0.3">
      <c r="A591" s="10" t="s">
        <v>1406</v>
      </c>
      <c r="B591" s="10" t="s">
        <v>29</v>
      </c>
      <c r="C591" s="10" t="s">
        <v>1408</v>
      </c>
      <c r="D591" s="10" t="s">
        <v>1409</v>
      </c>
      <c r="E591" s="10" t="s">
        <v>1411</v>
      </c>
      <c r="F591" t="s">
        <v>2661</v>
      </c>
      <c r="G591" s="16" t="s">
        <v>22</v>
      </c>
      <c r="H591" s="10" t="s">
        <v>17</v>
      </c>
      <c r="I591" s="10" t="s">
        <v>1423</v>
      </c>
      <c r="J591" s="10" t="s">
        <v>1410</v>
      </c>
      <c r="K591" s="10">
        <v>3</v>
      </c>
      <c r="L591" s="10">
        <v>3</v>
      </c>
      <c r="N591" s="10">
        <v>2580</v>
      </c>
      <c r="O591" s="10"/>
      <c r="P591" s="10"/>
      <c r="Q591" s="10"/>
      <c r="R591" s="10"/>
      <c r="S591" s="10"/>
      <c r="T591" s="10"/>
      <c r="U591" s="10"/>
      <c r="V591" s="10">
        <v>3020</v>
      </c>
      <c r="W591" s="10"/>
      <c r="X591" s="10"/>
      <c r="Y591" s="10"/>
      <c r="Z591" s="10"/>
      <c r="AA591" s="10"/>
      <c r="AB591" s="10"/>
      <c r="AC591" s="10"/>
      <c r="AD591" s="10"/>
      <c r="AE591" s="10"/>
      <c r="AF591" s="10"/>
      <c r="AG591" s="10"/>
      <c r="AH591" s="10"/>
      <c r="AI591" s="14">
        <f t="shared" si="84"/>
        <v>1.1705426356589148</v>
      </c>
      <c r="AJ591" s="10"/>
      <c r="AK591" s="10"/>
      <c r="AL591" s="10"/>
      <c r="AN591" s="10"/>
      <c r="AO591" s="10"/>
      <c r="AP591" s="10"/>
      <c r="AQ591" s="10">
        <v>15.5</v>
      </c>
      <c r="AR591" s="10" t="s">
        <v>14</v>
      </c>
      <c r="AS591" s="10" t="s">
        <v>3</v>
      </c>
      <c r="AT591" s="10" t="s">
        <v>2</v>
      </c>
      <c r="AU591" s="10" t="s">
        <v>2</v>
      </c>
      <c r="AV591" s="10" t="s">
        <v>3</v>
      </c>
      <c r="AW591" s="10" t="s">
        <v>1337</v>
      </c>
    </row>
    <row r="592" spans="1:49" x14ac:dyDescent="0.3">
      <c r="A592" s="10" t="s">
        <v>1406</v>
      </c>
      <c r="B592" s="10" t="s">
        <v>29</v>
      </c>
      <c r="C592" s="10" t="s">
        <v>1408</v>
      </c>
      <c r="D592" s="10" t="s">
        <v>1409</v>
      </c>
      <c r="E592" s="10" t="s">
        <v>1411</v>
      </c>
      <c r="F592" t="s">
        <v>2661</v>
      </c>
      <c r="G592" s="16" t="s">
        <v>22</v>
      </c>
      <c r="H592" s="10" t="s">
        <v>17</v>
      </c>
      <c r="I592" s="10" t="s">
        <v>1424</v>
      </c>
      <c r="J592" s="10" t="s">
        <v>1410</v>
      </c>
      <c r="K592" s="10">
        <v>3</v>
      </c>
      <c r="L592" s="10">
        <v>3</v>
      </c>
      <c r="N592" s="10">
        <v>3100</v>
      </c>
      <c r="O592" s="10"/>
      <c r="P592" s="10"/>
      <c r="Q592" s="10"/>
      <c r="R592" s="10"/>
      <c r="S592" s="10"/>
      <c r="T592" s="10"/>
      <c r="U592" s="10"/>
      <c r="V592" s="10">
        <v>3410</v>
      </c>
      <c r="W592" s="10"/>
      <c r="X592" s="10"/>
      <c r="Y592" s="10"/>
      <c r="Z592" s="10"/>
      <c r="AA592" s="10"/>
      <c r="AB592" s="10"/>
      <c r="AC592" s="10"/>
      <c r="AD592" s="10"/>
      <c r="AE592" s="10"/>
      <c r="AF592" s="10"/>
      <c r="AG592" s="10"/>
      <c r="AH592" s="10"/>
      <c r="AI592" s="14">
        <f t="shared" si="84"/>
        <v>1.1000000000000001</v>
      </c>
      <c r="AJ592" s="10"/>
      <c r="AK592" s="10"/>
      <c r="AL592" s="10"/>
      <c r="AN592" s="10"/>
      <c r="AO592" s="10"/>
      <c r="AP592" s="10"/>
      <c r="AQ592" s="10">
        <v>15.5</v>
      </c>
      <c r="AR592" s="10" t="s">
        <v>14</v>
      </c>
      <c r="AS592" s="10" t="s">
        <v>3</v>
      </c>
      <c r="AT592" s="10" t="s">
        <v>2</v>
      </c>
      <c r="AU592" s="10" t="s">
        <v>2</v>
      </c>
      <c r="AV592" s="10" t="s">
        <v>3</v>
      </c>
      <c r="AW592" s="10" t="s">
        <v>1337</v>
      </c>
    </row>
    <row r="593" spans="1:49" x14ac:dyDescent="0.3">
      <c r="A593" s="10" t="s">
        <v>1406</v>
      </c>
      <c r="B593" s="10" t="s">
        <v>29</v>
      </c>
      <c r="C593" s="10" t="s">
        <v>1408</v>
      </c>
      <c r="D593" s="10" t="s">
        <v>1409</v>
      </c>
      <c r="E593" s="10" t="s">
        <v>1411</v>
      </c>
      <c r="F593" t="s">
        <v>2661</v>
      </c>
      <c r="G593" s="16" t="s">
        <v>22</v>
      </c>
      <c r="H593" s="10" t="s">
        <v>17</v>
      </c>
      <c r="I593" s="10" t="s">
        <v>1425</v>
      </c>
      <c r="J593" s="10" t="s">
        <v>1410</v>
      </c>
      <c r="K593" s="10">
        <v>3</v>
      </c>
      <c r="L593" s="10">
        <v>3</v>
      </c>
      <c r="N593" s="10">
        <v>3430</v>
      </c>
      <c r="O593" s="10"/>
      <c r="P593" s="10"/>
      <c r="Q593" s="10"/>
      <c r="R593" s="10"/>
      <c r="S593" s="10"/>
      <c r="T593" s="10"/>
      <c r="U593" s="10"/>
      <c r="V593" s="10">
        <v>3910</v>
      </c>
      <c r="W593" s="10"/>
      <c r="X593" s="10"/>
      <c r="Y593" s="10"/>
      <c r="Z593" s="10"/>
      <c r="AA593" s="10"/>
      <c r="AB593" s="10"/>
      <c r="AC593" s="10"/>
      <c r="AD593" s="10"/>
      <c r="AE593" s="10"/>
      <c r="AF593" s="10"/>
      <c r="AG593" s="10"/>
      <c r="AH593" s="10"/>
      <c r="AI593" s="14">
        <f t="shared" si="84"/>
        <v>1.1399416909620992</v>
      </c>
      <c r="AJ593" s="10"/>
      <c r="AK593" s="10"/>
      <c r="AL593" s="10"/>
      <c r="AN593" s="10"/>
      <c r="AO593" s="10"/>
      <c r="AP593" s="10"/>
      <c r="AQ593" s="10">
        <v>15.5</v>
      </c>
      <c r="AR593" s="10" t="s">
        <v>14</v>
      </c>
      <c r="AS593" s="10" t="s">
        <v>3</v>
      </c>
      <c r="AT593" s="10" t="s">
        <v>2</v>
      </c>
      <c r="AU593" s="10" t="s">
        <v>2</v>
      </c>
      <c r="AV593" s="10" t="s">
        <v>3</v>
      </c>
      <c r="AW593" s="10" t="s">
        <v>1337</v>
      </c>
    </row>
    <row r="594" spans="1:49" x14ac:dyDescent="0.3">
      <c r="A594" s="10" t="s">
        <v>1406</v>
      </c>
      <c r="B594" s="10" t="s">
        <v>29</v>
      </c>
      <c r="C594" s="10" t="s">
        <v>1408</v>
      </c>
      <c r="D594" s="10" t="s">
        <v>1409</v>
      </c>
      <c r="E594" s="10" t="s">
        <v>1411</v>
      </c>
      <c r="F594" t="s">
        <v>2661</v>
      </c>
      <c r="G594" s="16" t="s">
        <v>22</v>
      </c>
      <c r="H594" s="10" t="s">
        <v>17</v>
      </c>
      <c r="I594" s="10" t="s">
        <v>1426</v>
      </c>
      <c r="J594" s="10" t="s">
        <v>1410</v>
      </c>
      <c r="K594" s="10">
        <v>3</v>
      </c>
      <c r="L594" s="10">
        <v>3</v>
      </c>
      <c r="N594" s="10">
        <v>3140</v>
      </c>
      <c r="O594" s="10"/>
      <c r="P594" s="10"/>
      <c r="Q594" s="10"/>
      <c r="R594" s="10"/>
      <c r="S594" s="10"/>
      <c r="T594" s="10"/>
      <c r="U594" s="10"/>
      <c r="V594" s="10">
        <v>3530</v>
      </c>
      <c r="W594" s="10"/>
      <c r="X594" s="10"/>
      <c r="Y594" s="10"/>
      <c r="Z594" s="10"/>
      <c r="AA594" s="10"/>
      <c r="AB594" s="10"/>
      <c r="AC594" s="10"/>
      <c r="AD594" s="10"/>
      <c r="AE594" s="10"/>
      <c r="AF594" s="10"/>
      <c r="AG594" s="10"/>
      <c r="AH594" s="10"/>
      <c r="AI594" s="14">
        <f t="shared" si="84"/>
        <v>1.124203821656051</v>
      </c>
      <c r="AJ594" s="10"/>
      <c r="AK594" s="10"/>
      <c r="AL594" s="10"/>
      <c r="AN594" s="10"/>
      <c r="AO594" s="10"/>
      <c r="AP594" s="10"/>
      <c r="AQ594" s="10">
        <v>15.5</v>
      </c>
      <c r="AR594" s="10" t="s">
        <v>14</v>
      </c>
      <c r="AS594" s="10" t="s">
        <v>3</v>
      </c>
      <c r="AT594" s="10" t="s">
        <v>2</v>
      </c>
      <c r="AU594" s="10" t="s">
        <v>2</v>
      </c>
      <c r="AV594" s="10" t="s">
        <v>3</v>
      </c>
      <c r="AW594" s="10" t="s">
        <v>1337</v>
      </c>
    </row>
    <row r="595" spans="1:49" x14ac:dyDescent="0.3">
      <c r="A595" s="10" t="s">
        <v>1406</v>
      </c>
      <c r="B595" s="10" t="s">
        <v>29</v>
      </c>
      <c r="C595" s="10" t="s">
        <v>1408</v>
      </c>
      <c r="D595" s="10" t="s">
        <v>1409</v>
      </c>
      <c r="E595" s="10" t="s">
        <v>1411</v>
      </c>
      <c r="F595" t="s">
        <v>2661</v>
      </c>
      <c r="G595" s="16" t="s">
        <v>22</v>
      </c>
      <c r="H595" s="10" t="s">
        <v>17</v>
      </c>
      <c r="I595" s="10" t="s">
        <v>1427</v>
      </c>
      <c r="J595" s="10" t="s">
        <v>1410</v>
      </c>
      <c r="K595" s="10">
        <v>3</v>
      </c>
      <c r="L595" s="10">
        <v>3</v>
      </c>
      <c r="N595" s="10">
        <v>2840</v>
      </c>
      <c r="O595" s="10"/>
      <c r="P595" s="10"/>
      <c r="Q595" s="10"/>
      <c r="R595" s="10"/>
      <c r="S595" s="10"/>
      <c r="T595" s="10"/>
      <c r="U595" s="10"/>
      <c r="V595" s="10">
        <v>3410</v>
      </c>
      <c r="W595" s="10"/>
      <c r="X595" s="10"/>
      <c r="Y595" s="10"/>
      <c r="Z595" s="10"/>
      <c r="AA595" s="10"/>
      <c r="AB595" s="10"/>
      <c r="AC595" s="10"/>
      <c r="AD595" s="10"/>
      <c r="AE595" s="10"/>
      <c r="AF595" s="10"/>
      <c r="AG595" s="10"/>
      <c r="AH595" s="10"/>
      <c r="AI595" s="14">
        <f t="shared" si="84"/>
        <v>1.2007042253521127</v>
      </c>
      <c r="AJ595" s="10"/>
      <c r="AK595" s="10"/>
      <c r="AL595" s="10"/>
      <c r="AN595" s="10"/>
      <c r="AO595" s="10"/>
      <c r="AP595" s="10"/>
      <c r="AQ595" s="10">
        <v>15.5</v>
      </c>
      <c r="AR595" s="10" t="s">
        <v>14</v>
      </c>
      <c r="AS595" s="10" t="s">
        <v>3</v>
      </c>
      <c r="AT595" s="10" t="s">
        <v>2</v>
      </c>
      <c r="AU595" s="10" t="s">
        <v>2</v>
      </c>
      <c r="AV595" s="10" t="s">
        <v>3</v>
      </c>
      <c r="AW595" s="10" t="s">
        <v>1337</v>
      </c>
    </row>
    <row r="596" spans="1:49" x14ac:dyDescent="0.3">
      <c r="A596" s="10" t="s">
        <v>1406</v>
      </c>
      <c r="B596" s="10" t="s">
        <v>29</v>
      </c>
      <c r="C596" s="10" t="s">
        <v>1408</v>
      </c>
      <c r="D596" s="10" t="s">
        <v>1409</v>
      </c>
      <c r="E596" s="10" t="s">
        <v>1411</v>
      </c>
      <c r="F596" t="s">
        <v>2661</v>
      </c>
      <c r="G596" s="16" t="s">
        <v>22</v>
      </c>
      <c r="H596" s="10" t="s">
        <v>17</v>
      </c>
      <c r="I596" s="10" t="s">
        <v>1428</v>
      </c>
      <c r="J596" s="10" t="s">
        <v>725</v>
      </c>
      <c r="K596" s="10">
        <v>3</v>
      </c>
      <c r="L596" s="10">
        <v>3</v>
      </c>
      <c r="N596" s="10">
        <v>2930</v>
      </c>
      <c r="O596" s="10"/>
      <c r="P596" s="10"/>
      <c r="Q596" s="10"/>
      <c r="R596" s="10"/>
      <c r="S596" s="10"/>
      <c r="T596" s="10"/>
      <c r="U596" s="10"/>
      <c r="V596" s="10">
        <v>3150</v>
      </c>
      <c r="W596" s="10"/>
      <c r="X596" s="10"/>
      <c r="Y596" s="10"/>
      <c r="Z596" s="10"/>
      <c r="AA596" s="10"/>
      <c r="AB596" s="10"/>
      <c r="AC596" s="10"/>
      <c r="AD596" s="10"/>
      <c r="AE596" s="10"/>
      <c r="AF596" s="10"/>
      <c r="AG596" s="10"/>
      <c r="AH596" s="10"/>
      <c r="AI596" s="14">
        <f t="shared" ref="AI596:AI604" si="85">V596/N596</f>
        <v>1.0750853242320819</v>
      </c>
      <c r="AJ596" s="10"/>
      <c r="AK596" s="10"/>
      <c r="AL596" s="10"/>
      <c r="AN596" s="10"/>
      <c r="AO596" s="10"/>
      <c r="AP596" s="10"/>
      <c r="AQ596" s="10">
        <v>15.5</v>
      </c>
      <c r="AR596" s="10" t="s">
        <v>14</v>
      </c>
      <c r="AS596" s="10" t="s">
        <v>3</v>
      </c>
      <c r="AT596" s="10" t="s">
        <v>2</v>
      </c>
      <c r="AU596" s="10" t="s">
        <v>2</v>
      </c>
      <c r="AV596" s="10" t="s">
        <v>3</v>
      </c>
      <c r="AW596" s="10" t="s">
        <v>1337</v>
      </c>
    </row>
    <row r="597" spans="1:49" x14ac:dyDescent="0.3">
      <c r="A597" s="10" t="s">
        <v>1406</v>
      </c>
      <c r="B597" s="10" t="s">
        <v>29</v>
      </c>
      <c r="C597" s="10" t="s">
        <v>1408</v>
      </c>
      <c r="D597" s="10" t="s">
        <v>1409</v>
      </c>
      <c r="E597" s="10" t="s">
        <v>1411</v>
      </c>
      <c r="F597" t="s">
        <v>2661</v>
      </c>
      <c r="G597" s="16" t="s">
        <v>22</v>
      </c>
      <c r="H597" s="10" t="s">
        <v>17</v>
      </c>
      <c r="I597" s="10" t="s">
        <v>1429</v>
      </c>
      <c r="J597" s="10" t="s">
        <v>725</v>
      </c>
      <c r="K597" s="10">
        <v>3</v>
      </c>
      <c r="L597" s="10">
        <v>3</v>
      </c>
      <c r="N597" s="10">
        <v>3020</v>
      </c>
      <c r="O597" s="10"/>
      <c r="P597" s="10"/>
      <c r="Q597" s="10"/>
      <c r="R597" s="10"/>
      <c r="S597" s="10"/>
      <c r="T597" s="10"/>
      <c r="U597" s="10"/>
      <c r="V597" s="10">
        <v>3200</v>
      </c>
      <c r="W597" s="10"/>
      <c r="X597" s="10"/>
      <c r="Y597" s="10"/>
      <c r="Z597" s="10"/>
      <c r="AA597" s="10"/>
      <c r="AB597" s="10"/>
      <c r="AC597" s="10"/>
      <c r="AD597" s="10"/>
      <c r="AE597" s="10"/>
      <c r="AF597" s="10"/>
      <c r="AG597" s="10"/>
      <c r="AH597" s="10"/>
      <c r="AI597" s="14">
        <f t="shared" si="85"/>
        <v>1.0596026490066226</v>
      </c>
      <c r="AJ597" s="10"/>
      <c r="AK597" s="10"/>
      <c r="AL597" s="10"/>
      <c r="AN597" s="10"/>
      <c r="AO597" s="10"/>
      <c r="AP597" s="10"/>
      <c r="AQ597" s="10">
        <v>15.5</v>
      </c>
      <c r="AR597" s="10" t="s">
        <v>14</v>
      </c>
      <c r="AS597" s="10" t="s">
        <v>3</v>
      </c>
      <c r="AT597" s="10" t="s">
        <v>2</v>
      </c>
      <c r="AU597" s="10" t="s">
        <v>2</v>
      </c>
      <c r="AV597" s="10" t="s">
        <v>3</v>
      </c>
      <c r="AW597" s="10" t="s">
        <v>1337</v>
      </c>
    </row>
    <row r="598" spans="1:49" x14ac:dyDescent="0.3">
      <c r="A598" s="10" t="s">
        <v>1406</v>
      </c>
      <c r="B598" s="10" t="s">
        <v>29</v>
      </c>
      <c r="C598" s="10" t="s">
        <v>1408</v>
      </c>
      <c r="D598" s="10" t="s">
        <v>1409</v>
      </c>
      <c r="E598" s="10" t="s">
        <v>1411</v>
      </c>
      <c r="F598" t="s">
        <v>2661</v>
      </c>
      <c r="G598" s="16" t="s">
        <v>22</v>
      </c>
      <c r="H598" s="10" t="s">
        <v>17</v>
      </c>
      <c r="I598" s="10" t="s">
        <v>1430</v>
      </c>
      <c r="J598" s="10" t="s">
        <v>725</v>
      </c>
      <c r="K598" s="10">
        <v>3</v>
      </c>
      <c r="L598" s="10">
        <v>3</v>
      </c>
      <c r="N598" s="10">
        <v>3470</v>
      </c>
      <c r="O598" s="10"/>
      <c r="P598" s="10"/>
      <c r="Q598" s="10"/>
      <c r="R598" s="10"/>
      <c r="S598" s="10"/>
      <c r="T598" s="10"/>
      <c r="U598" s="10"/>
      <c r="V598" s="10">
        <v>3590</v>
      </c>
      <c r="W598" s="10"/>
      <c r="X598" s="10"/>
      <c r="Y598" s="10"/>
      <c r="Z598" s="10"/>
      <c r="AA598" s="10"/>
      <c r="AB598" s="10"/>
      <c r="AC598" s="10"/>
      <c r="AD598" s="10"/>
      <c r="AE598" s="10"/>
      <c r="AF598" s="10"/>
      <c r="AG598" s="10"/>
      <c r="AH598" s="10"/>
      <c r="AI598" s="14">
        <f t="shared" si="85"/>
        <v>1.0345821325648414</v>
      </c>
      <c r="AJ598" s="10"/>
      <c r="AK598" s="10"/>
      <c r="AL598" s="10"/>
      <c r="AN598" s="10"/>
      <c r="AO598" s="10"/>
      <c r="AP598" s="10"/>
      <c r="AQ598" s="10">
        <v>15.5</v>
      </c>
      <c r="AR598" s="10" t="s">
        <v>14</v>
      </c>
      <c r="AS598" s="10" t="s">
        <v>3</v>
      </c>
      <c r="AT598" s="10" t="s">
        <v>2</v>
      </c>
      <c r="AU598" s="10" t="s">
        <v>2</v>
      </c>
      <c r="AV598" s="10" t="s">
        <v>3</v>
      </c>
      <c r="AW598" s="10" t="s">
        <v>1337</v>
      </c>
    </row>
    <row r="599" spans="1:49" x14ac:dyDescent="0.3">
      <c r="A599" s="10" t="s">
        <v>1406</v>
      </c>
      <c r="B599" s="10" t="s">
        <v>29</v>
      </c>
      <c r="C599" s="10" t="s">
        <v>1408</v>
      </c>
      <c r="D599" s="10" t="s">
        <v>1409</v>
      </c>
      <c r="E599" s="10" t="s">
        <v>1411</v>
      </c>
      <c r="F599" t="s">
        <v>2661</v>
      </c>
      <c r="G599" s="16" t="s">
        <v>22</v>
      </c>
      <c r="H599" s="10" t="s">
        <v>17</v>
      </c>
      <c r="I599" s="10" t="s">
        <v>1431</v>
      </c>
      <c r="J599" s="10" t="s">
        <v>725</v>
      </c>
      <c r="K599" s="10">
        <v>3</v>
      </c>
      <c r="L599" s="10">
        <v>3</v>
      </c>
      <c r="N599" s="10">
        <v>3850</v>
      </c>
      <c r="O599" s="10"/>
      <c r="P599" s="10"/>
      <c r="Q599" s="10"/>
      <c r="R599" s="10"/>
      <c r="S599" s="10"/>
      <c r="T599" s="10"/>
      <c r="U599" s="10"/>
      <c r="V599" s="10">
        <v>3940</v>
      </c>
      <c r="W599" s="10"/>
      <c r="X599" s="10"/>
      <c r="Y599" s="10"/>
      <c r="Z599" s="10"/>
      <c r="AA599" s="10"/>
      <c r="AB599" s="10"/>
      <c r="AC599" s="10"/>
      <c r="AD599" s="10"/>
      <c r="AE599" s="10"/>
      <c r="AF599" s="10"/>
      <c r="AG599" s="10"/>
      <c r="AH599" s="10"/>
      <c r="AI599" s="14">
        <f t="shared" si="85"/>
        <v>1.0233766233766233</v>
      </c>
      <c r="AJ599" s="10"/>
      <c r="AK599" s="10"/>
      <c r="AL599" s="10"/>
      <c r="AN599" s="10"/>
      <c r="AO599" s="10"/>
      <c r="AP599" s="10"/>
      <c r="AQ599" s="10">
        <v>15.5</v>
      </c>
      <c r="AR599" s="10" t="s">
        <v>14</v>
      </c>
      <c r="AS599" s="10" t="s">
        <v>3</v>
      </c>
      <c r="AT599" s="10" t="s">
        <v>2</v>
      </c>
      <c r="AU599" s="10" t="s">
        <v>2</v>
      </c>
      <c r="AV599" s="10" t="s">
        <v>3</v>
      </c>
      <c r="AW599" s="10" t="s">
        <v>1337</v>
      </c>
    </row>
    <row r="600" spans="1:49" x14ac:dyDescent="0.3">
      <c r="A600" s="10" t="s">
        <v>1406</v>
      </c>
      <c r="B600" s="10" t="s">
        <v>29</v>
      </c>
      <c r="C600" s="10" t="s">
        <v>1408</v>
      </c>
      <c r="D600" s="10" t="s">
        <v>1409</v>
      </c>
      <c r="E600" s="10" t="s">
        <v>1411</v>
      </c>
      <c r="F600" t="s">
        <v>2661</v>
      </c>
      <c r="G600" s="16" t="s">
        <v>22</v>
      </c>
      <c r="H600" s="10" t="s">
        <v>17</v>
      </c>
      <c r="I600" s="10" t="s">
        <v>1432</v>
      </c>
      <c r="J600" s="10" t="s">
        <v>725</v>
      </c>
      <c r="K600" s="10">
        <v>3</v>
      </c>
      <c r="L600" s="10">
        <v>3</v>
      </c>
      <c r="N600" s="10">
        <v>2780</v>
      </c>
      <c r="O600" s="10"/>
      <c r="P600" s="10"/>
      <c r="Q600" s="10"/>
      <c r="R600" s="10"/>
      <c r="S600" s="10"/>
      <c r="T600" s="10"/>
      <c r="U600" s="10"/>
      <c r="V600" s="10">
        <v>3050</v>
      </c>
      <c r="W600" s="10"/>
      <c r="X600" s="10"/>
      <c r="Y600" s="10"/>
      <c r="Z600" s="10"/>
      <c r="AA600" s="10"/>
      <c r="AB600" s="10"/>
      <c r="AC600" s="10"/>
      <c r="AD600" s="10"/>
      <c r="AE600" s="10"/>
      <c r="AF600" s="10"/>
      <c r="AG600" s="10"/>
      <c r="AH600" s="10"/>
      <c r="AI600" s="14">
        <f t="shared" si="85"/>
        <v>1.0971223021582734</v>
      </c>
      <c r="AJ600" s="10"/>
      <c r="AK600" s="10"/>
      <c r="AL600" s="10"/>
      <c r="AN600" s="10"/>
      <c r="AO600" s="10"/>
      <c r="AP600" s="10"/>
      <c r="AQ600" s="10">
        <v>15.5</v>
      </c>
      <c r="AR600" s="10" t="s">
        <v>14</v>
      </c>
      <c r="AS600" s="10" t="s">
        <v>3</v>
      </c>
      <c r="AT600" s="10" t="s">
        <v>2</v>
      </c>
      <c r="AU600" s="10" t="s">
        <v>2</v>
      </c>
      <c r="AV600" s="10" t="s">
        <v>3</v>
      </c>
      <c r="AW600" s="10" t="s">
        <v>1337</v>
      </c>
    </row>
    <row r="601" spans="1:49" x14ac:dyDescent="0.3">
      <c r="A601" s="10" t="s">
        <v>1406</v>
      </c>
      <c r="B601" s="10" t="s">
        <v>29</v>
      </c>
      <c r="C601" s="10" t="s">
        <v>1408</v>
      </c>
      <c r="D601" s="10" t="s">
        <v>1409</v>
      </c>
      <c r="E601" s="10" t="s">
        <v>1411</v>
      </c>
      <c r="F601" t="s">
        <v>2661</v>
      </c>
      <c r="G601" s="16" t="s">
        <v>22</v>
      </c>
      <c r="H601" s="10" t="s">
        <v>17</v>
      </c>
      <c r="I601" s="10" t="s">
        <v>1433</v>
      </c>
      <c r="J601" s="10" t="s">
        <v>725</v>
      </c>
      <c r="K601" s="10">
        <v>3</v>
      </c>
      <c r="L601" s="10">
        <v>3</v>
      </c>
      <c r="N601" s="10">
        <v>2910</v>
      </c>
      <c r="O601" s="10"/>
      <c r="P601" s="10"/>
      <c r="Q601" s="10"/>
      <c r="R601" s="10"/>
      <c r="S601" s="10"/>
      <c r="T601" s="10"/>
      <c r="U601" s="10"/>
      <c r="V601" s="10">
        <v>3020</v>
      </c>
      <c r="W601" s="10"/>
      <c r="X601" s="10"/>
      <c r="Y601" s="10"/>
      <c r="Z601" s="10"/>
      <c r="AA601" s="10"/>
      <c r="AB601" s="10"/>
      <c r="AC601" s="10"/>
      <c r="AD601" s="10"/>
      <c r="AE601" s="10"/>
      <c r="AF601" s="10"/>
      <c r="AG601" s="10"/>
      <c r="AH601" s="10"/>
      <c r="AI601" s="14">
        <f t="shared" si="85"/>
        <v>1.0378006872852235</v>
      </c>
      <c r="AJ601" s="10"/>
      <c r="AK601" s="10"/>
      <c r="AL601" s="10"/>
      <c r="AN601" s="10"/>
      <c r="AO601" s="10"/>
      <c r="AP601" s="10"/>
      <c r="AQ601" s="10">
        <v>15.5</v>
      </c>
      <c r="AR601" s="10" t="s">
        <v>14</v>
      </c>
      <c r="AS601" s="10" t="s">
        <v>3</v>
      </c>
      <c r="AT601" s="10" t="s">
        <v>2</v>
      </c>
      <c r="AU601" s="10" t="s">
        <v>2</v>
      </c>
      <c r="AV601" s="10" t="s">
        <v>3</v>
      </c>
      <c r="AW601" s="10" t="s">
        <v>1337</v>
      </c>
    </row>
    <row r="602" spans="1:49" x14ac:dyDescent="0.3">
      <c r="A602" s="10" t="s">
        <v>1406</v>
      </c>
      <c r="B602" s="10" t="s">
        <v>29</v>
      </c>
      <c r="C602" s="10" t="s">
        <v>1408</v>
      </c>
      <c r="D602" s="10" t="s">
        <v>1409</v>
      </c>
      <c r="E602" s="10" t="s">
        <v>1411</v>
      </c>
      <c r="F602" t="s">
        <v>2661</v>
      </c>
      <c r="G602" s="16" t="s">
        <v>22</v>
      </c>
      <c r="H602" s="10" t="s">
        <v>17</v>
      </c>
      <c r="I602" s="10" t="s">
        <v>1434</v>
      </c>
      <c r="J602" s="10" t="s">
        <v>725</v>
      </c>
      <c r="K602" s="10">
        <v>3</v>
      </c>
      <c r="L602" s="10">
        <v>3</v>
      </c>
      <c r="N602" s="10">
        <v>3590</v>
      </c>
      <c r="O602" s="10"/>
      <c r="P602" s="10"/>
      <c r="Q602" s="10"/>
      <c r="R602" s="10"/>
      <c r="S602" s="10"/>
      <c r="T602" s="10"/>
      <c r="U602" s="10"/>
      <c r="V602" s="10">
        <v>3520</v>
      </c>
      <c r="W602" s="10"/>
      <c r="X602" s="10"/>
      <c r="Y602" s="10"/>
      <c r="Z602" s="10"/>
      <c r="AA602" s="10"/>
      <c r="AB602" s="10"/>
      <c r="AC602" s="10"/>
      <c r="AD602" s="10"/>
      <c r="AE602" s="10"/>
      <c r="AF602" s="10"/>
      <c r="AG602" s="10"/>
      <c r="AH602" s="10"/>
      <c r="AI602" s="14">
        <f t="shared" si="85"/>
        <v>0.98050139275766013</v>
      </c>
      <c r="AJ602" s="10"/>
      <c r="AK602" s="10"/>
      <c r="AL602" s="10"/>
      <c r="AN602" s="10"/>
      <c r="AO602" s="10"/>
      <c r="AP602" s="10"/>
      <c r="AQ602" s="10">
        <v>15.5</v>
      </c>
      <c r="AR602" s="10" t="s">
        <v>14</v>
      </c>
      <c r="AS602" s="10" t="s">
        <v>3</v>
      </c>
      <c r="AT602" s="10" t="s">
        <v>2</v>
      </c>
      <c r="AU602" s="10" t="s">
        <v>2</v>
      </c>
      <c r="AV602" s="10" t="s">
        <v>3</v>
      </c>
      <c r="AW602" s="10" t="s">
        <v>1337</v>
      </c>
    </row>
    <row r="603" spans="1:49" x14ac:dyDescent="0.3">
      <c r="A603" s="10" t="s">
        <v>1406</v>
      </c>
      <c r="B603" s="10" t="s">
        <v>29</v>
      </c>
      <c r="C603" s="10" t="s">
        <v>1408</v>
      </c>
      <c r="D603" s="10" t="s">
        <v>1409</v>
      </c>
      <c r="E603" s="10" t="s">
        <v>1411</v>
      </c>
      <c r="F603" t="s">
        <v>2661</v>
      </c>
      <c r="G603" s="16" t="s">
        <v>22</v>
      </c>
      <c r="H603" s="10" t="s">
        <v>17</v>
      </c>
      <c r="I603" s="10" t="s">
        <v>1435</v>
      </c>
      <c r="J603" s="10" t="s">
        <v>725</v>
      </c>
      <c r="K603" s="10">
        <v>3</v>
      </c>
      <c r="L603" s="10">
        <v>3</v>
      </c>
      <c r="N603" s="10">
        <v>3590</v>
      </c>
      <c r="O603" s="10"/>
      <c r="P603" s="10"/>
      <c r="Q603" s="10"/>
      <c r="R603" s="10"/>
      <c r="S603" s="10"/>
      <c r="T603" s="10"/>
      <c r="U603" s="10"/>
      <c r="V603" s="10">
        <v>3790</v>
      </c>
      <c r="W603" s="10"/>
      <c r="X603" s="10"/>
      <c r="Y603" s="10"/>
      <c r="Z603" s="10"/>
      <c r="AA603" s="10"/>
      <c r="AB603" s="10"/>
      <c r="AC603" s="10"/>
      <c r="AD603" s="10"/>
      <c r="AE603" s="10"/>
      <c r="AF603" s="10"/>
      <c r="AG603" s="10"/>
      <c r="AH603" s="10"/>
      <c r="AI603" s="14">
        <f t="shared" si="85"/>
        <v>1.0557103064066853</v>
      </c>
      <c r="AJ603" s="10"/>
      <c r="AK603" s="10"/>
      <c r="AL603" s="10"/>
      <c r="AN603" s="10"/>
      <c r="AO603" s="10"/>
      <c r="AP603" s="10"/>
      <c r="AQ603" s="10">
        <v>15.5</v>
      </c>
      <c r="AR603" s="10" t="s">
        <v>14</v>
      </c>
      <c r="AS603" s="10" t="s">
        <v>3</v>
      </c>
      <c r="AT603" s="10" t="s">
        <v>2</v>
      </c>
      <c r="AU603" s="10" t="s">
        <v>2</v>
      </c>
      <c r="AV603" s="10" t="s">
        <v>3</v>
      </c>
      <c r="AW603" s="10" t="s">
        <v>1337</v>
      </c>
    </row>
    <row r="604" spans="1:49" x14ac:dyDescent="0.3">
      <c r="A604" s="10" t="s">
        <v>1406</v>
      </c>
      <c r="B604" s="10" t="s">
        <v>29</v>
      </c>
      <c r="C604" s="10" t="s">
        <v>1408</v>
      </c>
      <c r="D604" s="10" t="s">
        <v>1409</v>
      </c>
      <c r="E604" s="10" t="s">
        <v>1411</v>
      </c>
      <c r="F604" t="s">
        <v>2661</v>
      </c>
      <c r="G604" s="16" t="s">
        <v>22</v>
      </c>
      <c r="H604" s="10" t="s">
        <v>17</v>
      </c>
      <c r="I604" s="10" t="s">
        <v>1436</v>
      </c>
      <c r="J604" s="10" t="s">
        <v>725</v>
      </c>
      <c r="K604" s="10">
        <v>3</v>
      </c>
      <c r="L604" s="10">
        <v>3</v>
      </c>
      <c r="N604" s="10">
        <v>4070</v>
      </c>
      <c r="O604" s="10"/>
      <c r="P604" s="10"/>
      <c r="Q604" s="10"/>
      <c r="R604" s="10"/>
      <c r="S604" s="10"/>
      <c r="T604" s="10"/>
      <c r="U604" s="10"/>
      <c r="V604" s="10">
        <v>4130</v>
      </c>
      <c r="W604" s="10"/>
      <c r="X604" s="10"/>
      <c r="Y604" s="10"/>
      <c r="Z604" s="10"/>
      <c r="AA604" s="10"/>
      <c r="AB604" s="10"/>
      <c r="AC604" s="10"/>
      <c r="AD604" s="10"/>
      <c r="AE604" s="10"/>
      <c r="AF604" s="10"/>
      <c r="AG604" s="10"/>
      <c r="AH604" s="10"/>
      <c r="AI604" s="14">
        <f t="shared" si="85"/>
        <v>1.0147420147420148</v>
      </c>
      <c r="AJ604" s="10"/>
      <c r="AK604" s="10"/>
      <c r="AL604" s="10"/>
      <c r="AN604" s="10"/>
      <c r="AO604" s="10"/>
      <c r="AP604" s="10"/>
      <c r="AQ604" s="10">
        <v>15.5</v>
      </c>
      <c r="AR604" s="10" t="s">
        <v>14</v>
      </c>
      <c r="AS604" s="10" t="s">
        <v>3</v>
      </c>
      <c r="AT604" s="10" t="s">
        <v>2</v>
      </c>
      <c r="AU604" s="10" t="s">
        <v>2</v>
      </c>
      <c r="AV604" s="10" t="s">
        <v>3</v>
      </c>
      <c r="AW604" s="10" t="s">
        <v>1337</v>
      </c>
    </row>
    <row r="605" spans="1:49" x14ac:dyDescent="0.3">
      <c r="A605" s="10" t="s">
        <v>1405</v>
      </c>
      <c r="B605" s="10" t="s">
        <v>1437</v>
      </c>
      <c r="C605" s="10" t="s">
        <v>1438</v>
      </c>
      <c r="D605" s="10"/>
      <c r="E605" s="10" t="s">
        <v>1439</v>
      </c>
      <c r="F605" t="s">
        <v>2661</v>
      </c>
      <c r="G605" s="16" t="s">
        <v>22</v>
      </c>
      <c r="H605" s="10" t="s">
        <v>17</v>
      </c>
      <c r="I605" s="10" t="s">
        <v>1442</v>
      </c>
      <c r="J605" s="10" t="s">
        <v>1447</v>
      </c>
      <c r="K605" s="10">
        <v>4</v>
      </c>
      <c r="L605" s="10">
        <v>4</v>
      </c>
      <c r="N605" s="10">
        <v>5.23</v>
      </c>
      <c r="O605" s="10"/>
      <c r="P605" s="10">
        <v>1.74</v>
      </c>
      <c r="Q605" s="10"/>
      <c r="R605" s="10"/>
      <c r="S605" s="10"/>
      <c r="T605" s="10"/>
      <c r="U605" s="10"/>
      <c r="V605" s="10">
        <v>5.75</v>
      </c>
      <c r="W605" s="10"/>
      <c r="X605" s="10"/>
      <c r="Y605" s="10"/>
      <c r="Z605" s="10"/>
      <c r="AA605" s="10"/>
      <c r="AB605" s="10"/>
      <c r="AC605" s="10"/>
      <c r="AD605" s="10"/>
      <c r="AE605" s="10"/>
      <c r="AF605" s="10"/>
      <c r="AG605" s="10"/>
      <c r="AH605" s="10"/>
      <c r="AI605" s="14">
        <f>MIN(V605/N605,V605/P605)</f>
        <v>1.0994263862332696</v>
      </c>
      <c r="AJ605" s="10"/>
      <c r="AK605" s="10"/>
      <c r="AL605" s="10"/>
      <c r="AN605" s="10"/>
      <c r="AO605" s="10"/>
      <c r="AP605" s="10"/>
      <c r="AQ605" s="10">
        <v>15</v>
      </c>
      <c r="AR605" s="10" t="s">
        <v>14</v>
      </c>
      <c r="AS605" s="10"/>
      <c r="AT605" s="10" t="s">
        <v>2</v>
      </c>
      <c r="AU605" s="10" t="s">
        <v>2</v>
      </c>
      <c r="AV605" s="10" t="s">
        <v>3</v>
      </c>
      <c r="AW605" s="10" t="s">
        <v>2408</v>
      </c>
    </row>
    <row r="606" spans="1:49" x14ac:dyDescent="0.3">
      <c r="A606" s="10" t="s">
        <v>1405</v>
      </c>
      <c r="B606" s="10" t="s">
        <v>1437</v>
      </c>
      <c r="C606" s="10" t="s">
        <v>1438</v>
      </c>
      <c r="D606" s="10"/>
      <c r="E606" s="10" t="s">
        <v>1439</v>
      </c>
      <c r="F606" t="s">
        <v>2661</v>
      </c>
      <c r="G606" s="16" t="s">
        <v>22</v>
      </c>
      <c r="H606" s="10" t="s">
        <v>17</v>
      </c>
      <c r="I606" s="10" t="s">
        <v>1443</v>
      </c>
      <c r="J606" s="10" t="s">
        <v>1447</v>
      </c>
      <c r="K606" s="10">
        <v>4</v>
      </c>
      <c r="L606" s="10">
        <v>4</v>
      </c>
      <c r="N606" s="10">
        <v>5.17</v>
      </c>
      <c r="O606" s="10"/>
      <c r="P606" s="10">
        <v>1.75</v>
      </c>
      <c r="Q606" s="10"/>
      <c r="R606" s="10"/>
      <c r="S606" s="10"/>
      <c r="T606" s="10"/>
      <c r="U606" s="10"/>
      <c r="V606" s="10">
        <v>5.77</v>
      </c>
      <c r="W606" s="10"/>
      <c r="X606" s="10"/>
      <c r="Y606" s="10"/>
      <c r="Z606" s="10"/>
      <c r="AA606" s="10"/>
      <c r="AB606" s="10"/>
      <c r="AC606" s="10"/>
      <c r="AD606" s="10"/>
      <c r="AE606" s="10"/>
      <c r="AF606" s="10"/>
      <c r="AG606" s="10"/>
      <c r="AH606" s="10"/>
      <c r="AI606" s="14">
        <f>MIN(V606/N606,V606/P606)</f>
        <v>1.11605415860735</v>
      </c>
      <c r="AJ606" s="10"/>
      <c r="AK606" s="10"/>
      <c r="AL606" s="10"/>
      <c r="AN606" s="10"/>
      <c r="AO606" s="10"/>
      <c r="AP606" s="10"/>
      <c r="AQ606" s="10">
        <v>30</v>
      </c>
      <c r="AR606" s="10" t="s">
        <v>14</v>
      </c>
      <c r="AS606" s="10"/>
      <c r="AT606" s="10" t="s">
        <v>2</v>
      </c>
      <c r="AU606" s="10" t="s">
        <v>2</v>
      </c>
      <c r="AV606" s="10" t="s">
        <v>3</v>
      </c>
      <c r="AW606" s="10" t="s">
        <v>2408</v>
      </c>
    </row>
    <row r="607" spans="1:49" x14ac:dyDescent="0.3">
      <c r="A607" s="10" t="s">
        <v>1405</v>
      </c>
      <c r="B607" s="10" t="s">
        <v>1437</v>
      </c>
      <c r="C607" s="10" t="s">
        <v>1438</v>
      </c>
      <c r="D607" s="10"/>
      <c r="E607" s="10" t="s">
        <v>1439</v>
      </c>
      <c r="F607" t="s">
        <v>2661</v>
      </c>
      <c r="G607" s="16" t="s">
        <v>22</v>
      </c>
      <c r="H607" s="10" t="s">
        <v>17</v>
      </c>
      <c r="I607" s="10" t="s">
        <v>1444</v>
      </c>
      <c r="J607" s="10" t="s">
        <v>1447</v>
      </c>
      <c r="K607" s="10">
        <v>4</v>
      </c>
      <c r="L607" s="10">
        <v>4</v>
      </c>
      <c r="N607" s="10">
        <v>5.66</v>
      </c>
      <c r="O607" s="10"/>
      <c r="P607" s="10">
        <v>1.69</v>
      </c>
      <c r="Q607" s="10"/>
      <c r="R607" s="10"/>
      <c r="S607" s="10"/>
      <c r="T607" s="10"/>
      <c r="U607" s="10"/>
      <c r="V607" s="10">
        <v>6.1</v>
      </c>
      <c r="W607" s="10"/>
      <c r="X607" s="10"/>
      <c r="Y607" s="10"/>
      <c r="Z607" s="10"/>
      <c r="AA607" s="10"/>
      <c r="AB607" s="10"/>
      <c r="AC607" s="10"/>
      <c r="AD607" s="10"/>
      <c r="AE607" s="10"/>
      <c r="AF607" s="10"/>
      <c r="AG607" s="10"/>
      <c r="AH607" s="10"/>
      <c r="AI607" s="14">
        <f>MIN(V607/N607,V607/P607)</f>
        <v>1.07773851590106</v>
      </c>
      <c r="AJ607" s="10"/>
      <c r="AK607" s="10"/>
      <c r="AL607" s="10"/>
      <c r="AN607" s="10"/>
      <c r="AO607" s="10"/>
      <c r="AP607" s="10"/>
      <c r="AQ607" s="10">
        <v>60</v>
      </c>
      <c r="AR607" s="10" t="s">
        <v>14</v>
      </c>
      <c r="AS607" s="10"/>
      <c r="AT607" s="10" t="s">
        <v>2</v>
      </c>
      <c r="AU607" s="10" t="s">
        <v>2</v>
      </c>
      <c r="AV607" s="10" t="s">
        <v>3</v>
      </c>
      <c r="AW607" s="10" t="s">
        <v>2408</v>
      </c>
    </row>
    <row r="608" spans="1:49" x14ac:dyDescent="0.3">
      <c r="A608" s="10" t="s">
        <v>1405</v>
      </c>
      <c r="B608" s="10" t="s">
        <v>1437</v>
      </c>
      <c r="C608" s="10" t="s">
        <v>1438</v>
      </c>
      <c r="D608" s="10"/>
      <c r="E608" s="10" t="s">
        <v>1439</v>
      </c>
      <c r="F608" t="s">
        <v>2661</v>
      </c>
      <c r="G608" s="16" t="s">
        <v>22</v>
      </c>
      <c r="H608" s="10" t="s">
        <v>17</v>
      </c>
      <c r="I608" s="10" t="s">
        <v>1445</v>
      </c>
      <c r="J608" s="10" t="s">
        <v>1447</v>
      </c>
      <c r="K608" s="10">
        <v>4</v>
      </c>
      <c r="L608" s="10">
        <v>4</v>
      </c>
      <c r="N608" s="10">
        <v>5.75</v>
      </c>
      <c r="O608" s="10"/>
      <c r="P608" s="10">
        <v>1.62</v>
      </c>
      <c r="Q608" s="10"/>
      <c r="R608" s="10"/>
      <c r="S608" s="10"/>
      <c r="T608" s="10"/>
      <c r="U608" s="10"/>
      <c r="V608" s="10">
        <v>6.2</v>
      </c>
      <c r="W608" s="10"/>
      <c r="X608" s="10"/>
      <c r="Y608" s="10"/>
      <c r="Z608" s="10"/>
      <c r="AA608" s="10"/>
      <c r="AB608" s="10"/>
      <c r="AC608" s="10"/>
      <c r="AD608" s="10"/>
      <c r="AE608" s="10"/>
      <c r="AF608" s="10"/>
      <c r="AG608" s="10"/>
      <c r="AH608" s="10"/>
      <c r="AI608" s="14">
        <f>MIN(V608/N608,V608/P608)</f>
        <v>1.0782608695652174</v>
      </c>
      <c r="AJ608" s="10"/>
      <c r="AK608" s="10"/>
      <c r="AL608" s="10"/>
      <c r="AN608" s="10"/>
      <c r="AO608" s="10"/>
      <c r="AP608" s="10"/>
      <c r="AQ608" s="10">
        <v>90</v>
      </c>
      <c r="AR608" s="10" t="s">
        <v>14</v>
      </c>
      <c r="AS608" s="10"/>
      <c r="AT608" s="10" t="s">
        <v>2</v>
      </c>
      <c r="AU608" s="10" t="s">
        <v>2</v>
      </c>
      <c r="AV608" s="10" t="s">
        <v>3</v>
      </c>
      <c r="AW608" s="10" t="s">
        <v>2408</v>
      </c>
    </row>
    <row r="609" spans="1:49" s="10" customFormat="1" x14ac:dyDescent="0.3">
      <c r="A609" s="10" t="s">
        <v>1405</v>
      </c>
      <c r="B609" s="10" t="s">
        <v>1437</v>
      </c>
      <c r="C609" s="10" t="s">
        <v>1438</v>
      </c>
      <c r="E609" s="10" t="s">
        <v>1446</v>
      </c>
      <c r="F609" t="s">
        <v>2661</v>
      </c>
      <c r="G609" s="16" t="s">
        <v>22</v>
      </c>
      <c r="H609" s="10" t="s">
        <v>17</v>
      </c>
      <c r="I609" s="10" t="s">
        <v>1449</v>
      </c>
      <c r="J609" s="10" t="s">
        <v>1440</v>
      </c>
      <c r="K609" s="10">
        <v>4</v>
      </c>
      <c r="L609" s="10">
        <v>4</v>
      </c>
      <c r="M609" s="53"/>
      <c r="N609" s="10">
        <v>7.21</v>
      </c>
      <c r="P609" s="10">
        <v>5.84</v>
      </c>
      <c r="W609" s="10">
        <v>2.17</v>
      </c>
      <c r="Y609" s="10">
        <v>4.8499999999999996</v>
      </c>
      <c r="AD609" s="14">
        <f t="shared" ref="AD609:AD636" si="86">W609/N609</f>
        <v>0.30097087378640774</v>
      </c>
      <c r="AE609" s="14">
        <f t="shared" ref="AE609:AE636" si="87">Y609/P609</f>
        <v>0.83047945205479445</v>
      </c>
      <c r="AI609" s="14">
        <f t="shared" ref="AI609:AI616" si="88">AD609+AE609</f>
        <v>1.1314503258412021</v>
      </c>
      <c r="AM609"/>
      <c r="AQ609" s="10">
        <v>0</v>
      </c>
      <c r="AR609" s="10" t="s">
        <v>14</v>
      </c>
      <c r="AT609" s="10" t="s">
        <v>2</v>
      </c>
      <c r="AU609" s="10" t="s">
        <v>2</v>
      </c>
      <c r="AV609" s="10" t="s">
        <v>3</v>
      </c>
      <c r="AW609" s="10" t="s">
        <v>1189</v>
      </c>
    </row>
    <row r="610" spans="1:49" s="10" customFormat="1" x14ac:dyDescent="0.3">
      <c r="A610" s="10" t="s">
        <v>1405</v>
      </c>
      <c r="B610" s="10" t="s">
        <v>1437</v>
      </c>
      <c r="C610" s="10" t="s">
        <v>1438</v>
      </c>
      <c r="E610" s="10" t="s">
        <v>1446</v>
      </c>
      <c r="F610" t="s">
        <v>2661</v>
      </c>
      <c r="G610" s="16" t="s">
        <v>22</v>
      </c>
      <c r="H610" s="10" t="s">
        <v>17</v>
      </c>
      <c r="I610" s="10" t="s">
        <v>1448</v>
      </c>
      <c r="J610" s="10" t="s">
        <v>1440</v>
      </c>
      <c r="K610" s="10">
        <v>4</v>
      </c>
      <c r="L610" s="10">
        <v>4</v>
      </c>
      <c r="M610" s="53"/>
      <c r="N610" s="10">
        <v>7.21</v>
      </c>
      <c r="P610" s="10">
        <v>5.84</v>
      </c>
      <c r="W610" s="10">
        <v>4.01</v>
      </c>
      <c r="Y610" s="10">
        <v>3.16</v>
      </c>
      <c r="AD610" s="14">
        <f t="shared" si="86"/>
        <v>0.55617198335644935</v>
      </c>
      <c r="AE610" s="14">
        <f t="shared" si="87"/>
        <v>0.54109589041095896</v>
      </c>
      <c r="AI610" s="14">
        <f t="shared" si="88"/>
        <v>1.0972678737674082</v>
      </c>
      <c r="AM610"/>
      <c r="AQ610" s="10">
        <v>0</v>
      </c>
      <c r="AR610" s="10" t="s">
        <v>14</v>
      </c>
      <c r="AT610" s="10" t="s">
        <v>2</v>
      </c>
      <c r="AU610" s="10" t="s">
        <v>2</v>
      </c>
      <c r="AV610" s="10" t="s">
        <v>3</v>
      </c>
      <c r="AW610" s="10" t="s">
        <v>1189</v>
      </c>
    </row>
    <row r="611" spans="1:49" s="10" customFormat="1" x14ac:dyDescent="0.3">
      <c r="A611" s="10" t="s">
        <v>1405</v>
      </c>
      <c r="B611" s="10" t="s">
        <v>1437</v>
      </c>
      <c r="C611" s="10" t="s">
        <v>1438</v>
      </c>
      <c r="E611" s="10" t="s">
        <v>1446</v>
      </c>
      <c r="F611" t="s">
        <v>2661</v>
      </c>
      <c r="G611" s="16" t="s">
        <v>22</v>
      </c>
      <c r="H611" s="10" t="s">
        <v>17</v>
      </c>
      <c r="I611" s="10" t="s">
        <v>1451</v>
      </c>
      <c r="J611" s="10" t="s">
        <v>1440</v>
      </c>
      <c r="K611" s="10">
        <v>4</v>
      </c>
      <c r="L611" s="10">
        <v>4</v>
      </c>
      <c r="M611" s="53"/>
      <c r="N611" s="10">
        <v>7.99</v>
      </c>
      <c r="P611" s="10">
        <v>5.17</v>
      </c>
      <c r="W611" s="10">
        <v>2.11</v>
      </c>
      <c r="Y611" s="10">
        <v>4.26</v>
      </c>
      <c r="AD611" s="14">
        <f t="shared" si="86"/>
        <v>0.26408010012515643</v>
      </c>
      <c r="AE611" s="14">
        <f t="shared" si="87"/>
        <v>0.82398452611218564</v>
      </c>
      <c r="AI611" s="14">
        <f t="shared" si="88"/>
        <v>1.0880646262373421</v>
      </c>
      <c r="AM611"/>
      <c r="AQ611" s="10">
        <v>15</v>
      </c>
      <c r="AR611" s="10" t="s">
        <v>14</v>
      </c>
      <c r="AT611" s="10" t="s">
        <v>2</v>
      </c>
      <c r="AU611" s="10" t="s">
        <v>2</v>
      </c>
      <c r="AV611" s="10" t="s">
        <v>3</v>
      </c>
      <c r="AW611" s="10" t="s">
        <v>1189</v>
      </c>
    </row>
    <row r="612" spans="1:49" s="10" customFormat="1" x14ac:dyDescent="0.3">
      <c r="A612" s="10" t="s">
        <v>1405</v>
      </c>
      <c r="B612" s="10" t="s">
        <v>1437</v>
      </c>
      <c r="C612" s="10" t="s">
        <v>1438</v>
      </c>
      <c r="E612" s="10" t="s">
        <v>1446</v>
      </c>
      <c r="F612" t="s">
        <v>2661</v>
      </c>
      <c r="G612" s="16" t="s">
        <v>22</v>
      </c>
      <c r="H612" s="10" t="s">
        <v>17</v>
      </c>
      <c r="I612" s="10" t="s">
        <v>1450</v>
      </c>
      <c r="J612" s="10" t="s">
        <v>1440</v>
      </c>
      <c r="K612" s="10">
        <v>4</v>
      </c>
      <c r="L612" s="10">
        <v>4</v>
      </c>
      <c r="M612" s="53"/>
      <c r="N612" s="10">
        <v>7.99</v>
      </c>
      <c r="P612" s="10">
        <v>5.17</v>
      </c>
      <c r="W612" s="10">
        <v>2.87</v>
      </c>
      <c r="Y612" s="10">
        <v>4.16</v>
      </c>
      <c r="AD612" s="14">
        <f t="shared" si="86"/>
        <v>0.35919899874843553</v>
      </c>
      <c r="AE612" s="14">
        <f t="shared" si="87"/>
        <v>0.80464216634429409</v>
      </c>
      <c r="AI612" s="14">
        <f t="shared" si="88"/>
        <v>1.1638411650927296</v>
      </c>
      <c r="AM612"/>
      <c r="AQ612" s="10">
        <v>15</v>
      </c>
      <c r="AR612" s="10" t="s">
        <v>14</v>
      </c>
      <c r="AT612" s="10" t="s">
        <v>2</v>
      </c>
      <c r="AU612" s="10" t="s">
        <v>2</v>
      </c>
      <c r="AV612" s="10" t="s">
        <v>3</v>
      </c>
      <c r="AW612" s="10" t="s">
        <v>1189</v>
      </c>
    </row>
    <row r="613" spans="1:49" s="10" customFormat="1" x14ac:dyDescent="0.3">
      <c r="A613" s="10" t="s">
        <v>1405</v>
      </c>
      <c r="B613" s="10" t="s">
        <v>1437</v>
      </c>
      <c r="C613" s="10" t="s">
        <v>1438</v>
      </c>
      <c r="E613" s="10" t="s">
        <v>1446</v>
      </c>
      <c r="F613" t="s">
        <v>2661</v>
      </c>
      <c r="G613" s="16" t="s">
        <v>22</v>
      </c>
      <c r="H613" s="10" t="s">
        <v>17</v>
      </c>
      <c r="I613" s="10" t="s">
        <v>1453</v>
      </c>
      <c r="J613" s="10" t="s">
        <v>1440</v>
      </c>
      <c r="K613" s="10">
        <v>4</v>
      </c>
      <c r="L613" s="10">
        <v>4</v>
      </c>
      <c r="M613" s="53"/>
      <c r="N613" s="10">
        <v>8.31</v>
      </c>
      <c r="P613" s="10">
        <v>4.91</v>
      </c>
      <c r="W613" s="10">
        <v>2.89</v>
      </c>
      <c r="Y613" s="10">
        <v>4.78</v>
      </c>
      <c r="AD613" s="14">
        <f t="shared" si="86"/>
        <v>0.34777376654632974</v>
      </c>
      <c r="AE613" s="14">
        <f t="shared" si="87"/>
        <v>0.97352342158859473</v>
      </c>
      <c r="AI613" s="14">
        <f t="shared" si="88"/>
        <v>1.3212971881349245</v>
      </c>
      <c r="AM613"/>
      <c r="AQ613" s="10">
        <v>45</v>
      </c>
      <c r="AR613" s="10" t="s">
        <v>14</v>
      </c>
      <c r="AT613" s="10" t="s">
        <v>2</v>
      </c>
      <c r="AU613" s="10" t="s">
        <v>2</v>
      </c>
      <c r="AV613" s="10" t="s">
        <v>3</v>
      </c>
      <c r="AW613" s="10" t="s">
        <v>1189</v>
      </c>
    </row>
    <row r="614" spans="1:49" s="10" customFormat="1" x14ac:dyDescent="0.3">
      <c r="A614" s="10" t="s">
        <v>1405</v>
      </c>
      <c r="B614" s="10" t="s">
        <v>1437</v>
      </c>
      <c r="C614" s="10" t="s">
        <v>1438</v>
      </c>
      <c r="E614" s="10" t="s">
        <v>1446</v>
      </c>
      <c r="F614" t="s">
        <v>2661</v>
      </c>
      <c r="G614" s="16" t="s">
        <v>22</v>
      </c>
      <c r="H614" s="10" t="s">
        <v>17</v>
      </c>
      <c r="I614" s="10" t="s">
        <v>1452</v>
      </c>
      <c r="J614" s="10" t="s">
        <v>1440</v>
      </c>
      <c r="K614" s="10">
        <v>4</v>
      </c>
      <c r="L614" s="10">
        <v>4</v>
      </c>
      <c r="M614" s="53"/>
      <c r="N614" s="10">
        <v>8.31</v>
      </c>
      <c r="P614" s="10">
        <v>4.91</v>
      </c>
      <c r="W614" s="10">
        <v>4.09</v>
      </c>
      <c r="Y614" s="10">
        <v>3.81</v>
      </c>
      <c r="AD614" s="14">
        <f t="shared" si="86"/>
        <v>0.49217809867629359</v>
      </c>
      <c r="AE614" s="14">
        <f t="shared" si="87"/>
        <v>0.77596741344195519</v>
      </c>
      <c r="AI614" s="14">
        <f t="shared" si="88"/>
        <v>1.2681455121182488</v>
      </c>
      <c r="AM614"/>
      <c r="AQ614" s="10">
        <v>45</v>
      </c>
      <c r="AR614" s="10" t="s">
        <v>14</v>
      </c>
      <c r="AT614" s="10" t="s">
        <v>2</v>
      </c>
      <c r="AU614" s="10" t="s">
        <v>2</v>
      </c>
      <c r="AV614" s="10" t="s">
        <v>3</v>
      </c>
      <c r="AW614" s="10" t="s">
        <v>1189</v>
      </c>
    </row>
    <row r="615" spans="1:49" s="10" customFormat="1" x14ac:dyDescent="0.3">
      <c r="A615" s="10" t="s">
        <v>1405</v>
      </c>
      <c r="B615" s="10" t="s">
        <v>1437</v>
      </c>
      <c r="C615" s="10" t="s">
        <v>1438</v>
      </c>
      <c r="E615" s="10" t="s">
        <v>1446</v>
      </c>
      <c r="F615" t="s">
        <v>2661</v>
      </c>
      <c r="G615" s="16" t="s">
        <v>22</v>
      </c>
      <c r="H615" s="10" t="s">
        <v>17</v>
      </c>
      <c r="I615" s="10" t="s">
        <v>1455</v>
      </c>
      <c r="J615" s="10" t="s">
        <v>1440</v>
      </c>
      <c r="K615" s="10">
        <v>4</v>
      </c>
      <c r="L615" s="10">
        <v>4</v>
      </c>
      <c r="M615" s="53"/>
      <c r="N615" s="10">
        <v>12.13</v>
      </c>
      <c r="P615" s="10">
        <v>6.11</v>
      </c>
      <c r="W615" s="10">
        <v>2.89</v>
      </c>
      <c r="Y615" s="10">
        <v>4.96</v>
      </c>
      <c r="AD615" s="14">
        <f t="shared" si="86"/>
        <v>0.23825226710634789</v>
      </c>
      <c r="AE615" s="14">
        <f t="shared" si="87"/>
        <v>0.81178396072013093</v>
      </c>
      <c r="AI615" s="14">
        <f t="shared" si="88"/>
        <v>1.0500362278264788</v>
      </c>
      <c r="AM615"/>
      <c r="AQ615" s="10">
        <v>90</v>
      </c>
      <c r="AR615" s="10" t="s">
        <v>14</v>
      </c>
      <c r="AT615" s="10" t="s">
        <v>2</v>
      </c>
      <c r="AU615" s="10" t="s">
        <v>2</v>
      </c>
      <c r="AV615" s="10" t="s">
        <v>3</v>
      </c>
      <c r="AW615" s="10" t="s">
        <v>1189</v>
      </c>
    </row>
    <row r="616" spans="1:49" s="10" customFormat="1" x14ac:dyDescent="0.3">
      <c r="A616" s="10" t="s">
        <v>1405</v>
      </c>
      <c r="B616" s="10" t="s">
        <v>1437</v>
      </c>
      <c r="C616" s="10" t="s">
        <v>1438</v>
      </c>
      <c r="E616" s="10" t="s">
        <v>1446</v>
      </c>
      <c r="F616" t="s">
        <v>2661</v>
      </c>
      <c r="G616" s="16" t="s">
        <v>22</v>
      </c>
      <c r="H616" s="10" t="s">
        <v>17</v>
      </c>
      <c r="I616" s="10" t="s">
        <v>1454</v>
      </c>
      <c r="J616" s="10" t="s">
        <v>1440</v>
      </c>
      <c r="K616" s="10">
        <v>4</v>
      </c>
      <c r="L616" s="10">
        <v>4</v>
      </c>
      <c r="M616" s="53"/>
      <c r="N616" s="10">
        <v>12.13</v>
      </c>
      <c r="P616" s="10">
        <v>6.11</v>
      </c>
      <c r="W616" s="10">
        <v>3.9</v>
      </c>
      <c r="Y616" s="10">
        <v>3.95</v>
      </c>
      <c r="AD616" s="14">
        <f t="shared" si="86"/>
        <v>0.32151690024732066</v>
      </c>
      <c r="AE616" s="14">
        <f t="shared" si="87"/>
        <v>0.646481178396072</v>
      </c>
      <c r="AI616" s="14">
        <f t="shared" si="88"/>
        <v>0.9679980786433926</v>
      </c>
      <c r="AM616"/>
      <c r="AQ616" s="10">
        <v>90</v>
      </c>
      <c r="AR616" s="10" t="s">
        <v>14</v>
      </c>
      <c r="AT616" s="10" t="s">
        <v>2</v>
      </c>
      <c r="AU616" s="10" t="s">
        <v>2</v>
      </c>
      <c r="AV616" s="10" t="s">
        <v>3</v>
      </c>
      <c r="AW616" s="10" t="s">
        <v>1189</v>
      </c>
    </row>
    <row r="617" spans="1:49" s="10" customFormat="1" x14ac:dyDescent="0.3">
      <c r="A617" s="10" t="s">
        <v>1405</v>
      </c>
      <c r="B617" s="10" t="s">
        <v>1437</v>
      </c>
      <c r="C617" s="10" t="s">
        <v>1438</v>
      </c>
      <c r="E617" s="10" t="s">
        <v>1446</v>
      </c>
      <c r="F617" t="s">
        <v>2661</v>
      </c>
      <c r="G617" s="16" t="s">
        <v>22</v>
      </c>
      <c r="H617" s="10" t="s">
        <v>17</v>
      </c>
      <c r="I617" s="10" t="s">
        <v>1449</v>
      </c>
      <c r="J617" s="10" t="s">
        <v>1441</v>
      </c>
      <c r="K617" s="10">
        <v>4</v>
      </c>
      <c r="L617" s="10">
        <v>4</v>
      </c>
      <c r="M617" s="53"/>
      <c r="N617" s="10">
        <v>7.08</v>
      </c>
      <c r="P617" s="10">
        <v>6</v>
      </c>
      <c r="W617" s="10">
        <v>1.17</v>
      </c>
      <c r="Y617" s="10">
        <v>4.97</v>
      </c>
      <c r="AD617" s="14">
        <f t="shared" si="86"/>
        <v>0.16525423728813557</v>
      </c>
      <c r="AE617" s="14">
        <f t="shared" si="87"/>
        <v>0.82833333333333325</v>
      </c>
      <c r="AI617" s="14">
        <f>AD617+AE617</f>
        <v>0.99358757062146885</v>
      </c>
      <c r="AM617"/>
      <c r="AQ617" s="10">
        <v>0</v>
      </c>
      <c r="AR617" s="10" t="s">
        <v>14</v>
      </c>
      <c r="AT617" s="10" t="s">
        <v>2</v>
      </c>
      <c r="AU617" s="10" t="s">
        <v>2</v>
      </c>
      <c r="AV617" s="10" t="s">
        <v>3</v>
      </c>
      <c r="AW617" s="10" t="s">
        <v>1189</v>
      </c>
    </row>
    <row r="618" spans="1:49" s="10" customFormat="1" x14ac:dyDescent="0.3">
      <c r="A618" s="10" t="s">
        <v>1405</v>
      </c>
      <c r="B618" s="10" t="s">
        <v>1437</v>
      </c>
      <c r="C618" s="10" t="s">
        <v>1438</v>
      </c>
      <c r="E618" s="10" t="s">
        <v>1446</v>
      </c>
      <c r="F618" t="s">
        <v>2661</v>
      </c>
      <c r="G618" s="16" t="s">
        <v>22</v>
      </c>
      <c r="H618" s="10" t="s">
        <v>17</v>
      </c>
      <c r="I618" s="10" t="s">
        <v>1448</v>
      </c>
      <c r="J618" s="10" t="s">
        <v>1441</v>
      </c>
      <c r="K618" s="10">
        <v>4</v>
      </c>
      <c r="L618" s="10">
        <v>4</v>
      </c>
      <c r="M618" s="53"/>
      <c r="N618" s="10">
        <v>7.08</v>
      </c>
      <c r="P618" s="10">
        <v>6</v>
      </c>
      <c r="W618" s="10">
        <v>2.86</v>
      </c>
      <c r="Y618" s="10">
        <v>3.98</v>
      </c>
      <c r="AD618" s="14">
        <f t="shared" si="86"/>
        <v>0.403954802259887</v>
      </c>
      <c r="AE618" s="14">
        <f t="shared" si="87"/>
        <v>0.66333333333333333</v>
      </c>
      <c r="AI618" s="14">
        <f t="shared" ref="AI618:AI627" si="89">AD618+AE618</f>
        <v>1.0672881355932202</v>
      </c>
      <c r="AM618"/>
      <c r="AQ618" s="10">
        <v>0</v>
      </c>
      <c r="AR618" s="10" t="s">
        <v>14</v>
      </c>
      <c r="AT618" s="10" t="s">
        <v>2</v>
      </c>
      <c r="AU618" s="10" t="s">
        <v>2</v>
      </c>
      <c r="AV618" s="10" t="s">
        <v>3</v>
      </c>
      <c r="AW618" s="10" t="s">
        <v>1189</v>
      </c>
    </row>
    <row r="619" spans="1:49" s="10" customFormat="1" x14ac:dyDescent="0.3">
      <c r="A619" s="10" t="s">
        <v>1405</v>
      </c>
      <c r="B619" s="10" t="s">
        <v>1437</v>
      </c>
      <c r="C619" s="10" t="s">
        <v>1438</v>
      </c>
      <c r="E619" s="10" t="s">
        <v>1446</v>
      </c>
      <c r="F619" t="s">
        <v>2661</v>
      </c>
      <c r="G619" s="16" t="s">
        <v>22</v>
      </c>
      <c r="H619" s="10" t="s">
        <v>17</v>
      </c>
      <c r="I619" s="10" t="s">
        <v>1451</v>
      </c>
      <c r="J619" s="10" t="s">
        <v>1441</v>
      </c>
      <c r="K619" s="10">
        <v>4</v>
      </c>
      <c r="L619" s="10">
        <v>4</v>
      </c>
      <c r="M619" s="53"/>
      <c r="N619" s="10">
        <v>8.1300000000000008</v>
      </c>
      <c r="P619" s="10">
        <v>4.9400000000000004</v>
      </c>
      <c r="W619" s="10">
        <v>1.94</v>
      </c>
      <c r="Y619" s="10">
        <v>4.84</v>
      </c>
      <c r="AD619" s="14">
        <f t="shared" si="86"/>
        <v>0.2386223862238622</v>
      </c>
      <c r="AE619" s="14">
        <f t="shared" si="87"/>
        <v>0.97975708502024283</v>
      </c>
      <c r="AI619" s="14">
        <f t="shared" si="89"/>
        <v>1.218379471244105</v>
      </c>
      <c r="AM619"/>
      <c r="AQ619" s="10">
        <v>15</v>
      </c>
      <c r="AR619" s="10" t="s">
        <v>14</v>
      </c>
      <c r="AT619" s="10" t="s">
        <v>2</v>
      </c>
      <c r="AU619" s="10" t="s">
        <v>2</v>
      </c>
      <c r="AV619" s="10" t="s">
        <v>3</v>
      </c>
      <c r="AW619" s="10" t="s">
        <v>1189</v>
      </c>
    </row>
    <row r="620" spans="1:49" s="10" customFormat="1" x14ac:dyDescent="0.3">
      <c r="A620" s="10" t="s">
        <v>1405</v>
      </c>
      <c r="B620" s="10" t="s">
        <v>1437</v>
      </c>
      <c r="C620" s="10" t="s">
        <v>1438</v>
      </c>
      <c r="E620" s="10" t="s">
        <v>1446</v>
      </c>
      <c r="F620" t="s">
        <v>2661</v>
      </c>
      <c r="G620" s="16" t="s">
        <v>22</v>
      </c>
      <c r="H620" s="10" t="s">
        <v>17</v>
      </c>
      <c r="I620" s="10" t="s">
        <v>1450</v>
      </c>
      <c r="J620" s="10" t="s">
        <v>1441</v>
      </c>
      <c r="K620" s="10">
        <v>4</v>
      </c>
      <c r="L620" s="10">
        <v>4</v>
      </c>
      <c r="M620" s="53"/>
      <c r="N620" s="10">
        <v>8.1300000000000008</v>
      </c>
      <c r="P620" s="10">
        <v>4.9400000000000004</v>
      </c>
      <c r="W620" s="10">
        <v>3</v>
      </c>
      <c r="Y620" s="10">
        <v>3.97</v>
      </c>
      <c r="AD620" s="14">
        <f t="shared" si="86"/>
        <v>0.36900369003690031</v>
      </c>
      <c r="AE620" s="14">
        <f t="shared" si="87"/>
        <v>0.80364372469635625</v>
      </c>
      <c r="AI620" s="14">
        <f t="shared" si="89"/>
        <v>1.1726474147332566</v>
      </c>
      <c r="AM620"/>
      <c r="AQ620" s="10">
        <v>15</v>
      </c>
      <c r="AR620" s="10" t="s">
        <v>14</v>
      </c>
      <c r="AT620" s="10" t="s">
        <v>2</v>
      </c>
      <c r="AU620" s="10" t="s">
        <v>2</v>
      </c>
      <c r="AV620" s="10" t="s">
        <v>3</v>
      </c>
      <c r="AW620" s="10" t="s">
        <v>1189</v>
      </c>
    </row>
    <row r="621" spans="1:49" s="10" customFormat="1" x14ac:dyDescent="0.3">
      <c r="A621" s="10" t="s">
        <v>1405</v>
      </c>
      <c r="B621" s="10" t="s">
        <v>1437</v>
      </c>
      <c r="C621" s="10" t="s">
        <v>1438</v>
      </c>
      <c r="E621" s="10" t="s">
        <v>1446</v>
      </c>
      <c r="F621" t="s">
        <v>2661</v>
      </c>
      <c r="G621" s="16" t="s">
        <v>22</v>
      </c>
      <c r="H621" s="10" t="s">
        <v>17</v>
      </c>
      <c r="I621" s="10" t="s">
        <v>1453</v>
      </c>
      <c r="J621" s="10" t="s">
        <v>1441</v>
      </c>
      <c r="K621" s="10">
        <v>4</v>
      </c>
      <c r="L621" s="10">
        <v>4</v>
      </c>
      <c r="M621" s="53"/>
      <c r="N621" s="10">
        <v>9.7799999999999994</v>
      </c>
      <c r="P621" s="10">
        <v>5.03</v>
      </c>
      <c r="W621" s="10">
        <v>2.38</v>
      </c>
      <c r="Y621" s="10">
        <v>4.1100000000000003</v>
      </c>
      <c r="AD621" s="14">
        <f t="shared" si="86"/>
        <v>0.24335378323108384</v>
      </c>
      <c r="AE621" s="14">
        <f t="shared" si="87"/>
        <v>0.81709741550695825</v>
      </c>
      <c r="AI621" s="14">
        <f t="shared" si="89"/>
        <v>1.0604511987380421</v>
      </c>
      <c r="AM621"/>
      <c r="AQ621" s="10">
        <v>45</v>
      </c>
      <c r="AR621" s="10" t="s">
        <v>14</v>
      </c>
      <c r="AT621" s="10" t="s">
        <v>2</v>
      </c>
      <c r="AU621" s="10" t="s">
        <v>2</v>
      </c>
      <c r="AV621" s="10" t="s">
        <v>3</v>
      </c>
      <c r="AW621" s="10" t="s">
        <v>1189</v>
      </c>
    </row>
    <row r="622" spans="1:49" s="10" customFormat="1" x14ac:dyDescent="0.3">
      <c r="A622" s="10" t="s">
        <v>1405</v>
      </c>
      <c r="B622" s="10" t="s">
        <v>1437</v>
      </c>
      <c r="C622" s="10" t="s">
        <v>1438</v>
      </c>
      <c r="E622" s="10" t="s">
        <v>1446</v>
      </c>
      <c r="F622" t="s">
        <v>2661</v>
      </c>
      <c r="G622" s="16" t="s">
        <v>22</v>
      </c>
      <c r="H622" s="10" t="s">
        <v>17</v>
      </c>
      <c r="I622" s="10" t="s">
        <v>1452</v>
      </c>
      <c r="J622" s="10" t="s">
        <v>1441</v>
      </c>
      <c r="K622" s="10">
        <v>4</v>
      </c>
      <c r="L622" s="10">
        <v>4</v>
      </c>
      <c r="M622" s="53"/>
      <c r="N622" s="10">
        <v>9.7799999999999994</v>
      </c>
      <c r="P622" s="10">
        <v>5.03</v>
      </c>
      <c r="W622" s="10">
        <v>4.1100000000000003</v>
      </c>
      <c r="Y622" s="10">
        <v>3.97</v>
      </c>
      <c r="AD622" s="14">
        <f t="shared" si="86"/>
        <v>0.42024539877300621</v>
      </c>
      <c r="AE622" s="14">
        <f t="shared" si="87"/>
        <v>0.78926441351888665</v>
      </c>
      <c r="AI622" s="14">
        <f t="shared" si="89"/>
        <v>1.2095098122918928</v>
      </c>
      <c r="AM622"/>
      <c r="AQ622" s="10">
        <v>45</v>
      </c>
      <c r="AR622" s="10" t="s">
        <v>14</v>
      </c>
      <c r="AT622" s="10" t="s">
        <v>2</v>
      </c>
      <c r="AU622" s="10" t="s">
        <v>2</v>
      </c>
      <c r="AV622" s="10" t="s">
        <v>3</v>
      </c>
      <c r="AW622" s="10" t="s">
        <v>1189</v>
      </c>
    </row>
    <row r="623" spans="1:49" s="10" customFormat="1" x14ac:dyDescent="0.3">
      <c r="A623" s="10" t="s">
        <v>1405</v>
      </c>
      <c r="B623" s="10" t="s">
        <v>1437</v>
      </c>
      <c r="C623" s="10" t="s">
        <v>1438</v>
      </c>
      <c r="E623" s="10" t="s">
        <v>1446</v>
      </c>
      <c r="F623" t="s">
        <v>2661</v>
      </c>
      <c r="G623" s="16" t="s">
        <v>22</v>
      </c>
      <c r="H623" s="10" t="s">
        <v>17</v>
      </c>
      <c r="I623" s="10" t="s">
        <v>1455</v>
      </c>
      <c r="J623" s="10" t="s">
        <v>1441</v>
      </c>
      <c r="K623" s="10">
        <v>4</v>
      </c>
      <c r="L623" s="10">
        <v>4</v>
      </c>
      <c r="M623" s="53"/>
      <c r="N623" s="10">
        <v>9.9</v>
      </c>
      <c r="P623" s="10">
        <v>4.7300000000000004</v>
      </c>
      <c r="W623" s="10">
        <v>2.65</v>
      </c>
      <c r="Y623" s="10">
        <v>4.1900000000000004</v>
      </c>
      <c r="AD623" s="14">
        <f t="shared" si="86"/>
        <v>0.26767676767676768</v>
      </c>
      <c r="AE623" s="14">
        <f t="shared" si="87"/>
        <v>0.88583509513742076</v>
      </c>
      <c r="AI623" s="14">
        <f t="shared" si="89"/>
        <v>1.1535118628141885</v>
      </c>
      <c r="AM623"/>
      <c r="AQ623" s="10">
        <v>90</v>
      </c>
      <c r="AR623" s="10" t="s">
        <v>14</v>
      </c>
      <c r="AT623" s="10" t="s">
        <v>2</v>
      </c>
      <c r="AU623" s="10" t="s">
        <v>2</v>
      </c>
      <c r="AV623" s="10" t="s">
        <v>3</v>
      </c>
      <c r="AW623" s="10" t="s">
        <v>1189</v>
      </c>
    </row>
    <row r="624" spans="1:49" s="10" customFormat="1" x14ac:dyDescent="0.3">
      <c r="A624" s="10" t="s">
        <v>1405</v>
      </c>
      <c r="B624" s="10" t="s">
        <v>1437</v>
      </c>
      <c r="C624" s="10" t="s">
        <v>1438</v>
      </c>
      <c r="E624" s="10" t="s">
        <v>1446</v>
      </c>
      <c r="F624" t="s">
        <v>2661</v>
      </c>
      <c r="G624" s="16" t="s">
        <v>22</v>
      </c>
      <c r="H624" s="10" t="s">
        <v>17</v>
      </c>
      <c r="I624" s="10" t="s">
        <v>1454</v>
      </c>
      <c r="J624" s="10" t="s">
        <v>1441</v>
      </c>
      <c r="K624" s="10">
        <v>4</v>
      </c>
      <c r="L624" s="10">
        <v>4</v>
      </c>
      <c r="M624" s="53"/>
      <c r="N624" s="10">
        <v>9.9</v>
      </c>
      <c r="P624" s="10">
        <v>4.7300000000000004</v>
      </c>
      <c r="W624" s="10">
        <v>4.46</v>
      </c>
      <c r="Y624" s="10">
        <v>3.06</v>
      </c>
      <c r="AD624" s="14">
        <f t="shared" si="86"/>
        <v>0.45050505050505046</v>
      </c>
      <c r="AE624" s="14">
        <f t="shared" si="87"/>
        <v>0.64693446088794926</v>
      </c>
      <c r="AI624" s="14">
        <f t="shared" si="89"/>
        <v>1.0974395113929998</v>
      </c>
      <c r="AM624"/>
      <c r="AQ624" s="10">
        <v>90</v>
      </c>
      <c r="AR624" s="10" t="s">
        <v>14</v>
      </c>
      <c r="AT624" s="10" t="s">
        <v>2</v>
      </c>
      <c r="AU624" s="10" t="s">
        <v>2</v>
      </c>
      <c r="AV624" s="10" t="s">
        <v>3</v>
      </c>
      <c r="AW624" s="10" t="s">
        <v>1189</v>
      </c>
    </row>
    <row r="625" spans="1:49" x14ac:dyDescent="0.3">
      <c r="A625" s="10" t="s">
        <v>1407</v>
      </c>
      <c r="B625" s="10" t="s">
        <v>286</v>
      </c>
      <c r="C625" s="10"/>
      <c r="D625" s="10" t="s">
        <v>1456</v>
      </c>
      <c r="E625" s="10" t="s">
        <v>1457</v>
      </c>
      <c r="F625" t="s">
        <v>2661</v>
      </c>
      <c r="G625" s="16" t="s">
        <v>22</v>
      </c>
      <c r="H625" s="10" t="s">
        <v>217</v>
      </c>
      <c r="I625" s="10" t="s">
        <v>1460</v>
      </c>
      <c r="J625" s="10" t="s">
        <v>1459</v>
      </c>
      <c r="K625" s="10">
        <v>3</v>
      </c>
      <c r="L625" s="10">
        <v>3</v>
      </c>
      <c r="N625" s="10">
        <v>6013</v>
      </c>
      <c r="O625" s="10"/>
      <c r="P625" s="10">
        <v>5811</v>
      </c>
      <c r="Q625" s="10"/>
      <c r="R625" s="10"/>
      <c r="S625" s="10"/>
      <c r="T625" s="10"/>
      <c r="U625" s="10"/>
      <c r="V625" s="10"/>
      <c r="W625" s="10">
        <v>5497</v>
      </c>
      <c r="X625" s="10"/>
      <c r="Y625" s="10">
        <v>3797</v>
      </c>
      <c r="Z625" s="10"/>
      <c r="AA625" s="10"/>
      <c r="AB625" s="10"/>
      <c r="AC625" s="10"/>
      <c r="AD625" s="14">
        <f t="shared" si="86"/>
        <v>0.91418593048395147</v>
      </c>
      <c r="AE625" s="14">
        <f t="shared" si="87"/>
        <v>0.65341593529512998</v>
      </c>
      <c r="AF625" s="10"/>
      <c r="AG625" s="10"/>
      <c r="AH625" s="10"/>
      <c r="AI625" s="14">
        <f t="shared" si="89"/>
        <v>1.5676018657790816</v>
      </c>
      <c r="AJ625" s="10"/>
      <c r="AK625" s="10"/>
      <c r="AL625" s="10"/>
      <c r="AN625" s="10"/>
      <c r="AO625" s="10"/>
      <c r="AP625" s="10"/>
      <c r="AQ625" s="10">
        <v>0</v>
      </c>
      <c r="AR625" s="10" t="s">
        <v>308</v>
      </c>
      <c r="AS625" s="10"/>
      <c r="AT625" s="10" t="s">
        <v>2</v>
      </c>
      <c r="AU625" s="10" t="s">
        <v>2</v>
      </c>
      <c r="AV625" s="10" t="s">
        <v>3</v>
      </c>
      <c r="AW625" s="10"/>
    </row>
    <row r="626" spans="1:49" x14ac:dyDescent="0.3">
      <c r="A626" s="10" t="s">
        <v>1407</v>
      </c>
      <c r="B626" s="10" t="s">
        <v>286</v>
      </c>
      <c r="C626" s="10"/>
      <c r="D626" s="10" t="s">
        <v>1456</v>
      </c>
      <c r="E626" s="10" t="s">
        <v>1457</v>
      </c>
      <c r="F626" t="s">
        <v>2661</v>
      </c>
      <c r="G626" s="16" t="s">
        <v>22</v>
      </c>
      <c r="H626" s="10" t="s">
        <v>217</v>
      </c>
      <c r="I626" s="10" t="s">
        <v>1461</v>
      </c>
      <c r="J626" s="10" t="s">
        <v>1459</v>
      </c>
      <c r="K626" s="10">
        <v>3</v>
      </c>
      <c r="L626" s="10">
        <v>3</v>
      </c>
      <c r="N626" s="10">
        <v>13317</v>
      </c>
      <c r="O626" s="10"/>
      <c r="P626" s="10">
        <v>5118</v>
      </c>
      <c r="Q626" s="10"/>
      <c r="R626" s="10"/>
      <c r="S626" s="10"/>
      <c r="T626" s="10"/>
      <c r="U626" s="10"/>
      <c r="V626" s="10"/>
      <c r="W626" s="10">
        <v>9579</v>
      </c>
      <c r="X626" s="10"/>
      <c r="Y626" s="10">
        <v>2641</v>
      </c>
      <c r="Z626" s="10"/>
      <c r="AA626" s="10"/>
      <c r="AB626" s="10"/>
      <c r="AC626" s="10"/>
      <c r="AD626" s="14">
        <f t="shared" si="86"/>
        <v>0.71930615003379139</v>
      </c>
      <c r="AE626" s="14">
        <f t="shared" si="87"/>
        <v>0.51602188354826106</v>
      </c>
      <c r="AF626" s="10"/>
      <c r="AG626" s="10"/>
      <c r="AH626" s="10"/>
      <c r="AI626" s="14">
        <f t="shared" si="89"/>
        <v>1.2353280335820525</v>
      </c>
      <c r="AJ626" s="10"/>
      <c r="AK626" s="10"/>
      <c r="AL626" s="10"/>
      <c r="AN626" s="10"/>
      <c r="AO626" s="10"/>
      <c r="AP626" s="10"/>
      <c r="AQ626" s="10">
        <v>60</v>
      </c>
      <c r="AR626" s="10" t="s">
        <v>14</v>
      </c>
      <c r="AS626" s="10"/>
      <c r="AT626" s="10" t="s">
        <v>2</v>
      </c>
      <c r="AU626" s="10" t="s">
        <v>2</v>
      </c>
      <c r="AV626" s="10" t="s">
        <v>3</v>
      </c>
      <c r="AW626" s="10"/>
    </row>
    <row r="627" spans="1:49" x14ac:dyDescent="0.3">
      <c r="A627" s="10" t="s">
        <v>1407</v>
      </c>
      <c r="B627" s="10" t="s">
        <v>286</v>
      </c>
      <c r="C627" s="10"/>
      <c r="D627" s="10" t="s">
        <v>1456</v>
      </c>
      <c r="E627" s="10" t="s">
        <v>1457</v>
      </c>
      <c r="F627" t="s">
        <v>2661</v>
      </c>
      <c r="G627" s="16" t="s">
        <v>22</v>
      </c>
      <c r="H627" s="10" t="s">
        <v>217</v>
      </c>
      <c r="I627" s="10" t="s">
        <v>1462</v>
      </c>
      <c r="J627" s="10" t="s">
        <v>1459</v>
      </c>
      <c r="K627" s="10">
        <v>3</v>
      </c>
      <c r="L627" s="10">
        <v>3</v>
      </c>
      <c r="N627" s="10">
        <v>18178</v>
      </c>
      <c r="O627" s="10"/>
      <c r="P627" s="10">
        <v>8341</v>
      </c>
      <c r="Q627" s="10"/>
      <c r="R627" s="10"/>
      <c r="S627" s="10"/>
      <c r="T627" s="10"/>
      <c r="U627" s="10"/>
      <c r="V627" s="10"/>
      <c r="W627" s="10">
        <v>14522</v>
      </c>
      <c r="X627" s="10"/>
      <c r="Y627" s="10">
        <v>1586</v>
      </c>
      <c r="Z627" s="10"/>
      <c r="AA627" s="10"/>
      <c r="AB627" s="10"/>
      <c r="AC627" s="10"/>
      <c r="AD627" s="14">
        <f t="shared" si="86"/>
        <v>0.79887776433050939</v>
      </c>
      <c r="AE627" s="14">
        <f t="shared" si="87"/>
        <v>0.19014506653878432</v>
      </c>
      <c r="AF627" s="10"/>
      <c r="AG627" s="10"/>
      <c r="AH627" s="10"/>
      <c r="AI627" s="14">
        <f t="shared" si="89"/>
        <v>0.98902283086929366</v>
      </c>
      <c r="AJ627" s="10"/>
      <c r="AK627" s="10"/>
      <c r="AL627" s="10"/>
      <c r="AN627" s="10"/>
      <c r="AO627" s="10"/>
      <c r="AP627" s="10"/>
      <c r="AQ627" s="10">
        <v>100</v>
      </c>
      <c r="AR627" s="10" t="s">
        <v>14</v>
      </c>
      <c r="AS627" s="10"/>
      <c r="AT627" s="10" t="s">
        <v>2</v>
      </c>
      <c r="AU627" s="10" t="s">
        <v>2</v>
      </c>
      <c r="AV627" s="10" t="s">
        <v>3</v>
      </c>
      <c r="AW627" s="10"/>
    </row>
    <row r="628" spans="1:49" x14ac:dyDescent="0.3">
      <c r="A628" s="10" t="s">
        <v>1407</v>
      </c>
      <c r="B628" s="10" t="s">
        <v>286</v>
      </c>
      <c r="C628" s="10"/>
      <c r="D628" s="10" t="s">
        <v>1456</v>
      </c>
      <c r="E628" s="10" t="s">
        <v>1457</v>
      </c>
      <c r="F628" t="s">
        <v>2661</v>
      </c>
      <c r="G628" s="16" t="s">
        <v>22</v>
      </c>
      <c r="H628" s="10" t="s">
        <v>217</v>
      </c>
      <c r="I628" s="10" t="s">
        <v>1463</v>
      </c>
      <c r="J628" s="10" t="s">
        <v>1459</v>
      </c>
      <c r="K628" s="10">
        <v>3</v>
      </c>
      <c r="L628" s="10">
        <v>3</v>
      </c>
      <c r="N628" s="10">
        <v>6013</v>
      </c>
      <c r="O628" s="10"/>
      <c r="P628" s="10">
        <v>5811</v>
      </c>
      <c r="Q628" s="10"/>
      <c r="R628" s="10"/>
      <c r="S628" s="10"/>
      <c r="T628" s="10"/>
      <c r="U628" s="10"/>
      <c r="V628" s="10"/>
      <c r="W628" s="10">
        <v>2702</v>
      </c>
      <c r="X628" s="10"/>
      <c r="Y628" s="10">
        <v>4488</v>
      </c>
      <c r="Z628" s="10"/>
      <c r="AA628" s="10"/>
      <c r="AB628" s="10"/>
      <c r="AC628" s="10"/>
      <c r="AD628" s="14">
        <f t="shared" si="86"/>
        <v>0.44935972060535506</v>
      </c>
      <c r="AE628" s="14">
        <f t="shared" si="87"/>
        <v>0.77232834279814144</v>
      </c>
      <c r="AF628" s="10"/>
      <c r="AG628" s="10"/>
      <c r="AH628" s="10"/>
      <c r="AI628" s="14">
        <f t="shared" ref="AI628:AI636" si="90">AD628+AE628</f>
        <v>1.2216880634034966</v>
      </c>
      <c r="AJ628" s="10"/>
      <c r="AK628" s="10"/>
      <c r="AL628" s="10"/>
      <c r="AN628" s="10"/>
      <c r="AO628" s="10"/>
      <c r="AP628" s="10"/>
      <c r="AQ628" s="10">
        <v>0</v>
      </c>
      <c r="AR628" s="10" t="s">
        <v>308</v>
      </c>
      <c r="AS628" s="10"/>
      <c r="AT628" s="10" t="s">
        <v>2</v>
      </c>
      <c r="AU628" s="10" t="s">
        <v>2</v>
      </c>
      <c r="AV628" s="10" t="s">
        <v>3</v>
      </c>
      <c r="AW628" s="10"/>
    </row>
    <row r="629" spans="1:49" x14ac:dyDescent="0.3">
      <c r="A629" s="10" t="s">
        <v>1407</v>
      </c>
      <c r="B629" s="10" t="s">
        <v>286</v>
      </c>
      <c r="C629" s="10"/>
      <c r="D629" s="10" t="s">
        <v>1456</v>
      </c>
      <c r="E629" s="10" t="s">
        <v>1457</v>
      </c>
      <c r="F629" t="s">
        <v>2661</v>
      </c>
      <c r="G629" s="16" t="s">
        <v>22</v>
      </c>
      <c r="H629" s="10" t="s">
        <v>217</v>
      </c>
      <c r="I629" s="10" t="s">
        <v>1464</v>
      </c>
      <c r="J629" s="10" t="s">
        <v>1459</v>
      </c>
      <c r="K629" s="10">
        <v>3</v>
      </c>
      <c r="L629" s="10">
        <v>3</v>
      </c>
      <c r="N629" s="10">
        <v>13317</v>
      </c>
      <c r="O629" s="10"/>
      <c r="P629" s="10">
        <v>5118</v>
      </c>
      <c r="Q629" s="10"/>
      <c r="R629" s="10"/>
      <c r="S629" s="10"/>
      <c r="T629" s="10"/>
      <c r="U629" s="10"/>
      <c r="V629" s="10"/>
      <c r="W629" s="10">
        <v>8368</v>
      </c>
      <c r="X629" s="10"/>
      <c r="Y629" s="10">
        <v>3625</v>
      </c>
      <c r="Z629" s="10"/>
      <c r="AA629" s="10"/>
      <c r="AB629" s="10"/>
      <c r="AC629" s="10"/>
      <c r="AD629" s="14">
        <f t="shared" si="86"/>
        <v>0.62836975294736053</v>
      </c>
      <c r="AE629" s="14">
        <f t="shared" si="87"/>
        <v>0.70828448612739348</v>
      </c>
      <c r="AF629" s="10"/>
      <c r="AG629" s="10"/>
      <c r="AH629" s="10"/>
      <c r="AI629" s="14">
        <f t="shared" si="90"/>
        <v>1.336654239074754</v>
      </c>
      <c r="AJ629" s="10"/>
      <c r="AK629" s="10"/>
      <c r="AL629" s="10"/>
      <c r="AN629" s="10"/>
      <c r="AO629" s="10"/>
      <c r="AP629" s="10"/>
      <c r="AQ629" s="10">
        <v>60</v>
      </c>
      <c r="AR629" s="10" t="s">
        <v>14</v>
      </c>
      <c r="AS629" s="10"/>
      <c r="AT629" s="10" t="s">
        <v>2</v>
      </c>
      <c r="AU629" s="10" t="s">
        <v>2</v>
      </c>
      <c r="AV629" s="10" t="s">
        <v>3</v>
      </c>
      <c r="AW629" s="10"/>
    </row>
    <row r="630" spans="1:49" x14ac:dyDescent="0.3">
      <c r="A630" s="10" t="s">
        <v>1407</v>
      </c>
      <c r="B630" s="10" t="s">
        <v>286</v>
      </c>
      <c r="C630" s="10"/>
      <c r="D630" s="10" t="s">
        <v>1456</v>
      </c>
      <c r="E630" s="10" t="s">
        <v>1457</v>
      </c>
      <c r="F630" t="s">
        <v>2661</v>
      </c>
      <c r="G630" s="16" t="s">
        <v>22</v>
      </c>
      <c r="H630" s="10" t="s">
        <v>217</v>
      </c>
      <c r="I630" s="10" t="s">
        <v>1465</v>
      </c>
      <c r="J630" s="10" t="s">
        <v>1459</v>
      </c>
      <c r="K630" s="10">
        <v>3</v>
      </c>
      <c r="L630" s="10">
        <v>3</v>
      </c>
      <c r="N630" s="10">
        <v>18178</v>
      </c>
      <c r="O630" s="10"/>
      <c r="P630" s="10">
        <v>8341</v>
      </c>
      <c r="Q630" s="10"/>
      <c r="R630" s="10"/>
      <c r="S630" s="10"/>
      <c r="T630" s="10"/>
      <c r="U630" s="10"/>
      <c r="V630" s="10"/>
      <c r="W630" s="10">
        <v>11073</v>
      </c>
      <c r="X630" s="10"/>
      <c r="Y630" s="10">
        <v>2165</v>
      </c>
      <c r="Z630" s="10"/>
      <c r="AA630" s="10"/>
      <c r="AB630" s="10"/>
      <c r="AC630" s="10"/>
      <c r="AD630" s="14">
        <f t="shared" si="86"/>
        <v>0.6091429200132028</v>
      </c>
      <c r="AE630" s="14">
        <f t="shared" si="87"/>
        <v>0.25956120369260283</v>
      </c>
      <c r="AF630" s="10"/>
      <c r="AG630" s="10"/>
      <c r="AH630" s="10"/>
      <c r="AI630" s="14">
        <f t="shared" si="90"/>
        <v>0.86870412370580563</v>
      </c>
      <c r="AJ630" s="10"/>
      <c r="AK630" s="10"/>
      <c r="AL630" s="10"/>
      <c r="AN630" s="10"/>
      <c r="AO630" s="10"/>
      <c r="AP630" s="10"/>
      <c r="AQ630" s="10">
        <v>100</v>
      </c>
      <c r="AR630" s="10" t="s">
        <v>14</v>
      </c>
      <c r="AS630" s="10"/>
      <c r="AT630" s="10" t="s">
        <v>2</v>
      </c>
      <c r="AU630" s="10" t="s">
        <v>2</v>
      </c>
      <c r="AV630" s="10" t="s">
        <v>3</v>
      </c>
      <c r="AW630" s="10"/>
    </row>
    <row r="631" spans="1:49" x14ac:dyDescent="0.3">
      <c r="A631" s="10" t="s">
        <v>1407</v>
      </c>
      <c r="B631" s="10" t="s">
        <v>286</v>
      </c>
      <c r="C631" s="10"/>
      <c r="D631" s="10" t="s">
        <v>1456</v>
      </c>
      <c r="E631" s="10" t="s">
        <v>1458</v>
      </c>
      <c r="F631" t="s">
        <v>2661</v>
      </c>
      <c r="G631" s="16" t="s">
        <v>22</v>
      </c>
      <c r="H631" s="10" t="s">
        <v>217</v>
      </c>
      <c r="I631" s="10" t="s">
        <v>1460</v>
      </c>
      <c r="J631" s="10" t="s">
        <v>1459</v>
      </c>
      <c r="K631" s="10">
        <v>3</v>
      </c>
      <c r="L631" s="10">
        <v>3</v>
      </c>
      <c r="N631" s="10">
        <v>3024</v>
      </c>
      <c r="O631" s="10"/>
      <c r="P631" s="10">
        <v>6561</v>
      </c>
      <c r="Q631" s="10"/>
      <c r="R631" s="10"/>
      <c r="S631" s="10"/>
      <c r="T631" s="10"/>
      <c r="U631" s="10"/>
      <c r="V631" s="10"/>
      <c r="W631" s="10">
        <v>796</v>
      </c>
      <c r="X631" s="10"/>
      <c r="Y631" s="10">
        <v>4090</v>
      </c>
      <c r="Z631" s="10"/>
      <c r="AA631" s="10"/>
      <c r="AB631" s="10"/>
      <c r="AC631" s="10"/>
      <c r="AD631" s="14">
        <f t="shared" si="86"/>
        <v>0.26322751322751325</v>
      </c>
      <c r="AE631" s="14">
        <f t="shared" si="87"/>
        <v>0.62338058222831882</v>
      </c>
      <c r="AF631" s="10"/>
      <c r="AG631" s="10"/>
      <c r="AH631" s="10"/>
      <c r="AI631" s="14">
        <f t="shared" si="90"/>
        <v>0.88660809545583208</v>
      </c>
      <c r="AJ631" s="10"/>
      <c r="AK631" s="10"/>
      <c r="AL631" s="10"/>
      <c r="AN631" s="10"/>
      <c r="AO631" s="10"/>
      <c r="AP631" s="10"/>
      <c r="AQ631" s="10">
        <v>0</v>
      </c>
      <c r="AR631" s="10" t="s">
        <v>308</v>
      </c>
      <c r="AS631" s="10"/>
      <c r="AT631" s="10" t="s">
        <v>2</v>
      </c>
      <c r="AU631" s="10" t="s">
        <v>2</v>
      </c>
      <c r="AV631" s="10" t="s">
        <v>3</v>
      </c>
      <c r="AW631" s="10"/>
    </row>
    <row r="632" spans="1:49" x14ac:dyDescent="0.3">
      <c r="A632" s="10" t="s">
        <v>1407</v>
      </c>
      <c r="B632" s="10" t="s">
        <v>286</v>
      </c>
      <c r="C632" s="10"/>
      <c r="D632" s="10" t="s">
        <v>1456</v>
      </c>
      <c r="E632" s="10" t="s">
        <v>1458</v>
      </c>
      <c r="F632" t="s">
        <v>2661</v>
      </c>
      <c r="G632" s="16" t="s">
        <v>22</v>
      </c>
      <c r="H632" s="10" t="s">
        <v>217</v>
      </c>
      <c r="I632" s="10" t="s">
        <v>1461</v>
      </c>
      <c r="J632" s="10" t="s">
        <v>1459</v>
      </c>
      <c r="K632" s="10">
        <v>3</v>
      </c>
      <c r="L632" s="10">
        <v>3</v>
      </c>
      <c r="N632" s="10">
        <v>5996</v>
      </c>
      <c r="O632" s="10"/>
      <c r="P632" s="10">
        <v>6501</v>
      </c>
      <c r="Q632" s="10"/>
      <c r="R632" s="10"/>
      <c r="S632" s="10"/>
      <c r="T632" s="10"/>
      <c r="U632" s="10"/>
      <c r="V632" s="10"/>
      <c r="W632" s="10">
        <v>5120</v>
      </c>
      <c r="X632" s="10"/>
      <c r="Y632" s="10">
        <v>3069</v>
      </c>
      <c r="Z632" s="10"/>
      <c r="AA632" s="10"/>
      <c r="AB632" s="10"/>
      <c r="AC632" s="10"/>
      <c r="AD632" s="14">
        <f t="shared" si="86"/>
        <v>0.85390260173448962</v>
      </c>
      <c r="AE632" s="14">
        <f t="shared" si="87"/>
        <v>0.4720812182741117</v>
      </c>
      <c r="AF632" s="10"/>
      <c r="AG632" s="10"/>
      <c r="AH632" s="10"/>
      <c r="AI632" s="14">
        <f t="shared" si="90"/>
        <v>1.3259838200086014</v>
      </c>
      <c r="AJ632" s="10"/>
      <c r="AK632" s="10"/>
      <c r="AL632" s="10"/>
      <c r="AN632" s="10"/>
      <c r="AO632" s="10"/>
      <c r="AP632" s="10"/>
      <c r="AQ632" s="10">
        <v>60</v>
      </c>
      <c r="AR632" s="10" t="s">
        <v>14</v>
      </c>
      <c r="AS632" s="10"/>
      <c r="AT632" s="10" t="s">
        <v>2</v>
      </c>
      <c r="AU632" s="10" t="s">
        <v>2</v>
      </c>
      <c r="AV632" s="10" t="s">
        <v>3</v>
      </c>
      <c r="AW632" s="10"/>
    </row>
    <row r="633" spans="1:49" x14ac:dyDescent="0.3">
      <c r="A633" s="10" t="s">
        <v>1407</v>
      </c>
      <c r="B633" s="10" t="s">
        <v>286</v>
      </c>
      <c r="C633" s="10"/>
      <c r="D633" s="10" t="s">
        <v>1456</v>
      </c>
      <c r="E633" s="10" t="s">
        <v>1458</v>
      </c>
      <c r="F633" t="s">
        <v>2661</v>
      </c>
      <c r="G633" s="16" t="s">
        <v>22</v>
      </c>
      <c r="H633" s="10" t="s">
        <v>217</v>
      </c>
      <c r="I633" s="10" t="s">
        <v>1462</v>
      </c>
      <c r="J633" s="10" t="s">
        <v>1459</v>
      </c>
      <c r="K633" s="10">
        <v>3</v>
      </c>
      <c r="L633" s="10">
        <v>3</v>
      </c>
      <c r="N633" s="10">
        <v>10189</v>
      </c>
      <c r="O633" s="10"/>
      <c r="P633" s="10">
        <v>5975</v>
      </c>
      <c r="Q633" s="10"/>
      <c r="R633" s="10"/>
      <c r="S633" s="10"/>
      <c r="T633" s="10"/>
      <c r="U633" s="10"/>
      <c r="V633" s="10"/>
      <c r="W633" s="10">
        <v>10100</v>
      </c>
      <c r="X633" s="10"/>
      <c r="Y633" s="10">
        <v>1695</v>
      </c>
      <c r="Z633" s="10"/>
      <c r="AA633" s="10"/>
      <c r="AB633" s="10"/>
      <c r="AC633" s="10"/>
      <c r="AD633" s="14">
        <f t="shared" si="86"/>
        <v>0.99126508980272843</v>
      </c>
      <c r="AE633" s="14">
        <f t="shared" si="87"/>
        <v>0.28368200836820084</v>
      </c>
      <c r="AF633" s="10"/>
      <c r="AG633" s="10"/>
      <c r="AH633" s="10"/>
      <c r="AI633" s="14">
        <f t="shared" si="90"/>
        <v>1.2749470981709292</v>
      </c>
      <c r="AJ633" s="10"/>
      <c r="AK633" s="10"/>
      <c r="AL633" s="10"/>
      <c r="AN633" s="10"/>
      <c r="AO633" s="10"/>
      <c r="AP633" s="10"/>
      <c r="AQ633" s="10">
        <v>100</v>
      </c>
      <c r="AR633" s="10" t="s">
        <v>14</v>
      </c>
      <c r="AS633" s="10"/>
      <c r="AT633" s="10" t="s">
        <v>2</v>
      </c>
      <c r="AU633" s="10" t="s">
        <v>2</v>
      </c>
      <c r="AV633" s="10" t="s">
        <v>3</v>
      </c>
      <c r="AW633" s="10"/>
    </row>
    <row r="634" spans="1:49" x14ac:dyDescent="0.3">
      <c r="A634" s="10" t="s">
        <v>1407</v>
      </c>
      <c r="B634" s="10" t="s">
        <v>286</v>
      </c>
      <c r="C634" s="10"/>
      <c r="D634" s="10" t="s">
        <v>1456</v>
      </c>
      <c r="E634" s="10" t="s">
        <v>1458</v>
      </c>
      <c r="F634" t="s">
        <v>2661</v>
      </c>
      <c r="G634" s="16" t="s">
        <v>22</v>
      </c>
      <c r="H634" s="10" t="s">
        <v>217</v>
      </c>
      <c r="I634" s="10" t="s">
        <v>1463</v>
      </c>
      <c r="J634" s="10" t="s">
        <v>1459</v>
      </c>
      <c r="K634" s="10">
        <v>3</v>
      </c>
      <c r="L634" s="10">
        <v>3</v>
      </c>
      <c r="N634" s="10">
        <v>3024</v>
      </c>
      <c r="O634" s="10"/>
      <c r="P634" s="10">
        <v>6561</v>
      </c>
      <c r="Q634" s="10"/>
      <c r="R634" s="10"/>
      <c r="S634" s="10"/>
      <c r="T634" s="10"/>
      <c r="U634" s="10"/>
      <c r="V634" s="10"/>
      <c r="W634" s="10">
        <v>1164</v>
      </c>
      <c r="X634" s="10"/>
      <c r="Y634" s="10">
        <v>4703</v>
      </c>
      <c r="Z634" s="10"/>
      <c r="AA634" s="10"/>
      <c r="AB634" s="10"/>
      <c r="AC634" s="10"/>
      <c r="AD634" s="14">
        <f t="shared" si="86"/>
        <v>0.38492063492063494</v>
      </c>
      <c r="AE634" s="14">
        <f t="shared" si="87"/>
        <v>0.71681146166742871</v>
      </c>
      <c r="AF634" s="10"/>
      <c r="AG634" s="10"/>
      <c r="AH634" s="10"/>
      <c r="AI634" s="14">
        <f t="shared" si="90"/>
        <v>1.1017320965880637</v>
      </c>
      <c r="AJ634" s="10"/>
      <c r="AK634" s="10"/>
      <c r="AL634" s="10"/>
      <c r="AN634" s="10"/>
      <c r="AO634" s="10"/>
      <c r="AP634" s="10"/>
      <c r="AQ634" s="10">
        <v>0</v>
      </c>
      <c r="AR634" s="10" t="s">
        <v>308</v>
      </c>
      <c r="AS634" s="10"/>
      <c r="AT634" s="10" t="s">
        <v>2</v>
      </c>
      <c r="AU634" s="10" t="s">
        <v>2</v>
      </c>
      <c r="AV634" s="10" t="s">
        <v>3</v>
      </c>
      <c r="AW634" s="10"/>
    </row>
    <row r="635" spans="1:49" x14ac:dyDescent="0.3">
      <c r="A635" s="10" t="s">
        <v>1407</v>
      </c>
      <c r="B635" s="10" t="s">
        <v>286</v>
      </c>
      <c r="C635" s="10"/>
      <c r="D635" s="10" t="s">
        <v>1456</v>
      </c>
      <c r="E635" s="10" t="s">
        <v>1458</v>
      </c>
      <c r="F635" t="s">
        <v>2661</v>
      </c>
      <c r="G635" s="16" t="s">
        <v>22</v>
      </c>
      <c r="H635" s="10" t="s">
        <v>217</v>
      </c>
      <c r="I635" s="10" t="s">
        <v>1464</v>
      </c>
      <c r="J635" s="10" t="s">
        <v>1459</v>
      </c>
      <c r="K635" s="10">
        <v>3</v>
      </c>
      <c r="L635" s="10">
        <v>3</v>
      </c>
      <c r="N635" s="10">
        <v>5996</v>
      </c>
      <c r="O635" s="10"/>
      <c r="P635" s="10">
        <v>6501</v>
      </c>
      <c r="Q635" s="10"/>
      <c r="R635" s="10"/>
      <c r="S635" s="10"/>
      <c r="T635" s="10"/>
      <c r="U635" s="10"/>
      <c r="V635" s="10"/>
      <c r="W635" s="10">
        <v>4026</v>
      </c>
      <c r="X635" s="10"/>
      <c r="Y635" s="10">
        <v>3827</v>
      </c>
      <c r="Z635" s="10"/>
      <c r="AA635" s="10"/>
      <c r="AB635" s="10"/>
      <c r="AC635" s="10"/>
      <c r="AD635" s="14">
        <f t="shared" si="86"/>
        <v>0.67144763175450295</v>
      </c>
      <c r="AE635" s="14">
        <f t="shared" si="87"/>
        <v>0.58867866482079678</v>
      </c>
      <c r="AF635" s="10"/>
      <c r="AG635" s="10"/>
      <c r="AH635" s="10"/>
      <c r="AI635" s="14">
        <f t="shared" si="90"/>
        <v>1.2601262965752997</v>
      </c>
      <c r="AJ635" s="10"/>
      <c r="AK635" s="10"/>
      <c r="AL635" s="10"/>
      <c r="AN635" s="10"/>
      <c r="AO635" s="10"/>
      <c r="AP635" s="10"/>
      <c r="AQ635" s="10">
        <v>60</v>
      </c>
      <c r="AR635" s="10" t="s">
        <v>14</v>
      </c>
      <c r="AS635" s="10"/>
      <c r="AT635" s="10" t="s">
        <v>2</v>
      </c>
      <c r="AU635" s="10" t="s">
        <v>2</v>
      </c>
      <c r="AV635" s="10" t="s">
        <v>3</v>
      </c>
      <c r="AW635" s="10"/>
    </row>
    <row r="636" spans="1:49" x14ac:dyDescent="0.3">
      <c r="A636" s="10" t="s">
        <v>1407</v>
      </c>
      <c r="B636" s="10" t="s">
        <v>286</v>
      </c>
      <c r="C636" s="10"/>
      <c r="D636" s="10" t="s">
        <v>1456</v>
      </c>
      <c r="E636" s="10" t="s">
        <v>1458</v>
      </c>
      <c r="F636" t="s">
        <v>2661</v>
      </c>
      <c r="G636" s="16" t="s">
        <v>22</v>
      </c>
      <c r="H636" s="10" t="s">
        <v>217</v>
      </c>
      <c r="I636" s="10" t="s">
        <v>1465</v>
      </c>
      <c r="J636" s="10" t="s">
        <v>1459</v>
      </c>
      <c r="K636" s="10">
        <v>3</v>
      </c>
      <c r="L636" s="10">
        <v>3</v>
      </c>
      <c r="N636" s="10">
        <v>10189</v>
      </c>
      <c r="O636" s="10"/>
      <c r="P636" s="10">
        <v>5975</v>
      </c>
      <c r="Q636" s="10"/>
      <c r="R636" s="10"/>
      <c r="S636" s="10"/>
      <c r="T636" s="10"/>
      <c r="U636" s="10"/>
      <c r="V636" s="10"/>
      <c r="W636" s="10">
        <v>5105</v>
      </c>
      <c r="X636" s="10"/>
      <c r="Y636" s="10">
        <v>2476</v>
      </c>
      <c r="Z636" s="10"/>
      <c r="AA636" s="10"/>
      <c r="AB636" s="10"/>
      <c r="AC636" s="10"/>
      <c r="AD636" s="14">
        <f t="shared" si="86"/>
        <v>0.50103052311316121</v>
      </c>
      <c r="AE636" s="14">
        <f t="shared" si="87"/>
        <v>0.41439330543933056</v>
      </c>
      <c r="AF636" s="10"/>
      <c r="AG636" s="10"/>
      <c r="AH636" s="10"/>
      <c r="AI636" s="14">
        <f t="shared" si="90"/>
        <v>0.91542382855249183</v>
      </c>
      <c r="AJ636" s="10"/>
      <c r="AK636" s="10"/>
      <c r="AL636" s="10"/>
      <c r="AN636" s="10"/>
      <c r="AO636" s="10"/>
      <c r="AP636" s="10"/>
      <c r="AQ636" s="10">
        <v>100</v>
      </c>
      <c r="AR636" s="10" t="s">
        <v>14</v>
      </c>
      <c r="AS636" s="10"/>
      <c r="AT636" s="10" t="s">
        <v>2</v>
      </c>
      <c r="AU636" s="10" t="s">
        <v>2</v>
      </c>
      <c r="AV636" s="10" t="s">
        <v>3</v>
      </c>
      <c r="AW636" s="10"/>
    </row>
    <row r="637" spans="1:49" s="12" customFormat="1" x14ac:dyDescent="0.3">
      <c r="A637" s="26" t="s">
        <v>1466</v>
      </c>
      <c r="B637" s="10" t="s">
        <v>441</v>
      </c>
      <c r="C637" s="10" t="s">
        <v>1468</v>
      </c>
      <c r="D637" s="16" t="s">
        <v>1467</v>
      </c>
      <c r="E637" s="16" t="s">
        <v>877</v>
      </c>
      <c r="F637" t="s">
        <v>2661</v>
      </c>
      <c r="G637" s="16" t="s">
        <v>22</v>
      </c>
      <c r="H637" s="10" t="s">
        <v>17</v>
      </c>
      <c r="I637" s="10"/>
      <c r="J637" s="10" t="s">
        <v>711</v>
      </c>
      <c r="K637" s="10">
        <v>4</v>
      </c>
      <c r="L637" s="10">
        <v>4</v>
      </c>
      <c r="M637" s="53"/>
      <c r="N637" s="10">
        <v>10376</v>
      </c>
      <c r="O637" s="10"/>
      <c r="P637" s="10"/>
      <c r="Q637" s="10"/>
      <c r="R637" s="10"/>
      <c r="S637" s="10"/>
      <c r="T637" s="10"/>
      <c r="U637" s="10"/>
      <c r="V637" s="10">
        <v>9873</v>
      </c>
      <c r="W637" s="10"/>
      <c r="X637" s="10"/>
      <c r="Y637" s="10"/>
      <c r="Z637" s="10"/>
      <c r="AA637" s="10"/>
      <c r="AB637" s="10"/>
      <c r="AC637" s="10"/>
      <c r="AD637" s="10"/>
      <c r="AE637" s="10"/>
      <c r="AF637" s="10"/>
      <c r="AG637" s="10"/>
      <c r="AH637" s="10"/>
      <c r="AI637" s="14">
        <f>V637/N637</f>
        <v>0.95152274479568233</v>
      </c>
      <c r="AJ637" s="10"/>
      <c r="AK637" s="10"/>
      <c r="AL637" s="10"/>
      <c r="AM637"/>
      <c r="AN637" s="10"/>
      <c r="AO637" s="10"/>
      <c r="AP637" s="10"/>
      <c r="AQ637" s="10">
        <v>84</v>
      </c>
      <c r="AR637" s="10" t="s">
        <v>14</v>
      </c>
      <c r="AS637" s="10"/>
      <c r="AT637" s="10" t="s">
        <v>3</v>
      </c>
      <c r="AU637" s="10" t="s">
        <v>2</v>
      </c>
      <c r="AV637" s="10" t="s">
        <v>3</v>
      </c>
      <c r="AW637" s="10" t="s">
        <v>1337</v>
      </c>
    </row>
    <row r="638" spans="1:49" s="12" customFormat="1" x14ac:dyDescent="0.3">
      <c r="A638" s="26" t="s">
        <v>1470</v>
      </c>
      <c r="B638" s="10" t="s">
        <v>441</v>
      </c>
      <c r="C638" s="10" t="s">
        <v>1474</v>
      </c>
      <c r="D638" s="10" t="s">
        <v>1473</v>
      </c>
      <c r="E638" s="10">
        <v>1991</v>
      </c>
      <c r="F638" t="s">
        <v>2661</v>
      </c>
      <c r="G638" s="16" t="s">
        <v>1013</v>
      </c>
      <c r="H638" s="10" t="s">
        <v>17</v>
      </c>
      <c r="I638" s="10" t="s">
        <v>1481</v>
      </c>
      <c r="J638" s="10" t="s">
        <v>1475</v>
      </c>
      <c r="K638" s="10">
        <v>4</v>
      </c>
      <c r="L638" s="10">
        <v>4</v>
      </c>
      <c r="M638" s="53"/>
      <c r="N638" s="10">
        <v>3.56</v>
      </c>
      <c r="O638" s="10"/>
      <c r="P638" s="10">
        <v>3.19</v>
      </c>
      <c r="Q638" s="10"/>
      <c r="R638" s="10"/>
      <c r="S638" s="10"/>
      <c r="T638" s="10"/>
      <c r="U638" s="10"/>
      <c r="V638" s="10">
        <v>4.49</v>
      </c>
      <c r="W638" s="10"/>
      <c r="X638" s="10"/>
      <c r="Y638" s="10"/>
      <c r="Z638" s="10"/>
      <c r="AA638" s="10"/>
      <c r="AB638" s="10"/>
      <c r="AC638" s="10"/>
      <c r="AD638" s="10"/>
      <c r="AE638" s="10"/>
      <c r="AF638" s="10"/>
      <c r="AG638" s="10"/>
      <c r="AH638" s="10"/>
      <c r="AI638" s="14">
        <f>MIN(V638/N638,V638/P638)</f>
        <v>1.2612359550561798</v>
      </c>
      <c r="AJ638" s="10"/>
      <c r="AK638" s="10"/>
      <c r="AL638" s="10"/>
      <c r="AM638"/>
      <c r="AN638" s="10"/>
      <c r="AO638" s="10"/>
      <c r="AP638" s="10"/>
      <c r="AQ638" s="10">
        <v>0</v>
      </c>
      <c r="AR638" s="10" t="s">
        <v>308</v>
      </c>
      <c r="AS638" s="10"/>
      <c r="AT638" s="10" t="s">
        <v>3</v>
      </c>
      <c r="AU638" s="10" t="s">
        <v>2</v>
      </c>
      <c r="AV638" s="10" t="s">
        <v>3</v>
      </c>
      <c r="AW638" s="10" t="s">
        <v>1199</v>
      </c>
    </row>
    <row r="639" spans="1:49" s="12" customFormat="1" x14ac:dyDescent="0.3">
      <c r="A639" s="26" t="s">
        <v>1470</v>
      </c>
      <c r="B639" s="10" t="s">
        <v>441</v>
      </c>
      <c r="C639" s="10" t="s">
        <v>1474</v>
      </c>
      <c r="D639" s="10" t="s">
        <v>1473</v>
      </c>
      <c r="E639" s="10">
        <v>1991</v>
      </c>
      <c r="F639" t="s">
        <v>2661</v>
      </c>
      <c r="G639" s="16" t="s">
        <v>1013</v>
      </c>
      <c r="H639" s="10" t="s">
        <v>17</v>
      </c>
      <c r="I639" s="10" t="s">
        <v>1481</v>
      </c>
      <c r="J639" s="10" t="s">
        <v>1476</v>
      </c>
      <c r="K639" s="10">
        <v>4</v>
      </c>
      <c r="L639" s="10">
        <v>4</v>
      </c>
      <c r="M639" s="53"/>
      <c r="N639" s="10">
        <v>3.56</v>
      </c>
      <c r="O639" s="10"/>
      <c r="P639" s="10"/>
      <c r="Q639" s="10"/>
      <c r="R639" s="10"/>
      <c r="S639" s="10"/>
      <c r="T639" s="10"/>
      <c r="U639" s="10"/>
      <c r="V639" s="10">
        <v>6.18</v>
      </c>
      <c r="W639" s="10"/>
      <c r="X639" s="10"/>
      <c r="Y639" s="10"/>
      <c r="Z639" s="10"/>
      <c r="AA639" s="10"/>
      <c r="AB639" s="10"/>
      <c r="AC639" s="10"/>
      <c r="AD639" s="10"/>
      <c r="AE639" s="10"/>
      <c r="AF639" s="10"/>
      <c r="AG639" s="10"/>
      <c r="AH639" s="10"/>
      <c r="AI639" s="14">
        <f>V639/N639</f>
        <v>1.7359550561797752</v>
      </c>
      <c r="AJ639" s="10"/>
      <c r="AK639" s="10"/>
      <c r="AL639" s="10"/>
      <c r="AM639"/>
      <c r="AN639" s="10"/>
      <c r="AO639" s="10"/>
      <c r="AP639" s="10"/>
      <c r="AQ639" s="10">
        <v>0</v>
      </c>
      <c r="AR639" s="10" t="s">
        <v>308</v>
      </c>
      <c r="AS639" s="10"/>
      <c r="AT639" s="10" t="s">
        <v>3</v>
      </c>
      <c r="AU639" s="10" t="s">
        <v>2</v>
      </c>
      <c r="AV639" s="10" t="s">
        <v>3</v>
      </c>
      <c r="AW639" s="10" t="s">
        <v>1337</v>
      </c>
    </row>
    <row r="640" spans="1:49" s="12" customFormat="1" x14ac:dyDescent="0.3">
      <c r="A640" s="26" t="s">
        <v>1470</v>
      </c>
      <c r="B640" s="10" t="s">
        <v>441</v>
      </c>
      <c r="C640" s="10" t="s">
        <v>1474</v>
      </c>
      <c r="D640" s="10" t="s">
        <v>1473</v>
      </c>
      <c r="E640" s="10">
        <v>1991</v>
      </c>
      <c r="F640" t="s">
        <v>2661</v>
      </c>
      <c r="G640" s="16" t="s">
        <v>1013</v>
      </c>
      <c r="H640" s="10" t="s">
        <v>17</v>
      </c>
      <c r="I640" s="10" t="s">
        <v>1481</v>
      </c>
      <c r="J640" s="10" t="s">
        <v>1477</v>
      </c>
      <c r="K640" s="10">
        <v>4</v>
      </c>
      <c r="L640" s="10">
        <v>4</v>
      </c>
      <c r="M640" s="53"/>
      <c r="N640" s="10">
        <v>3.56</v>
      </c>
      <c r="O640" s="10"/>
      <c r="P640" s="10">
        <v>3.19</v>
      </c>
      <c r="Q640" s="10"/>
      <c r="R640" s="10"/>
      <c r="S640" s="10"/>
      <c r="T640" s="10"/>
      <c r="U640" s="10"/>
      <c r="V640" s="10">
        <v>6.44</v>
      </c>
      <c r="W640" s="10"/>
      <c r="X640" s="10"/>
      <c r="Y640" s="10"/>
      <c r="Z640" s="10"/>
      <c r="AA640" s="10"/>
      <c r="AB640" s="10"/>
      <c r="AC640" s="10"/>
      <c r="AD640" s="10"/>
      <c r="AE640" s="10"/>
      <c r="AF640" s="10"/>
      <c r="AG640" s="10"/>
      <c r="AH640" s="10"/>
      <c r="AI640" s="14">
        <f>MIN(V640/N640,V640/P640)</f>
        <v>1.8089887640449438</v>
      </c>
      <c r="AJ640" s="10"/>
      <c r="AK640" s="10"/>
      <c r="AL640" s="10"/>
      <c r="AM640"/>
      <c r="AN640" s="10"/>
      <c r="AO640" s="10"/>
      <c r="AP640" s="10"/>
      <c r="AQ640" s="10">
        <v>0</v>
      </c>
      <c r="AR640" s="10" t="s">
        <v>308</v>
      </c>
      <c r="AS640" s="10"/>
      <c r="AT640" s="10" t="s">
        <v>3</v>
      </c>
      <c r="AU640" s="10" t="s">
        <v>2</v>
      </c>
      <c r="AV640" s="10" t="s">
        <v>3</v>
      </c>
      <c r="AW640" s="10" t="s">
        <v>1199</v>
      </c>
    </row>
    <row r="641" spans="1:49" s="12" customFormat="1" x14ac:dyDescent="0.3">
      <c r="A641" s="26" t="s">
        <v>1470</v>
      </c>
      <c r="B641" s="10" t="s">
        <v>441</v>
      </c>
      <c r="C641" s="10" t="s">
        <v>1474</v>
      </c>
      <c r="D641" s="10" t="s">
        <v>1473</v>
      </c>
      <c r="E641" s="10">
        <v>1991</v>
      </c>
      <c r="F641" t="s">
        <v>2661</v>
      </c>
      <c r="G641" s="16" t="s">
        <v>1013</v>
      </c>
      <c r="H641" s="10" t="s">
        <v>17</v>
      </c>
      <c r="I641" s="10" t="s">
        <v>1481</v>
      </c>
      <c r="J641" s="10" t="s">
        <v>1478</v>
      </c>
      <c r="K641" s="10">
        <v>4</v>
      </c>
      <c r="L641" s="10">
        <v>4</v>
      </c>
      <c r="M641" s="53"/>
      <c r="N641" s="10">
        <v>3.19</v>
      </c>
      <c r="O641" s="10"/>
      <c r="P641" s="10"/>
      <c r="Q641" s="10"/>
      <c r="R641" s="10"/>
      <c r="S641" s="10"/>
      <c r="T641" s="10"/>
      <c r="U641" s="10"/>
      <c r="V641" s="10">
        <v>5.99</v>
      </c>
      <c r="W641" s="10"/>
      <c r="X641" s="10"/>
      <c r="Y641" s="10"/>
      <c r="Z641" s="10"/>
      <c r="AA641" s="10"/>
      <c r="AB641" s="10"/>
      <c r="AC641" s="10"/>
      <c r="AD641" s="10"/>
      <c r="AE641" s="10"/>
      <c r="AF641" s="10"/>
      <c r="AG641" s="10"/>
      <c r="AH641" s="10"/>
      <c r="AI641" s="14">
        <f>V641/N641</f>
        <v>1.8777429467084641</v>
      </c>
      <c r="AJ641" s="10"/>
      <c r="AK641" s="10"/>
      <c r="AL641" s="10"/>
      <c r="AM641"/>
      <c r="AN641" s="10"/>
      <c r="AO641" s="10"/>
      <c r="AP641" s="10"/>
      <c r="AQ641" s="10">
        <v>0</v>
      </c>
      <c r="AR641" s="10" t="s">
        <v>308</v>
      </c>
      <c r="AS641" s="10"/>
      <c r="AT641" s="10" t="s">
        <v>3</v>
      </c>
      <c r="AU641" s="10" t="s">
        <v>2</v>
      </c>
      <c r="AV641" s="10" t="s">
        <v>3</v>
      </c>
      <c r="AW641" s="10" t="s">
        <v>1337</v>
      </c>
    </row>
    <row r="642" spans="1:49" s="12" customFormat="1" x14ac:dyDescent="0.3">
      <c r="A642" s="26" t="s">
        <v>1470</v>
      </c>
      <c r="B642" s="10" t="s">
        <v>441</v>
      </c>
      <c r="C642" s="10" t="s">
        <v>1474</v>
      </c>
      <c r="D642" s="10" t="s">
        <v>1473</v>
      </c>
      <c r="E642" s="10">
        <v>1991</v>
      </c>
      <c r="F642" t="s">
        <v>2661</v>
      </c>
      <c r="G642" s="16" t="s">
        <v>1013</v>
      </c>
      <c r="H642" s="10" t="s">
        <v>17</v>
      </c>
      <c r="I642" s="10" t="s">
        <v>1482</v>
      </c>
      <c r="J642" s="10" t="s">
        <v>1475</v>
      </c>
      <c r="K642" s="10">
        <v>4</v>
      </c>
      <c r="L642" s="10">
        <v>4</v>
      </c>
      <c r="M642" s="53"/>
      <c r="N642" s="10">
        <v>4.6100000000000003</v>
      </c>
      <c r="O642" s="10"/>
      <c r="P642" s="10">
        <v>3.32</v>
      </c>
      <c r="Q642" s="10"/>
      <c r="R642" s="10"/>
      <c r="S642" s="10"/>
      <c r="T642" s="10"/>
      <c r="U642" s="10"/>
      <c r="V642" s="10">
        <v>4.59</v>
      </c>
      <c r="W642" s="10"/>
      <c r="X642" s="10"/>
      <c r="Y642" s="10"/>
      <c r="Z642" s="10"/>
      <c r="AA642" s="10"/>
      <c r="AB642" s="10"/>
      <c r="AC642" s="10"/>
      <c r="AD642" s="10"/>
      <c r="AE642" s="10"/>
      <c r="AF642" s="10"/>
      <c r="AG642" s="10"/>
      <c r="AH642" s="10"/>
      <c r="AI642" s="14">
        <f>MIN(V642/N642,V642/P642)</f>
        <v>0.99566160520607361</v>
      </c>
      <c r="AJ642" s="10"/>
      <c r="AK642" s="10"/>
      <c r="AL642" s="10"/>
      <c r="AM642"/>
      <c r="AN642" s="10"/>
      <c r="AO642" s="10"/>
      <c r="AP642" s="10"/>
      <c r="AQ642" s="10">
        <v>175</v>
      </c>
      <c r="AR642" s="10" t="s">
        <v>14</v>
      </c>
      <c r="AS642" s="10"/>
      <c r="AT642" s="10" t="s">
        <v>3</v>
      </c>
      <c r="AU642" s="10" t="s">
        <v>2</v>
      </c>
      <c r="AV642" s="10" t="s">
        <v>3</v>
      </c>
      <c r="AW642" s="10" t="s">
        <v>1199</v>
      </c>
    </row>
    <row r="643" spans="1:49" s="12" customFormat="1" x14ac:dyDescent="0.3">
      <c r="A643" s="26" t="s">
        <v>1470</v>
      </c>
      <c r="B643" s="10" t="s">
        <v>441</v>
      </c>
      <c r="C643" s="10" t="s">
        <v>1474</v>
      </c>
      <c r="D643" s="10" t="s">
        <v>1473</v>
      </c>
      <c r="E643" s="10">
        <v>1991</v>
      </c>
      <c r="F643" t="s">
        <v>2661</v>
      </c>
      <c r="G643" s="16" t="s">
        <v>1013</v>
      </c>
      <c r="H643" s="10" t="s">
        <v>17</v>
      </c>
      <c r="I643" s="10" t="s">
        <v>1482</v>
      </c>
      <c r="J643" s="10" t="s">
        <v>1476</v>
      </c>
      <c r="K643" s="10">
        <v>4</v>
      </c>
      <c r="L643" s="10">
        <v>4</v>
      </c>
      <c r="M643" s="53"/>
      <c r="N643" s="10">
        <v>4.6100000000000003</v>
      </c>
      <c r="O643" s="10"/>
      <c r="P643" s="10"/>
      <c r="Q643" s="10"/>
      <c r="R643" s="10"/>
      <c r="S643" s="10"/>
      <c r="T643" s="10"/>
      <c r="U643" s="10"/>
      <c r="V643" s="10">
        <v>6.48</v>
      </c>
      <c r="W643" s="10"/>
      <c r="X643" s="10"/>
      <c r="Y643" s="10"/>
      <c r="Z643" s="10"/>
      <c r="AA643" s="10"/>
      <c r="AB643" s="10"/>
      <c r="AC643" s="10"/>
      <c r="AD643" s="10"/>
      <c r="AE643" s="10"/>
      <c r="AF643" s="10"/>
      <c r="AG643" s="10"/>
      <c r="AH643" s="10"/>
      <c r="AI643" s="14">
        <f>V643/N643</f>
        <v>1.405639913232104</v>
      </c>
      <c r="AJ643" s="10"/>
      <c r="AK643" s="10"/>
      <c r="AL643" s="10"/>
      <c r="AM643"/>
      <c r="AN643" s="10"/>
      <c r="AO643" s="10"/>
      <c r="AP643" s="10"/>
      <c r="AQ643" s="10">
        <v>175</v>
      </c>
      <c r="AR643" s="10" t="s">
        <v>14</v>
      </c>
      <c r="AS643" s="10"/>
      <c r="AT643" s="10" t="s">
        <v>3</v>
      </c>
      <c r="AU643" s="10" t="s">
        <v>2</v>
      </c>
      <c r="AV643" s="10" t="s">
        <v>3</v>
      </c>
      <c r="AW643" s="10" t="s">
        <v>1337</v>
      </c>
    </row>
    <row r="644" spans="1:49" s="12" customFormat="1" x14ac:dyDescent="0.3">
      <c r="A644" s="26" t="s">
        <v>1470</v>
      </c>
      <c r="B644" s="10" t="s">
        <v>441</v>
      </c>
      <c r="C644" s="10" t="s">
        <v>1474</v>
      </c>
      <c r="D644" s="10" t="s">
        <v>1473</v>
      </c>
      <c r="E644" s="10">
        <v>1991</v>
      </c>
      <c r="F644" t="s">
        <v>2661</v>
      </c>
      <c r="G644" s="16" t="s">
        <v>1013</v>
      </c>
      <c r="H644" s="10" t="s">
        <v>17</v>
      </c>
      <c r="I644" s="10" t="s">
        <v>1482</v>
      </c>
      <c r="J644" s="10" t="s">
        <v>1477</v>
      </c>
      <c r="K644" s="10">
        <v>4</v>
      </c>
      <c r="L644" s="10">
        <v>4</v>
      </c>
      <c r="M644" s="53"/>
      <c r="N644" s="10">
        <v>4.6100000000000003</v>
      </c>
      <c r="O644" s="10"/>
      <c r="P644" s="10">
        <v>3.32</v>
      </c>
      <c r="Q644" s="10"/>
      <c r="R644" s="10"/>
      <c r="S644" s="10"/>
      <c r="T644" s="10"/>
      <c r="U644" s="10"/>
      <c r="V644" s="10">
        <v>6.49</v>
      </c>
      <c r="W644" s="10"/>
      <c r="X644" s="10"/>
      <c r="Y644" s="10"/>
      <c r="Z644" s="10"/>
      <c r="AA644" s="10"/>
      <c r="AB644" s="10"/>
      <c r="AC644" s="10"/>
      <c r="AD644" s="10"/>
      <c r="AE644" s="10"/>
      <c r="AF644" s="10"/>
      <c r="AG644" s="10"/>
      <c r="AH644" s="10"/>
      <c r="AI644" s="14">
        <f>MIN(V644/N644,V644/P644)</f>
        <v>1.4078091106290671</v>
      </c>
      <c r="AJ644" s="10"/>
      <c r="AK644" s="10"/>
      <c r="AL644" s="10"/>
      <c r="AM644"/>
      <c r="AN644" s="10"/>
      <c r="AO644" s="10"/>
      <c r="AP644" s="10"/>
      <c r="AQ644" s="10">
        <v>175</v>
      </c>
      <c r="AR644" s="10" t="s">
        <v>14</v>
      </c>
      <c r="AS644" s="10"/>
      <c r="AT644" s="10" t="s">
        <v>3</v>
      </c>
      <c r="AU644" s="10" t="s">
        <v>2</v>
      </c>
      <c r="AV644" s="10" t="s">
        <v>3</v>
      </c>
      <c r="AW644" s="10" t="s">
        <v>1199</v>
      </c>
    </row>
    <row r="645" spans="1:49" s="12" customFormat="1" x14ac:dyDescent="0.3">
      <c r="A645" s="26" t="s">
        <v>1470</v>
      </c>
      <c r="B645" s="10" t="s">
        <v>441</v>
      </c>
      <c r="C645" s="10" t="s">
        <v>1474</v>
      </c>
      <c r="D645" s="10" t="s">
        <v>1473</v>
      </c>
      <c r="E645" s="10">
        <v>1991</v>
      </c>
      <c r="F645" t="s">
        <v>2661</v>
      </c>
      <c r="G645" s="16" t="s">
        <v>1013</v>
      </c>
      <c r="H645" s="10" t="s">
        <v>17</v>
      </c>
      <c r="I645" s="10" t="s">
        <v>1482</v>
      </c>
      <c r="J645" s="10" t="s">
        <v>1478</v>
      </c>
      <c r="K645" s="10">
        <v>4</v>
      </c>
      <c r="L645" s="10">
        <v>4</v>
      </c>
      <c r="M645" s="53"/>
      <c r="N645" s="10">
        <v>3.32</v>
      </c>
      <c r="O645" s="10"/>
      <c r="P645" s="10"/>
      <c r="Q645" s="10"/>
      <c r="R645" s="10"/>
      <c r="S645" s="10"/>
      <c r="T645" s="10"/>
      <c r="U645" s="10"/>
      <c r="V645" s="10">
        <v>6.8</v>
      </c>
      <c r="W645" s="10"/>
      <c r="X645" s="10"/>
      <c r="Y645" s="10"/>
      <c r="Z645" s="10"/>
      <c r="AA645" s="10"/>
      <c r="AB645" s="10"/>
      <c r="AC645" s="10"/>
      <c r="AD645" s="10"/>
      <c r="AE645" s="10"/>
      <c r="AF645" s="10"/>
      <c r="AG645" s="10"/>
      <c r="AH645" s="10"/>
      <c r="AI645" s="14">
        <f>V645/N645</f>
        <v>2.0481927710843375</v>
      </c>
      <c r="AJ645" s="10"/>
      <c r="AK645" s="10"/>
      <c r="AL645" s="10"/>
      <c r="AM645"/>
      <c r="AN645" s="10"/>
      <c r="AO645" s="10"/>
      <c r="AP645" s="10"/>
      <c r="AQ645" s="10">
        <v>175</v>
      </c>
      <c r="AR645" s="10" t="s">
        <v>14</v>
      </c>
      <c r="AS645" s="10"/>
      <c r="AT645" s="10" t="s">
        <v>3</v>
      </c>
      <c r="AU645" s="10" t="s">
        <v>2</v>
      </c>
      <c r="AV645" s="10" t="s">
        <v>3</v>
      </c>
      <c r="AW645" s="10" t="s">
        <v>1337</v>
      </c>
    </row>
    <row r="646" spans="1:49" s="12" customFormat="1" x14ac:dyDescent="0.3">
      <c r="A646" s="26" t="s">
        <v>1470</v>
      </c>
      <c r="B646" s="10" t="s">
        <v>441</v>
      </c>
      <c r="C646" s="10" t="s">
        <v>1474</v>
      </c>
      <c r="D646" s="10" t="s">
        <v>1473</v>
      </c>
      <c r="E646" s="10">
        <v>1991</v>
      </c>
      <c r="F646" t="s">
        <v>2661</v>
      </c>
      <c r="G646" s="16" t="s">
        <v>1013</v>
      </c>
      <c r="H646" s="10" t="s">
        <v>17</v>
      </c>
      <c r="I646" s="10" t="s">
        <v>1480</v>
      </c>
      <c r="J646" s="10" t="s">
        <v>1475</v>
      </c>
      <c r="K646" s="10">
        <v>4</v>
      </c>
      <c r="L646" s="10">
        <v>4</v>
      </c>
      <c r="M646" s="53"/>
      <c r="N646" s="10">
        <v>1.27</v>
      </c>
      <c r="O646" s="10"/>
      <c r="P646" s="10">
        <v>2.13</v>
      </c>
      <c r="Q646" s="10"/>
      <c r="R646" s="10"/>
      <c r="S646" s="10"/>
      <c r="T646" s="10"/>
      <c r="U646" s="10"/>
      <c r="V646" s="10">
        <v>2.4700000000000002</v>
      </c>
      <c r="W646" s="10"/>
      <c r="X646" s="10"/>
      <c r="Y646" s="10"/>
      <c r="Z646" s="10"/>
      <c r="AA646" s="10"/>
      <c r="AB646" s="10"/>
      <c r="AC646" s="10"/>
      <c r="AD646" s="10"/>
      <c r="AE646" s="10"/>
      <c r="AF646" s="10"/>
      <c r="AG646" s="10"/>
      <c r="AH646" s="10"/>
      <c r="AI646" s="14">
        <f>MIN(V646/N646,V646/P646)</f>
        <v>1.15962441314554</v>
      </c>
      <c r="AJ646" s="10"/>
      <c r="AK646" s="10"/>
      <c r="AL646" s="10"/>
      <c r="AM646"/>
      <c r="AN646" s="10"/>
      <c r="AO646" s="10"/>
      <c r="AP646" s="10"/>
      <c r="AQ646" s="10">
        <v>0</v>
      </c>
      <c r="AR646" s="10" t="s">
        <v>308</v>
      </c>
      <c r="AS646" s="10"/>
      <c r="AT646" s="10" t="s">
        <v>3</v>
      </c>
      <c r="AU646" s="10" t="s">
        <v>2</v>
      </c>
      <c r="AV646" s="10" t="s">
        <v>3</v>
      </c>
      <c r="AW646" s="10" t="s">
        <v>1199</v>
      </c>
    </row>
    <row r="647" spans="1:49" s="12" customFormat="1" x14ac:dyDescent="0.3">
      <c r="A647" s="26" t="s">
        <v>1470</v>
      </c>
      <c r="B647" s="10" t="s">
        <v>441</v>
      </c>
      <c r="C647" s="10" t="s">
        <v>1474</v>
      </c>
      <c r="D647" s="10" t="s">
        <v>1473</v>
      </c>
      <c r="E647" s="10">
        <v>1991</v>
      </c>
      <c r="F647" t="s">
        <v>2661</v>
      </c>
      <c r="G647" s="16" t="s">
        <v>1013</v>
      </c>
      <c r="H647" s="10" t="s">
        <v>17</v>
      </c>
      <c r="I647" s="10" t="s">
        <v>1480</v>
      </c>
      <c r="J647" s="10" t="s">
        <v>1476</v>
      </c>
      <c r="K647" s="10">
        <v>4</v>
      </c>
      <c r="L647" s="10">
        <v>4</v>
      </c>
      <c r="M647" s="53"/>
      <c r="N647" s="10">
        <v>1.27</v>
      </c>
      <c r="O647" s="10"/>
      <c r="P647" s="10"/>
      <c r="Q647" s="10"/>
      <c r="R647" s="10"/>
      <c r="S647" s="10"/>
      <c r="T647" s="10"/>
      <c r="U647" s="10"/>
      <c r="V647" s="10">
        <v>0.65</v>
      </c>
      <c r="W647" s="10"/>
      <c r="X647" s="10"/>
      <c r="Y647" s="10"/>
      <c r="Z647" s="10"/>
      <c r="AA647" s="10"/>
      <c r="AB647" s="10"/>
      <c r="AC647" s="10"/>
      <c r="AD647" s="10"/>
      <c r="AE647" s="10"/>
      <c r="AF647" s="10"/>
      <c r="AG647" s="10"/>
      <c r="AH647" s="10"/>
      <c r="AI647" s="14">
        <f>V647/N647</f>
        <v>0.51181102362204722</v>
      </c>
      <c r="AJ647" s="10"/>
      <c r="AK647" s="10"/>
      <c r="AL647" s="10"/>
      <c r="AM647"/>
      <c r="AN647" s="10"/>
      <c r="AO647" s="10"/>
      <c r="AP647" s="10"/>
      <c r="AQ647" s="10">
        <v>0</v>
      </c>
      <c r="AR647" s="10" t="s">
        <v>308</v>
      </c>
      <c r="AS647" s="10"/>
      <c r="AT647" s="10" t="s">
        <v>3</v>
      </c>
      <c r="AU647" s="10" t="s">
        <v>2</v>
      </c>
      <c r="AV647" s="10" t="s">
        <v>3</v>
      </c>
      <c r="AW647" s="10" t="s">
        <v>1337</v>
      </c>
    </row>
    <row r="648" spans="1:49" s="12" customFormat="1" x14ac:dyDescent="0.3">
      <c r="A648" s="26" t="s">
        <v>1470</v>
      </c>
      <c r="B648" s="10" t="s">
        <v>441</v>
      </c>
      <c r="C648" s="10" t="s">
        <v>1474</v>
      </c>
      <c r="D648" s="10" t="s">
        <v>1473</v>
      </c>
      <c r="E648" s="10">
        <v>1991</v>
      </c>
      <c r="F648" t="s">
        <v>2661</v>
      </c>
      <c r="G648" s="16" t="s">
        <v>1013</v>
      </c>
      <c r="H648" s="10" t="s">
        <v>17</v>
      </c>
      <c r="I648" s="10" t="s">
        <v>1480</v>
      </c>
      <c r="J648" s="10" t="s">
        <v>1477</v>
      </c>
      <c r="K648" s="10">
        <v>4</v>
      </c>
      <c r="L648" s="10">
        <v>4</v>
      </c>
      <c r="M648" s="53"/>
      <c r="N648" s="10">
        <v>1.27</v>
      </c>
      <c r="O648" s="10"/>
      <c r="P648" s="10">
        <v>2.13</v>
      </c>
      <c r="Q648" s="10"/>
      <c r="R648" s="10"/>
      <c r="S648" s="10"/>
      <c r="T648" s="10"/>
      <c r="U648" s="10"/>
      <c r="V648" s="10">
        <v>3.04</v>
      </c>
      <c r="W648" s="10"/>
      <c r="X648" s="10"/>
      <c r="Y648" s="10"/>
      <c r="Z648" s="10"/>
      <c r="AA648" s="10"/>
      <c r="AB648" s="10"/>
      <c r="AC648" s="10"/>
      <c r="AD648" s="10"/>
      <c r="AE648" s="10"/>
      <c r="AF648" s="10"/>
      <c r="AG648" s="10"/>
      <c r="AH648" s="10"/>
      <c r="AI648" s="14">
        <f>MIN(V648/N648,V648/P648)</f>
        <v>1.427230046948357</v>
      </c>
      <c r="AJ648" s="10"/>
      <c r="AK648" s="10"/>
      <c r="AL648" s="10"/>
      <c r="AM648"/>
      <c r="AN648" s="10"/>
      <c r="AO648" s="10"/>
      <c r="AP648" s="10"/>
      <c r="AQ648" s="10">
        <v>0</v>
      </c>
      <c r="AR648" s="10" t="s">
        <v>308</v>
      </c>
      <c r="AS648" s="10"/>
      <c r="AT648" s="10" t="s">
        <v>3</v>
      </c>
      <c r="AU648" s="10" t="s">
        <v>2</v>
      </c>
      <c r="AV648" s="10" t="s">
        <v>3</v>
      </c>
      <c r="AW648" s="10" t="s">
        <v>1199</v>
      </c>
    </row>
    <row r="649" spans="1:49" s="12" customFormat="1" x14ac:dyDescent="0.3">
      <c r="A649" s="26" t="s">
        <v>1470</v>
      </c>
      <c r="B649" s="10" t="s">
        <v>441</v>
      </c>
      <c r="C649" s="10" t="s">
        <v>1474</v>
      </c>
      <c r="D649" s="10" t="s">
        <v>1473</v>
      </c>
      <c r="E649" s="10">
        <v>1991</v>
      </c>
      <c r="F649" t="s">
        <v>2661</v>
      </c>
      <c r="G649" s="16" t="s">
        <v>1013</v>
      </c>
      <c r="H649" s="10" t="s">
        <v>17</v>
      </c>
      <c r="I649" s="10" t="s">
        <v>1480</v>
      </c>
      <c r="J649" s="10" t="s">
        <v>1478</v>
      </c>
      <c r="K649" s="10">
        <v>4</v>
      </c>
      <c r="L649" s="10">
        <v>4</v>
      </c>
      <c r="M649" s="53"/>
      <c r="N649" s="10">
        <v>2.13</v>
      </c>
      <c r="O649" s="10"/>
      <c r="P649" s="10"/>
      <c r="Q649" s="10"/>
      <c r="R649" s="10"/>
      <c r="S649" s="10"/>
      <c r="T649" s="10"/>
      <c r="U649" s="10"/>
      <c r="V649" s="10">
        <v>2.94</v>
      </c>
      <c r="W649" s="10"/>
      <c r="X649" s="10"/>
      <c r="Y649" s="10"/>
      <c r="Z649" s="10"/>
      <c r="AA649" s="10"/>
      <c r="AB649" s="10"/>
      <c r="AC649" s="10"/>
      <c r="AD649" s="10"/>
      <c r="AE649" s="10"/>
      <c r="AF649" s="10"/>
      <c r="AG649" s="10"/>
      <c r="AH649" s="10"/>
      <c r="AI649" s="14">
        <f>V649/N649</f>
        <v>1.380281690140845</v>
      </c>
      <c r="AJ649" s="10"/>
      <c r="AK649" s="10"/>
      <c r="AL649" s="10"/>
      <c r="AM649"/>
      <c r="AN649" s="10"/>
      <c r="AO649" s="10"/>
      <c r="AP649" s="10"/>
      <c r="AQ649" s="10">
        <v>0</v>
      </c>
      <c r="AR649" s="10" t="s">
        <v>308</v>
      </c>
      <c r="AS649" s="10"/>
      <c r="AT649" s="10" t="s">
        <v>3</v>
      </c>
      <c r="AU649" s="10" t="s">
        <v>2</v>
      </c>
      <c r="AV649" s="10" t="s">
        <v>3</v>
      </c>
      <c r="AW649" s="10" t="s">
        <v>1337</v>
      </c>
    </row>
    <row r="650" spans="1:49" s="12" customFormat="1" x14ac:dyDescent="0.3">
      <c r="A650" s="26" t="s">
        <v>1470</v>
      </c>
      <c r="B650" s="10" t="s">
        <v>441</v>
      </c>
      <c r="C650" s="10" t="s">
        <v>1474</v>
      </c>
      <c r="D650" s="10" t="s">
        <v>1473</v>
      </c>
      <c r="E650" s="10">
        <v>1991</v>
      </c>
      <c r="F650" t="s">
        <v>2661</v>
      </c>
      <c r="G650" s="16" t="s">
        <v>1013</v>
      </c>
      <c r="H650" s="10" t="s">
        <v>17</v>
      </c>
      <c r="I650" s="10" t="s">
        <v>1479</v>
      </c>
      <c r="J650" s="10" t="s">
        <v>1475</v>
      </c>
      <c r="K650" s="10">
        <v>4</v>
      </c>
      <c r="L650" s="10">
        <v>4</v>
      </c>
      <c r="M650" s="53"/>
      <c r="N650" s="10">
        <v>2.88</v>
      </c>
      <c r="O650" s="10"/>
      <c r="P650" s="10">
        <v>2.16</v>
      </c>
      <c r="Q650" s="10"/>
      <c r="R650" s="10"/>
      <c r="S650" s="10"/>
      <c r="T650" s="10"/>
      <c r="U650" s="10"/>
      <c r="V650" s="10">
        <v>2.67</v>
      </c>
      <c r="W650" s="10"/>
      <c r="X650" s="10"/>
      <c r="Y650" s="10"/>
      <c r="Z650" s="10"/>
      <c r="AA650" s="10"/>
      <c r="AB650" s="10"/>
      <c r="AC650" s="10"/>
      <c r="AD650" s="10"/>
      <c r="AE650" s="10"/>
      <c r="AF650" s="10"/>
      <c r="AG650" s="10"/>
      <c r="AH650" s="10"/>
      <c r="AI650" s="14">
        <f>MIN(V650/N650,V650/P650)</f>
        <v>0.92708333333333337</v>
      </c>
      <c r="AJ650" s="10"/>
      <c r="AK650" s="10"/>
      <c r="AL650" s="10"/>
      <c r="AM650"/>
      <c r="AN650" s="10"/>
      <c r="AO650" s="10"/>
      <c r="AP650" s="10"/>
      <c r="AQ650" s="10">
        <v>175</v>
      </c>
      <c r="AR650" s="10" t="s">
        <v>14</v>
      </c>
      <c r="AS650" s="10"/>
      <c r="AT650" s="10" t="s">
        <v>3</v>
      </c>
      <c r="AU650" s="10" t="s">
        <v>2</v>
      </c>
      <c r="AV650" s="10" t="s">
        <v>3</v>
      </c>
      <c r="AW650" s="10" t="s">
        <v>1199</v>
      </c>
    </row>
    <row r="651" spans="1:49" s="12" customFormat="1" x14ac:dyDescent="0.3">
      <c r="A651" s="26" t="s">
        <v>1470</v>
      </c>
      <c r="B651" s="10" t="s">
        <v>441</v>
      </c>
      <c r="C651" s="10" t="s">
        <v>1474</v>
      </c>
      <c r="D651" s="10" t="s">
        <v>1473</v>
      </c>
      <c r="E651" s="10">
        <v>1991</v>
      </c>
      <c r="F651" t="s">
        <v>2661</v>
      </c>
      <c r="G651" s="16" t="s">
        <v>1013</v>
      </c>
      <c r="H651" s="10" t="s">
        <v>17</v>
      </c>
      <c r="I651" s="10" t="s">
        <v>1479</v>
      </c>
      <c r="J651" s="10" t="s">
        <v>1476</v>
      </c>
      <c r="K651" s="10">
        <v>4</v>
      </c>
      <c r="L651" s="10">
        <v>4</v>
      </c>
      <c r="M651" s="53"/>
      <c r="N651" s="10">
        <v>2.88</v>
      </c>
      <c r="O651" s="10"/>
      <c r="P651" s="10"/>
      <c r="Q651" s="10"/>
      <c r="R651" s="10"/>
      <c r="S651" s="10"/>
      <c r="T651" s="10"/>
      <c r="U651" s="10"/>
      <c r="V651" s="10">
        <v>1.33</v>
      </c>
      <c r="W651" s="10"/>
      <c r="X651" s="10"/>
      <c r="Y651" s="10"/>
      <c r="Z651" s="10"/>
      <c r="AA651" s="10"/>
      <c r="AB651" s="10"/>
      <c r="AC651" s="10"/>
      <c r="AD651" s="10"/>
      <c r="AE651" s="10"/>
      <c r="AF651" s="10"/>
      <c r="AG651" s="10"/>
      <c r="AH651" s="10"/>
      <c r="AI651" s="14">
        <f>V651/N651</f>
        <v>0.46180555555555558</v>
      </c>
      <c r="AJ651" s="10"/>
      <c r="AK651" s="10"/>
      <c r="AL651" s="10"/>
      <c r="AM651"/>
      <c r="AN651" s="10"/>
      <c r="AO651" s="10"/>
      <c r="AP651" s="10"/>
      <c r="AQ651" s="10">
        <v>175</v>
      </c>
      <c r="AR651" s="10" t="s">
        <v>14</v>
      </c>
      <c r="AS651" s="10"/>
      <c r="AT651" s="10" t="s">
        <v>3</v>
      </c>
      <c r="AU651" s="10" t="s">
        <v>2</v>
      </c>
      <c r="AV651" s="10" t="s">
        <v>3</v>
      </c>
      <c r="AW651" s="10" t="s">
        <v>1337</v>
      </c>
    </row>
    <row r="652" spans="1:49" s="12" customFormat="1" x14ac:dyDescent="0.3">
      <c r="A652" s="26" t="s">
        <v>1470</v>
      </c>
      <c r="B652" s="10" t="s">
        <v>441</v>
      </c>
      <c r="C652" s="10" t="s">
        <v>1474</v>
      </c>
      <c r="D652" s="10" t="s">
        <v>1473</v>
      </c>
      <c r="E652" s="10">
        <v>1991</v>
      </c>
      <c r="F652" t="s">
        <v>2661</v>
      </c>
      <c r="G652" s="16" t="s">
        <v>1013</v>
      </c>
      <c r="H652" s="10" t="s">
        <v>17</v>
      </c>
      <c r="I652" s="10" t="s">
        <v>1479</v>
      </c>
      <c r="J652" s="10" t="s">
        <v>1477</v>
      </c>
      <c r="K652" s="10">
        <v>4</v>
      </c>
      <c r="L652" s="10">
        <v>4</v>
      </c>
      <c r="M652" s="53"/>
      <c r="N652" s="10">
        <v>2.88</v>
      </c>
      <c r="O652" s="10"/>
      <c r="P652" s="10">
        <v>2.16</v>
      </c>
      <c r="Q652" s="10"/>
      <c r="R652" s="10"/>
      <c r="S652" s="10"/>
      <c r="T652" s="10"/>
      <c r="U652" s="10"/>
      <c r="V652" s="10">
        <v>2.83</v>
      </c>
      <c r="W652" s="10"/>
      <c r="X652" s="10"/>
      <c r="Y652" s="10"/>
      <c r="Z652" s="10"/>
      <c r="AA652" s="10"/>
      <c r="AB652" s="10"/>
      <c r="AC652" s="10"/>
      <c r="AD652" s="10"/>
      <c r="AE652" s="10"/>
      <c r="AF652" s="10"/>
      <c r="AG652" s="10"/>
      <c r="AH652" s="10"/>
      <c r="AI652" s="14">
        <f>MIN(V652/N652,V652/P652)</f>
        <v>0.98263888888888895</v>
      </c>
      <c r="AJ652" s="10"/>
      <c r="AK652" s="10"/>
      <c r="AL652" s="10"/>
      <c r="AM652"/>
      <c r="AN652" s="10"/>
      <c r="AO652" s="10"/>
      <c r="AP652" s="10"/>
      <c r="AQ652" s="10">
        <v>175</v>
      </c>
      <c r="AR652" s="10" t="s">
        <v>14</v>
      </c>
      <c r="AS652" s="10"/>
      <c r="AT652" s="10" t="s">
        <v>3</v>
      </c>
      <c r="AU652" s="10" t="s">
        <v>2</v>
      </c>
      <c r="AV652" s="10" t="s">
        <v>3</v>
      </c>
      <c r="AW652" s="10" t="s">
        <v>1199</v>
      </c>
    </row>
    <row r="653" spans="1:49" s="12" customFormat="1" x14ac:dyDescent="0.3">
      <c r="A653" s="26" t="s">
        <v>1470</v>
      </c>
      <c r="B653" s="10" t="s">
        <v>441</v>
      </c>
      <c r="C653" s="10" t="s">
        <v>1474</v>
      </c>
      <c r="D653" s="10" t="s">
        <v>1473</v>
      </c>
      <c r="E653" s="10">
        <v>1991</v>
      </c>
      <c r="F653" t="s">
        <v>2661</v>
      </c>
      <c r="G653" s="16" t="s">
        <v>1013</v>
      </c>
      <c r="H653" s="10" t="s">
        <v>17</v>
      </c>
      <c r="I653" s="10" t="s">
        <v>1479</v>
      </c>
      <c r="J653" s="10" t="s">
        <v>1478</v>
      </c>
      <c r="K653" s="10">
        <v>4</v>
      </c>
      <c r="L653" s="10">
        <v>4</v>
      </c>
      <c r="M653" s="53"/>
      <c r="N653" s="10">
        <v>2.16</v>
      </c>
      <c r="O653" s="10"/>
      <c r="P653" s="10"/>
      <c r="Q653" s="10"/>
      <c r="R653" s="10"/>
      <c r="S653" s="10"/>
      <c r="T653" s="10"/>
      <c r="U653" s="10"/>
      <c r="V653" s="10">
        <v>2.76</v>
      </c>
      <c r="W653" s="10"/>
      <c r="X653" s="10"/>
      <c r="Y653" s="10"/>
      <c r="Z653" s="10"/>
      <c r="AA653" s="10"/>
      <c r="AB653" s="10"/>
      <c r="AC653" s="10"/>
      <c r="AD653" s="10"/>
      <c r="AE653" s="10"/>
      <c r="AF653" s="10"/>
      <c r="AG653" s="10"/>
      <c r="AH653" s="10"/>
      <c r="AI653" s="14">
        <f>V653/N653</f>
        <v>1.2777777777777777</v>
      </c>
      <c r="AJ653" s="10"/>
      <c r="AK653" s="10"/>
      <c r="AL653" s="10"/>
      <c r="AM653"/>
      <c r="AN653" s="10"/>
      <c r="AO653" s="10"/>
      <c r="AP653" s="10"/>
      <c r="AQ653" s="10">
        <v>175</v>
      </c>
      <c r="AR653" s="10" t="s">
        <v>14</v>
      </c>
      <c r="AS653" s="10"/>
      <c r="AT653" s="10" t="s">
        <v>3</v>
      </c>
      <c r="AU653" s="10" t="s">
        <v>2</v>
      </c>
      <c r="AV653" s="10" t="s">
        <v>3</v>
      </c>
      <c r="AW653" s="10" t="s">
        <v>1337</v>
      </c>
    </row>
    <row r="654" spans="1:49" s="12" customFormat="1" x14ac:dyDescent="0.3">
      <c r="A654" s="26" t="s">
        <v>1470</v>
      </c>
      <c r="B654" s="10" t="s">
        <v>441</v>
      </c>
      <c r="C654" s="10" t="s">
        <v>1474</v>
      </c>
      <c r="D654" s="10" t="s">
        <v>1473</v>
      </c>
      <c r="E654" s="10">
        <v>1991</v>
      </c>
      <c r="F654" t="s">
        <v>2661</v>
      </c>
      <c r="G654" s="16" t="s">
        <v>1013</v>
      </c>
      <c r="H654" s="10" t="s">
        <v>17</v>
      </c>
      <c r="I654" s="10" t="s">
        <v>1483</v>
      </c>
      <c r="J654" s="10" t="s">
        <v>1475</v>
      </c>
      <c r="K654" s="10">
        <v>4</v>
      </c>
      <c r="L654" s="10">
        <v>4</v>
      </c>
      <c r="M654" s="53"/>
      <c r="N654" s="10">
        <v>0.93</v>
      </c>
      <c r="O654" s="10"/>
      <c r="P654" s="10">
        <v>1.73</v>
      </c>
      <c r="Q654" s="10"/>
      <c r="R654" s="10"/>
      <c r="S654" s="10"/>
      <c r="T654" s="10"/>
      <c r="U654" s="10"/>
      <c r="V654" s="10">
        <v>1.68</v>
      </c>
      <c r="W654" s="10"/>
      <c r="X654" s="10"/>
      <c r="Y654" s="10"/>
      <c r="Z654" s="10"/>
      <c r="AA654" s="10"/>
      <c r="AB654" s="10"/>
      <c r="AC654" s="10"/>
      <c r="AD654" s="10"/>
      <c r="AE654" s="10"/>
      <c r="AF654" s="10"/>
      <c r="AG654" s="10"/>
      <c r="AH654" s="10"/>
      <c r="AI654" s="14">
        <f>MIN(V654/N654,V654/P654)</f>
        <v>0.97109826589595372</v>
      </c>
      <c r="AJ654" s="10"/>
      <c r="AK654" s="10"/>
      <c r="AL654" s="10"/>
      <c r="AM654"/>
      <c r="AN654" s="10"/>
      <c r="AO654" s="10"/>
      <c r="AP654" s="10"/>
      <c r="AQ654" s="10">
        <v>0</v>
      </c>
      <c r="AR654" s="10" t="s">
        <v>308</v>
      </c>
      <c r="AS654" s="10"/>
      <c r="AT654" s="10" t="s">
        <v>3</v>
      </c>
      <c r="AU654" s="10" t="s">
        <v>2</v>
      </c>
      <c r="AV654" s="10" t="s">
        <v>3</v>
      </c>
      <c r="AW654" s="10" t="s">
        <v>1199</v>
      </c>
    </row>
    <row r="655" spans="1:49" s="12" customFormat="1" x14ac:dyDescent="0.3">
      <c r="A655" s="26" t="s">
        <v>1470</v>
      </c>
      <c r="B655" s="10" t="s">
        <v>441</v>
      </c>
      <c r="C655" s="10" t="s">
        <v>1474</v>
      </c>
      <c r="D655" s="10" t="s">
        <v>1473</v>
      </c>
      <c r="E655" s="10">
        <v>1991</v>
      </c>
      <c r="F655" t="s">
        <v>2661</v>
      </c>
      <c r="G655" s="16" t="s">
        <v>1013</v>
      </c>
      <c r="H655" s="10" t="s">
        <v>17</v>
      </c>
      <c r="I655" s="10" t="s">
        <v>1483</v>
      </c>
      <c r="J655" s="10" t="s">
        <v>1476</v>
      </c>
      <c r="K655" s="10">
        <v>4</v>
      </c>
      <c r="L655" s="10">
        <v>4</v>
      </c>
      <c r="M655" s="53"/>
      <c r="N655" s="10">
        <v>0.93</v>
      </c>
      <c r="O655" s="10"/>
      <c r="P655" s="10"/>
      <c r="Q655" s="10"/>
      <c r="R655" s="10"/>
      <c r="S655" s="10"/>
      <c r="T655" s="10"/>
      <c r="U655" s="10"/>
      <c r="V655" s="10">
        <v>0.5</v>
      </c>
      <c r="W655" s="10"/>
      <c r="X655" s="10"/>
      <c r="Y655" s="10"/>
      <c r="Z655" s="10"/>
      <c r="AA655" s="10"/>
      <c r="AB655" s="10"/>
      <c r="AC655" s="10"/>
      <c r="AD655" s="10"/>
      <c r="AE655" s="10"/>
      <c r="AF655" s="10"/>
      <c r="AG655" s="10"/>
      <c r="AH655" s="10"/>
      <c r="AI655" s="14">
        <f>V655/N655</f>
        <v>0.5376344086021505</v>
      </c>
      <c r="AJ655" s="10"/>
      <c r="AK655" s="10"/>
      <c r="AL655" s="10"/>
      <c r="AM655"/>
      <c r="AN655" s="10"/>
      <c r="AO655" s="10"/>
      <c r="AP655" s="10"/>
      <c r="AQ655" s="10">
        <v>0</v>
      </c>
      <c r="AR655" s="10" t="s">
        <v>308</v>
      </c>
      <c r="AS655" s="10"/>
      <c r="AT655" s="10" t="s">
        <v>3</v>
      </c>
      <c r="AU655" s="10" t="s">
        <v>2</v>
      </c>
      <c r="AV655" s="10" t="s">
        <v>3</v>
      </c>
      <c r="AW655" s="10" t="s">
        <v>1337</v>
      </c>
    </row>
    <row r="656" spans="1:49" s="12" customFormat="1" x14ac:dyDescent="0.3">
      <c r="A656" s="26" t="s">
        <v>1470</v>
      </c>
      <c r="B656" s="10" t="s">
        <v>441</v>
      </c>
      <c r="C656" s="10" t="s">
        <v>1474</v>
      </c>
      <c r="D656" s="10" t="s">
        <v>1473</v>
      </c>
      <c r="E656" s="10">
        <v>1991</v>
      </c>
      <c r="F656" t="s">
        <v>2661</v>
      </c>
      <c r="G656" s="16" t="s">
        <v>1013</v>
      </c>
      <c r="H656" s="10" t="s">
        <v>17</v>
      </c>
      <c r="I656" s="10" t="s">
        <v>1483</v>
      </c>
      <c r="J656" s="10" t="s">
        <v>1477</v>
      </c>
      <c r="K656" s="10">
        <v>4</v>
      </c>
      <c r="L656" s="10">
        <v>4</v>
      </c>
      <c r="M656" s="53"/>
      <c r="N656" s="10">
        <v>0.93</v>
      </c>
      <c r="O656" s="10"/>
      <c r="P656" s="10">
        <v>1.73</v>
      </c>
      <c r="Q656" s="10"/>
      <c r="R656" s="10"/>
      <c r="S656" s="10"/>
      <c r="T656" s="10"/>
      <c r="U656" s="10"/>
      <c r="V656" s="10">
        <v>1.63</v>
      </c>
      <c r="W656" s="10"/>
      <c r="X656" s="10"/>
      <c r="Y656" s="10"/>
      <c r="Z656" s="10"/>
      <c r="AA656" s="10"/>
      <c r="AB656" s="10"/>
      <c r="AC656" s="10"/>
      <c r="AD656" s="10"/>
      <c r="AE656" s="10"/>
      <c r="AF656" s="10"/>
      <c r="AG656" s="10"/>
      <c r="AH656" s="10"/>
      <c r="AI656" s="14">
        <f>MIN(V656/N656,V656/P656)</f>
        <v>0.94219653179190743</v>
      </c>
      <c r="AJ656" s="10"/>
      <c r="AK656" s="10"/>
      <c r="AL656" s="10"/>
      <c r="AM656"/>
      <c r="AN656" s="10"/>
      <c r="AO656" s="10"/>
      <c r="AP656" s="10"/>
      <c r="AQ656" s="10">
        <v>0</v>
      </c>
      <c r="AR656" s="10" t="s">
        <v>308</v>
      </c>
      <c r="AS656" s="10"/>
      <c r="AT656" s="10" t="s">
        <v>3</v>
      </c>
      <c r="AU656" s="10" t="s">
        <v>2</v>
      </c>
      <c r="AV656" s="10" t="s">
        <v>3</v>
      </c>
      <c r="AW656" s="10" t="s">
        <v>1199</v>
      </c>
    </row>
    <row r="657" spans="1:49" s="12" customFormat="1" x14ac:dyDescent="0.3">
      <c r="A657" s="26" t="s">
        <v>1470</v>
      </c>
      <c r="B657" s="10" t="s">
        <v>441</v>
      </c>
      <c r="C657" s="10" t="s">
        <v>1474</v>
      </c>
      <c r="D657" s="10" t="s">
        <v>1473</v>
      </c>
      <c r="E657" s="10">
        <v>1991</v>
      </c>
      <c r="F657" t="s">
        <v>2661</v>
      </c>
      <c r="G657" s="16" t="s">
        <v>1013</v>
      </c>
      <c r="H657" s="10" t="s">
        <v>17</v>
      </c>
      <c r="I657" s="10" t="s">
        <v>1483</v>
      </c>
      <c r="J657" s="10" t="s">
        <v>1478</v>
      </c>
      <c r="K657" s="10">
        <v>4</v>
      </c>
      <c r="L657" s="10">
        <v>4</v>
      </c>
      <c r="M657" s="53"/>
      <c r="N657" s="10">
        <v>1.73</v>
      </c>
      <c r="O657" s="10"/>
      <c r="P657" s="10"/>
      <c r="Q657" s="10"/>
      <c r="R657" s="10"/>
      <c r="S657" s="10"/>
      <c r="T657" s="10"/>
      <c r="U657" s="10"/>
      <c r="V657" s="10">
        <v>1.64</v>
      </c>
      <c r="W657" s="10"/>
      <c r="X657" s="10"/>
      <c r="Y657" s="10"/>
      <c r="Z657" s="10"/>
      <c r="AA657" s="10"/>
      <c r="AB657" s="10"/>
      <c r="AC657" s="10"/>
      <c r="AD657" s="10"/>
      <c r="AE657" s="10"/>
      <c r="AF657" s="10"/>
      <c r="AG657" s="10"/>
      <c r="AH657" s="10"/>
      <c r="AI657" s="14">
        <f>V657/N657</f>
        <v>0.94797687861271673</v>
      </c>
      <c r="AJ657" s="10"/>
      <c r="AK657" s="10"/>
      <c r="AL657" s="10"/>
      <c r="AM657"/>
      <c r="AN657" s="10"/>
      <c r="AO657" s="10"/>
      <c r="AP657" s="10"/>
      <c r="AQ657" s="10">
        <v>0</v>
      </c>
      <c r="AR657" s="10" t="s">
        <v>308</v>
      </c>
      <c r="AS657" s="10"/>
      <c r="AT657" s="10" t="s">
        <v>3</v>
      </c>
      <c r="AU657" s="10" t="s">
        <v>2</v>
      </c>
      <c r="AV657" s="10" t="s">
        <v>3</v>
      </c>
      <c r="AW657" s="10" t="s">
        <v>1337</v>
      </c>
    </row>
    <row r="658" spans="1:49" s="12" customFormat="1" x14ac:dyDescent="0.3">
      <c r="A658" s="26" t="s">
        <v>1470</v>
      </c>
      <c r="B658" s="10" t="s">
        <v>441</v>
      </c>
      <c r="C658" s="10" t="s">
        <v>1474</v>
      </c>
      <c r="D658" s="10" t="s">
        <v>1473</v>
      </c>
      <c r="E658" s="10">
        <v>1991</v>
      </c>
      <c r="F658" t="s">
        <v>2661</v>
      </c>
      <c r="G658" s="16" t="s">
        <v>1013</v>
      </c>
      <c r="H658" s="10" t="s">
        <v>17</v>
      </c>
      <c r="I658" s="10" t="s">
        <v>1484</v>
      </c>
      <c r="J658" s="10" t="s">
        <v>1475</v>
      </c>
      <c r="K658" s="10">
        <v>4</v>
      </c>
      <c r="L658" s="10">
        <v>4</v>
      </c>
      <c r="M658" s="53"/>
      <c r="N658" s="10">
        <v>1.81</v>
      </c>
      <c r="O658" s="10"/>
      <c r="P658" s="10">
        <v>1.72</v>
      </c>
      <c r="Q658" s="10"/>
      <c r="R658" s="10"/>
      <c r="S658" s="10"/>
      <c r="T658" s="10"/>
      <c r="U658" s="10"/>
      <c r="V658" s="10">
        <v>1.93</v>
      </c>
      <c r="W658" s="10"/>
      <c r="X658" s="10"/>
      <c r="Y658" s="10"/>
      <c r="Z658" s="10"/>
      <c r="AA658" s="10"/>
      <c r="AB658" s="10"/>
      <c r="AC658" s="10"/>
      <c r="AD658" s="10"/>
      <c r="AE658" s="10"/>
      <c r="AF658" s="10"/>
      <c r="AG658" s="10"/>
      <c r="AH658" s="10"/>
      <c r="AI658" s="14">
        <f>MIN(V658/N658,V658/P658)</f>
        <v>1.0662983425414363</v>
      </c>
      <c r="AJ658" s="10"/>
      <c r="AK658" s="10"/>
      <c r="AL658" s="10"/>
      <c r="AM658"/>
      <c r="AN658" s="10"/>
      <c r="AO658" s="10"/>
      <c r="AP658" s="10"/>
      <c r="AQ658" s="10">
        <v>175</v>
      </c>
      <c r="AR658" s="10" t="s">
        <v>14</v>
      </c>
      <c r="AS658" s="10"/>
      <c r="AT658" s="10" t="s">
        <v>3</v>
      </c>
      <c r="AU658" s="10" t="s">
        <v>2</v>
      </c>
      <c r="AV658" s="10" t="s">
        <v>3</v>
      </c>
      <c r="AW658" s="10" t="s">
        <v>1199</v>
      </c>
    </row>
    <row r="659" spans="1:49" s="12" customFormat="1" x14ac:dyDescent="0.3">
      <c r="A659" s="26" t="s">
        <v>1470</v>
      </c>
      <c r="B659" s="10" t="s">
        <v>441</v>
      </c>
      <c r="C659" s="10" t="s">
        <v>1474</v>
      </c>
      <c r="D659" s="10" t="s">
        <v>1473</v>
      </c>
      <c r="E659" s="10">
        <v>1991</v>
      </c>
      <c r="F659" t="s">
        <v>2661</v>
      </c>
      <c r="G659" s="16" t="s">
        <v>1013</v>
      </c>
      <c r="H659" s="10" t="s">
        <v>17</v>
      </c>
      <c r="I659" s="10" t="s">
        <v>1484</v>
      </c>
      <c r="J659" s="10" t="s">
        <v>1476</v>
      </c>
      <c r="K659" s="10">
        <v>4</v>
      </c>
      <c r="L659" s="10">
        <v>4</v>
      </c>
      <c r="M659" s="53"/>
      <c r="N659" s="10">
        <v>1.81</v>
      </c>
      <c r="O659" s="10"/>
      <c r="P659" s="10"/>
      <c r="Q659" s="10"/>
      <c r="R659" s="10"/>
      <c r="S659" s="10"/>
      <c r="T659" s="10"/>
      <c r="U659" s="10"/>
      <c r="V659" s="10">
        <v>1.93</v>
      </c>
      <c r="W659" s="10"/>
      <c r="X659" s="10"/>
      <c r="Y659" s="10"/>
      <c r="Z659" s="10"/>
      <c r="AA659" s="10"/>
      <c r="AB659" s="10"/>
      <c r="AC659" s="10"/>
      <c r="AD659" s="10"/>
      <c r="AE659" s="10"/>
      <c r="AF659" s="10"/>
      <c r="AG659" s="10"/>
      <c r="AH659" s="10"/>
      <c r="AI659" s="14">
        <f>V659/N659</f>
        <v>1.0662983425414363</v>
      </c>
      <c r="AJ659" s="10"/>
      <c r="AK659" s="10"/>
      <c r="AL659" s="10"/>
      <c r="AM659"/>
      <c r="AN659" s="10"/>
      <c r="AO659" s="10"/>
      <c r="AP659" s="10"/>
      <c r="AQ659" s="10">
        <v>175</v>
      </c>
      <c r="AR659" s="10" t="s">
        <v>14</v>
      </c>
      <c r="AS659" s="10"/>
      <c r="AT659" s="10" t="s">
        <v>3</v>
      </c>
      <c r="AU659" s="10" t="s">
        <v>2</v>
      </c>
      <c r="AV659" s="10" t="s">
        <v>3</v>
      </c>
      <c r="AW659" s="10" t="s">
        <v>1337</v>
      </c>
    </row>
    <row r="660" spans="1:49" s="12" customFormat="1" x14ac:dyDescent="0.3">
      <c r="A660" s="26" t="s">
        <v>1470</v>
      </c>
      <c r="B660" s="10" t="s">
        <v>441</v>
      </c>
      <c r="C660" s="10" t="s">
        <v>1474</v>
      </c>
      <c r="D660" s="10" t="s">
        <v>1473</v>
      </c>
      <c r="E660" s="10">
        <v>1991</v>
      </c>
      <c r="F660" t="s">
        <v>2661</v>
      </c>
      <c r="G660" s="16" t="s">
        <v>1013</v>
      </c>
      <c r="H660" s="10" t="s">
        <v>17</v>
      </c>
      <c r="I660" s="10" t="s">
        <v>1484</v>
      </c>
      <c r="J660" s="10" t="s">
        <v>1477</v>
      </c>
      <c r="K660" s="10">
        <v>4</v>
      </c>
      <c r="L660" s="10">
        <v>4</v>
      </c>
      <c r="M660" s="53"/>
      <c r="N660" s="10">
        <v>1.81</v>
      </c>
      <c r="O660" s="10"/>
      <c r="P660" s="10">
        <v>1.72</v>
      </c>
      <c r="Q660" s="10"/>
      <c r="R660" s="10"/>
      <c r="S660" s="10"/>
      <c r="T660" s="10"/>
      <c r="U660" s="10"/>
      <c r="V660" s="10">
        <v>1.67</v>
      </c>
      <c r="W660" s="10"/>
      <c r="X660" s="10"/>
      <c r="Y660" s="10"/>
      <c r="Z660" s="10"/>
      <c r="AA660" s="10"/>
      <c r="AB660" s="10"/>
      <c r="AC660" s="10"/>
      <c r="AD660" s="10"/>
      <c r="AE660" s="10"/>
      <c r="AF660" s="10"/>
      <c r="AG660" s="10"/>
      <c r="AH660" s="10"/>
      <c r="AI660" s="14">
        <f>MIN(V660/N660,V660/P660)</f>
        <v>0.92265193370165743</v>
      </c>
      <c r="AJ660" s="10"/>
      <c r="AK660" s="10"/>
      <c r="AL660" s="10"/>
      <c r="AM660"/>
      <c r="AN660" s="10"/>
      <c r="AO660" s="10"/>
      <c r="AP660" s="10"/>
      <c r="AQ660" s="10">
        <v>175</v>
      </c>
      <c r="AR660" s="10" t="s">
        <v>14</v>
      </c>
      <c r="AS660" s="10"/>
      <c r="AT660" s="10" t="s">
        <v>3</v>
      </c>
      <c r="AU660" s="10" t="s">
        <v>2</v>
      </c>
      <c r="AV660" s="10" t="s">
        <v>3</v>
      </c>
      <c r="AW660" s="10" t="s">
        <v>1199</v>
      </c>
    </row>
    <row r="661" spans="1:49" s="12" customFormat="1" x14ac:dyDescent="0.3">
      <c r="A661" s="26" t="s">
        <v>1470</v>
      </c>
      <c r="B661" s="10" t="s">
        <v>441</v>
      </c>
      <c r="C661" s="10" t="s">
        <v>1474</v>
      </c>
      <c r="D661" s="10" t="s">
        <v>1473</v>
      </c>
      <c r="E661" s="10">
        <v>1991</v>
      </c>
      <c r="F661" t="s">
        <v>2661</v>
      </c>
      <c r="G661" s="16" t="s">
        <v>1013</v>
      </c>
      <c r="H661" s="10" t="s">
        <v>17</v>
      </c>
      <c r="I661" s="10" t="s">
        <v>1484</v>
      </c>
      <c r="J661" s="10" t="s">
        <v>1478</v>
      </c>
      <c r="K661" s="10">
        <v>4</v>
      </c>
      <c r="L661" s="10">
        <v>4</v>
      </c>
      <c r="M661" s="53"/>
      <c r="N661" s="10">
        <v>1.72</v>
      </c>
      <c r="O661" s="10"/>
      <c r="P661" s="10"/>
      <c r="Q661" s="10"/>
      <c r="R661" s="10"/>
      <c r="S661" s="10"/>
      <c r="T661" s="10"/>
      <c r="U661" s="10"/>
      <c r="V661" s="10">
        <v>1.62</v>
      </c>
      <c r="W661" s="10"/>
      <c r="X661" s="10"/>
      <c r="Y661" s="10"/>
      <c r="Z661" s="10"/>
      <c r="AA661" s="10"/>
      <c r="AB661" s="10"/>
      <c r="AC661" s="10"/>
      <c r="AD661" s="10"/>
      <c r="AE661" s="10"/>
      <c r="AF661" s="10"/>
      <c r="AG661" s="10"/>
      <c r="AH661" s="10"/>
      <c r="AI661" s="14">
        <f>V661/N661</f>
        <v>0.94186046511627919</v>
      </c>
      <c r="AJ661" s="10"/>
      <c r="AK661" s="10"/>
      <c r="AL661" s="10"/>
      <c r="AM661"/>
      <c r="AN661" s="10"/>
      <c r="AO661" s="10"/>
      <c r="AP661" s="10"/>
      <c r="AQ661" s="10">
        <v>175</v>
      </c>
      <c r="AR661" s="10" t="s">
        <v>14</v>
      </c>
      <c r="AS661" s="10"/>
      <c r="AT661" s="10" t="s">
        <v>3</v>
      </c>
      <c r="AU661" s="10" t="s">
        <v>2</v>
      </c>
      <c r="AV661" s="10" t="s">
        <v>3</v>
      </c>
      <c r="AW661" s="10" t="s">
        <v>1337</v>
      </c>
    </row>
    <row r="662" spans="1:49" s="12" customFormat="1" x14ac:dyDescent="0.3">
      <c r="A662" s="26" t="s">
        <v>1470</v>
      </c>
      <c r="B662" s="10" t="s">
        <v>441</v>
      </c>
      <c r="C662" s="10" t="s">
        <v>1474</v>
      </c>
      <c r="D662" s="10" t="s">
        <v>1473</v>
      </c>
      <c r="E662" s="10">
        <v>1992</v>
      </c>
      <c r="F662" t="s">
        <v>2661</v>
      </c>
      <c r="G662" s="16" t="s">
        <v>1013</v>
      </c>
      <c r="H662" s="10" t="s">
        <v>17</v>
      </c>
      <c r="I662" s="10" t="s">
        <v>1481</v>
      </c>
      <c r="J662" s="10" t="s">
        <v>1475</v>
      </c>
      <c r="K662" s="10">
        <v>4</v>
      </c>
      <c r="L662" s="10">
        <v>4</v>
      </c>
      <c r="M662" s="53"/>
      <c r="N662" s="10">
        <v>1.43</v>
      </c>
      <c r="O662" s="10"/>
      <c r="P662" s="10">
        <v>3.49</v>
      </c>
      <c r="Q662" s="10"/>
      <c r="R662" s="10"/>
      <c r="S662" s="10"/>
      <c r="T662" s="10"/>
      <c r="U662" s="10"/>
      <c r="V662" s="10">
        <v>3.71</v>
      </c>
      <c r="W662" s="10"/>
      <c r="X662" s="10"/>
      <c r="Y662" s="10"/>
      <c r="Z662" s="10"/>
      <c r="AA662" s="10"/>
      <c r="AB662" s="10"/>
      <c r="AC662" s="10"/>
      <c r="AD662" s="10"/>
      <c r="AE662" s="10"/>
      <c r="AF662" s="10"/>
      <c r="AG662" s="10"/>
      <c r="AH662" s="10"/>
      <c r="AI662" s="14">
        <f>MIN(V662/N662,V662/P662)</f>
        <v>1.0630372492836675</v>
      </c>
      <c r="AJ662" s="10"/>
      <c r="AK662" s="10"/>
      <c r="AL662" s="10"/>
      <c r="AM662"/>
      <c r="AN662" s="10"/>
      <c r="AO662" s="10"/>
      <c r="AP662" s="10"/>
      <c r="AQ662" s="10">
        <v>0</v>
      </c>
      <c r="AR662" s="10" t="s">
        <v>308</v>
      </c>
      <c r="AS662" s="10"/>
      <c r="AT662" s="10" t="s">
        <v>3</v>
      </c>
      <c r="AU662" s="10" t="s">
        <v>2</v>
      </c>
      <c r="AV662" s="10" t="s">
        <v>3</v>
      </c>
      <c r="AW662" s="10" t="s">
        <v>1199</v>
      </c>
    </row>
    <row r="663" spans="1:49" s="12" customFormat="1" x14ac:dyDescent="0.3">
      <c r="A663" s="26" t="s">
        <v>1470</v>
      </c>
      <c r="B663" s="10" t="s">
        <v>441</v>
      </c>
      <c r="C663" s="10" t="s">
        <v>1474</v>
      </c>
      <c r="D663" s="10" t="s">
        <v>1473</v>
      </c>
      <c r="E663" s="10">
        <v>1992</v>
      </c>
      <c r="F663" t="s">
        <v>2661</v>
      </c>
      <c r="G663" s="16" t="s">
        <v>1013</v>
      </c>
      <c r="H663" s="10" t="s">
        <v>17</v>
      </c>
      <c r="I663" s="10" t="s">
        <v>1481</v>
      </c>
      <c r="J663" s="10" t="s">
        <v>1476</v>
      </c>
      <c r="K663" s="10">
        <v>4</v>
      </c>
      <c r="L663" s="10">
        <v>4</v>
      </c>
      <c r="M663" s="53"/>
      <c r="N663" s="10">
        <v>1.43</v>
      </c>
      <c r="O663" s="10"/>
      <c r="P663" s="10"/>
      <c r="Q663" s="10"/>
      <c r="R663" s="10"/>
      <c r="S663" s="10"/>
      <c r="T663" s="10"/>
      <c r="U663" s="10"/>
      <c r="V663" s="10">
        <v>3.31</v>
      </c>
      <c r="W663" s="10"/>
      <c r="X663" s="10"/>
      <c r="Y663" s="10"/>
      <c r="Z663" s="10"/>
      <c r="AA663" s="10"/>
      <c r="AB663" s="10"/>
      <c r="AC663" s="10"/>
      <c r="AD663" s="10"/>
      <c r="AE663" s="10"/>
      <c r="AF663" s="10"/>
      <c r="AG663" s="10"/>
      <c r="AH663" s="10"/>
      <c r="AI663" s="14">
        <f>V663/N663</f>
        <v>2.314685314685315</v>
      </c>
      <c r="AJ663" s="10"/>
      <c r="AK663" s="10"/>
      <c r="AL663" s="10"/>
      <c r="AM663"/>
      <c r="AN663" s="10"/>
      <c r="AO663" s="10"/>
      <c r="AP663" s="10"/>
      <c r="AQ663" s="10">
        <v>0</v>
      </c>
      <c r="AR663" s="10" t="s">
        <v>308</v>
      </c>
      <c r="AS663" s="10"/>
      <c r="AT663" s="10" t="s">
        <v>3</v>
      </c>
      <c r="AU663" s="10" t="s">
        <v>2</v>
      </c>
      <c r="AV663" s="10" t="s">
        <v>3</v>
      </c>
      <c r="AW663" s="10" t="s">
        <v>1337</v>
      </c>
    </row>
    <row r="664" spans="1:49" s="12" customFormat="1" x14ac:dyDescent="0.3">
      <c r="A664" s="26" t="s">
        <v>1470</v>
      </c>
      <c r="B664" s="10" t="s">
        <v>441</v>
      </c>
      <c r="C664" s="10" t="s">
        <v>1474</v>
      </c>
      <c r="D664" s="10" t="s">
        <v>1473</v>
      </c>
      <c r="E664" s="10">
        <v>1992</v>
      </c>
      <c r="F664" t="s">
        <v>2661</v>
      </c>
      <c r="G664" s="16" t="s">
        <v>1013</v>
      </c>
      <c r="H664" s="10" t="s">
        <v>17</v>
      </c>
      <c r="I664" s="10" t="s">
        <v>1481</v>
      </c>
      <c r="J664" s="10" t="s">
        <v>1477</v>
      </c>
      <c r="K664" s="10">
        <v>4</v>
      </c>
      <c r="L664" s="10">
        <v>4</v>
      </c>
      <c r="M664" s="53"/>
      <c r="N664" s="10">
        <v>1.43</v>
      </c>
      <c r="O664" s="10"/>
      <c r="P664" s="10">
        <v>3.49</v>
      </c>
      <c r="Q664" s="10"/>
      <c r="R664" s="10"/>
      <c r="S664" s="10"/>
      <c r="T664" s="10"/>
      <c r="U664" s="10"/>
      <c r="V664" s="10">
        <v>3.95</v>
      </c>
      <c r="W664" s="10"/>
      <c r="X664" s="10"/>
      <c r="Y664" s="10"/>
      <c r="Z664" s="10"/>
      <c r="AA664" s="10"/>
      <c r="AB664" s="10"/>
      <c r="AC664" s="10"/>
      <c r="AD664" s="10"/>
      <c r="AE664" s="10"/>
      <c r="AF664" s="10"/>
      <c r="AG664" s="10"/>
      <c r="AH664" s="10"/>
      <c r="AI664" s="14">
        <f>MIN(V664/N664,V664/P664)</f>
        <v>1.1318051575931232</v>
      </c>
      <c r="AJ664" s="10"/>
      <c r="AK664" s="10"/>
      <c r="AL664" s="10"/>
      <c r="AM664"/>
      <c r="AN664" s="10"/>
      <c r="AO664" s="10"/>
      <c r="AP664" s="10"/>
      <c r="AQ664" s="10">
        <v>0</v>
      </c>
      <c r="AR664" s="10" t="s">
        <v>308</v>
      </c>
      <c r="AS664" s="10"/>
      <c r="AT664" s="10" t="s">
        <v>3</v>
      </c>
      <c r="AU664" s="10" t="s">
        <v>2</v>
      </c>
      <c r="AV664" s="10" t="s">
        <v>3</v>
      </c>
      <c r="AW664" s="10" t="s">
        <v>1199</v>
      </c>
    </row>
    <row r="665" spans="1:49" s="12" customFormat="1" x14ac:dyDescent="0.3">
      <c r="A665" s="26" t="s">
        <v>1470</v>
      </c>
      <c r="B665" s="10" t="s">
        <v>441</v>
      </c>
      <c r="C665" s="10" t="s">
        <v>1474</v>
      </c>
      <c r="D665" s="10" t="s">
        <v>1473</v>
      </c>
      <c r="E665" s="10">
        <v>1992</v>
      </c>
      <c r="F665" t="s">
        <v>2661</v>
      </c>
      <c r="G665" s="16" t="s">
        <v>1013</v>
      </c>
      <c r="H665" s="10" t="s">
        <v>17</v>
      </c>
      <c r="I665" s="10" t="s">
        <v>1481</v>
      </c>
      <c r="J665" s="10" t="s">
        <v>1478</v>
      </c>
      <c r="K665" s="10">
        <v>4</v>
      </c>
      <c r="L665" s="10">
        <v>4</v>
      </c>
      <c r="M665" s="53"/>
      <c r="N665" s="10">
        <v>3.49</v>
      </c>
      <c r="O665" s="10"/>
      <c r="P665" s="10"/>
      <c r="Q665" s="10"/>
      <c r="R665" s="10"/>
      <c r="S665" s="10"/>
      <c r="T665" s="10"/>
      <c r="U665" s="10"/>
      <c r="V665" s="10">
        <v>4.28</v>
      </c>
      <c r="W665" s="10"/>
      <c r="X665" s="10"/>
      <c r="Y665" s="10"/>
      <c r="Z665" s="10"/>
      <c r="AA665" s="10"/>
      <c r="AB665" s="10"/>
      <c r="AC665" s="10"/>
      <c r="AD665" s="10"/>
      <c r="AE665" s="10"/>
      <c r="AF665" s="10"/>
      <c r="AG665" s="10"/>
      <c r="AH665" s="10"/>
      <c r="AI665" s="14">
        <f>V665/N665</f>
        <v>1.2263610315186246</v>
      </c>
      <c r="AJ665" s="10"/>
      <c r="AK665" s="10"/>
      <c r="AL665" s="10"/>
      <c r="AM665"/>
      <c r="AN665" s="10"/>
      <c r="AO665" s="10"/>
      <c r="AP665" s="10"/>
      <c r="AQ665" s="10">
        <v>0</v>
      </c>
      <c r="AR665" s="10" t="s">
        <v>308</v>
      </c>
      <c r="AS665" s="10"/>
      <c r="AT665" s="10" t="s">
        <v>3</v>
      </c>
      <c r="AU665" s="10" t="s">
        <v>2</v>
      </c>
      <c r="AV665" s="10" t="s">
        <v>3</v>
      </c>
      <c r="AW665" s="10" t="s">
        <v>1337</v>
      </c>
    </row>
    <row r="666" spans="1:49" s="12" customFormat="1" x14ac:dyDescent="0.3">
      <c r="A666" s="26" t="s">
        <v>1470</v>
      </c>
      <c r="B666" s="10" t="s">
        <v>441</v>
      </c>
      <c r="C666" s="10" t="s">
        <v>1474</v>
      </c>
      <c r="D666" s="10" t="s">
        <v>1473</v>
      </c>
      <c r="E666" s="10">
        <v>1992</v>
      </c>
      <c r="F666" t="s">
        <v>2661</v>
      </c>
      <c r="G666" s="16" t="s">
        <v>1013</v>
      </c>
      <c r="H666" s="10" t="s">
        <v>17</v>
      </c>
      <c r="I666" s="10" t="s">
        <v>1482</v>
      </c>
      <c r="J666" s="10" t="s">
        <v>1475</v>
      </c>
      <c r="K666" s="10">
        <v>4</v>
      </c>
      <c r="L666" s="10">
        <v>4</v>
      </c>
      <c r="M666" s="53"/>
      <c r="N666" s="10">
        <v>3.76</v>
      </c>
      <c r="O666" s="10"/>
      <c r="P666" s="10">
        <v>3.32</v>
      </c>
      <c r="Q666" s="10"/>
      <c r="R666" s="10"/>
      <c r="S666" s="10"/>
      <c r="T666" s="10"/>
      <c r="U666" s="10"/>
      <c r="V666" s="10">
        <v>3.68</v>
      </c>
      <c r="W666" s="10"/>
      <c r="X666" s="10"/>
      <c r="Y666" s="10"/>
      <c r="Z666" s="10"/>
      <c r="AA666" s="10"/>
      <c r="AB666" s="10"/>
      <c r="AC666" s="10"/>
      <c r="AD666" s="10"/>
      <c r="AE666" s="10"/>
      <c r="AF666" s="10"/>
      <c r="AG666" s="10"/>
      <c r="AH666" s="10"/>
      <c r="AI666" s="14">
        <f>MIN(V666/N666,V666/P666)</f>
        <v>0.97872340425531923</v>
      </c>
      <c r="AJ666" s="10"/>
      <c r="AK666" s="10"/>
      <c r="AL666" s="10"/>
      <c r="AM666"/>
      <c r="AN666" s="10"/>
      <c r="AO666" s="10"/>
      <c r="AP666" s="10"/>
      <c r="AQ666" s="10">
        <v>225</v>
      </c>
      <c r="AR666" s="10" t="s">
        <v>14</v>
      </c>
      <c r="AS666" s="10"/>
      <c r="AT666" s="10" t="s">
        <v>3</v>
      </c>
      <c r="AU666" s="10" t="s">
        <v>2</v>
      </c>
      <c r="AV666" s="10" t="s">
        <v>3</v>
      </c>
      <c r="AW666" s="10" t="s">
        <v>1199</v>
      </c>
    </row>
    <row r="667" spans="1:49" s="12" customFormat="1" x14ac:dyDescent="0.3">
      <c r="A667" s="26" t="s">
        <v>1470</v>
      </c>
      <c r="B667" s="10" t="s">
        <v>441</v>
      </c>
      <c r="C667" s="10" t="s">
        <v>1474</v>
      </c>
      <c r="D667" s="10" t="s">
        <v>1473</v>
      </c>
      <c r="E667" s="10">
        <v>1992</v>
      </c>
      <c r="F667" t="s">
        <v>2661</v>
      </c>
      <c r="G667" s="16" t="s">
        <v>1013</v>
      </c>
      <c r="H667" s="10" t="s">
        <v>17</v>
      </c>
      <c r="I667" s="10" t="s">
        <v>1482</v>
      </c>
      <c r="J667" s="10" t="s">
        <v>1476</v>
      </c>
      <c r="K667" s="10">
        <v>4</v>
      </c>
      <c r="L667" s="10">
        <v>4</v>
      </c>
      <c r="M667" s="53"/>
      <c r="N667" s="10">
        <v>3.76</v>
      </c>
      <c r="O667" s="10"/>
      <c r="P667" s="10"/>
      <c r="Q667" s="10"/>
      <c r="R667" s="10"/>
      <c r="S667" s="10"/>
      <c r="T667" s="10"/>
      <c r="U667" s="10"/>
      <c r="V667" s="10">
        <v>6.12</v>
      </c>
      <c r="W667" s="10"/>
      <c r="X667" s="10"/>
      <c r="Y667" s="10"/>
      <c r="Z667" s="10"/>
      <c r="AA667" s="10"/>
      <c r="AB667" s="10"/>
      <c r="AC667" s="10"/>
      <c r="AD667" s="10"/>
      <c r="AE667" s="10"/>
      <c r="AF667" s="10"/>
      <c r="AG667" s="10"/>
      <c r="AH667" s="10"/>
      <c r="AI667" s="14">
        <f>V667/N667</f>
        <v>1.6276595744680853</v>
      </c>
      <c r="AJ667" s="10"/>
      <c r="AK667" s="10"/>
      <c r="AL667" s="10"/>
      <c r="AM667"/>
      <c r="AN667" s="10"/>
      <c r="AO667" s="10"/>
      <c r="AP667" s="10"/>
      <c r="AQ667" s="10">
        <v>225</v>
      </c>
      <c r="AR667" s="10" t="s">
        <v>14</v>
      </c>
      <c r="AS667" s="10"/>
      <c r="AT667" s="10" t="s">
        <v>3</v>
      </c>
      <c r="AU667" s="10" t="s">
        <v>2</v>
      </c>
      <c r="AV667" s="10" t="s">
        <v>3</v>
      </c>
      <c r="AW667" s="10" t="s">
        <v>1337</v>
      </c>
    </row>
    <row r="668" spans="1:49" s="12" customFormat="1" x14ac:dyDescent="0.3">
      <c r="A668" s="26" t="s">
        <v>1470</v>
      </c>
      <c r="B668" s="10" t="s">
        <v>441</v>
      </c>
      <c r="C668" s="10" t="s">
        <v>1474</v>
      </c>
      <c r="D668" s="10" t="s">
        <v>1473</v>
      </c>
      <c r="E668" s="10">
        <v>1992</v>
      </c>
      <c r="F668" t="s">
        <v>2661</v>
      </c>
      <c r="G668" s="16" t="s">
        <v>1013</v>
      </c>
      <c r="H668" s="10" t="s">
        <v>17</v>
      </c>
      <c r="I668" s="10" t="s">
        <v>1482</v>
      </c>
      <c r="J668" s="10" t="s">
        <v>1477</v>
      </c>
      <c r="K668" s="10">
        <v>4</v>
      </c>
      <c r="L668" s="10">
        <v>4</v>
      </c>
      <c r="M668" s="53"/>
      <c r="N668" s="10">
        <v>3.76</v>
      </c>
      <c r="O668" s="10"/>
      <c r="P668" s="10">
        <v>3.32</v>
      </c>
      <c r="Q668" s="10"/>
      <c r="R668" s="10"/>
      <c r="S668" s="10"/>
      <c r="T668" s="10"/>
      <c r="U668" s="10"/>
      <c r="V668" s="10">
        <v>5.53</v>
      </c>
      <c r="W668" s="10"/>
      <c r="X668" s="10"/>
      <c r="Y668" s="10"/>
      <c r="Z668" s="10"/>
      <c r="AA668" s="10"/>
      <c r="AB668" s="10"/>
      <c r="AC668" s="10"/>
      <c r="AD668" s="10"/>
      <c r="AE668" s="10"/>
      <c r="AF668" s="10"/>
      <c r="AG668" s="10"/>
      <c r="AH668" s="10"/>
      <c r="AI668" s="14">
        <f>MIN(V668/N668,V668/P668)</f>
        <v>1.470744680851064</v>
      </c>
      <c r="AJ668" s="10"/>
      <c r="AK668" s="10"/>
      <c r="AL668" s="10"/>
      <c r="AM668"/>
      <c r="AN668" s="10"/>
      <c r="AO668" s="10"/>
      <c r="AP668" s="10"/>
      <c r="AQ668" s="10">
        <v>225</v>
      </c>
      <c r="AR668" s="10" t="s">
        <v>14</v>
      </c>
      <c r="AS668" s="10"/>
      <c r="AT668" s="10" t="s">
        <v>3</v>
      </c>
      <c r="AU668" s="10" t="s">
        <v>2</v>
      </c>
      <c r="AV668" s="10" t="s">
        <v>3</v>
      </c>
      <c r="AW668" s="10" t="s">
        <v>1199</v>
      </c>
    </row>
    <row r="669" spans="1:49" s="12" customFormat="1" x14ac:dyDescent="0.3">
      <c r="A669" s="26" t="s">
        <v>1470</v>
      </c>
      <c r="B669" s="10" t="s">
        <v>441</v>
      </c>
      <c r="C669" s="10" t="s">
        <v>1474</v>
      </c>
      <c r="D669" s="10" t="s">
        <v>1473</v>
      </c>
      <c r="E669" s="10">
        <v>1992</v>
      </c>
      <c r="F669" t="s">
        <v>2661</v>
      </c>
      <c r="G669" s="16" t="s">
        <v>1013</v>
      </c>
      <c r="H669" s="10" t="s">
        <v>17</v>
      </c>
      <c r="I669" s="10" t="s">
        <v>1482</v>
      </c>
      <c r="J669" s="10" t="s">
        <v>1478</v>
      </c>
      <c r="K669" s="10">
        <v>4</v>
      </c>
      <c r="L669" s="10">
        <v>4</v>
      </c>
      <c r="M669" s="53"/>
      <c r="N669" s="10">
        <v>3.32</v>
      </c>
      <c r="O669" s="10"/>
      <c r="P669" s="10"/>
      <c r="Q669" s="10"/>
      <c r="R669" s="10"/>
      <c r="S669" s="10"/>
      <c r="T669" s="10"/>
      <c r="U669" s="10"/>
      <c r="V669" s="10">
        <v>5.59</v>
      </c>
      <c r="W669" s="10"/>
      <c r="X669" s="10"/>
      <c r="Y669" s="10"/>
      <c r="Z669" s="10"/>
      <c r="AA669" s="10"/>
      <c r="AB669" s="10"/>
      <c r="AC669" s="10"/>
      <c r="AD669" s="10"/>
      <c r="AE669" s="10"/>
      <c r="AF669" s="10"/>
      <c r="AG669" s="10"/>
      <c r="AH669" s="10"/>
      <c r="AI669" s="14">
        <f>V669/N669</f>
        <v>1.6837349397590362</v>
      </c>
      <c r="AJ669" s="10"/>
      <c r="AK669" s="10"/>
      <c r="AL669" s="10"/>
      <c r="AM669"/>
      <c r="AN669" s="10"/>
      <c r="AO669" s="10"/>
      <c r="AP669" s="10"/>
      <c r="AQ669" s="10">
        <v>225</v>
      </c>
      <c r="AR669" s="10" t="s">
        <v>14</v>
      </c>
      <c r="AS669" s="10"/>
      <c r="AT669" s="10" t="s">
        <v>3</v>
      </c>
      <c r="AU669" s="10" t="s">
        <v>2</v>
      </c>
      <c r="AV669" s="10" t="s">
        <v>3</v>
      </c>
      <c r="AW669" s="10" t="s">
        <v>1337</v>
      </c>
    </row>
    <row r="670" spans="1:49" s="12" customFormat="1" x14ac:dyDescent="0.3">
      <c r="A670" s="26" t="s">
        <v>1470</v>
      </c>
      <c r="B670" s="10" t="s">
        <v>441</v>
      </c>
      <c r="C670" s="10" t="s">
        <v>1474</v>
      </c>
      <c r="D670" s="10" t="s">
        <v>1473</v>
      </c>
      <c r="E670" s="10">
        <v>1992</v>
      </c>
      <c r="F670" t="s">
        <v>2661</v>
      </c>
      <c r="G670" s="16" t="s">
        <v>1013</v>
      </c>
      <c r="H670" s="10" t="s">
        <v>17</v>
      </c>
      <c r="I670" s="10" t="s">
        <v>1480</v>
      </c>
      <c r="J670" s="10" t="s">
        <v>1475</v>
      </c>
      <c r="K670" s="10">
        <v>4</v>
      </c>
      <c r="L670" s="10">
        <v>4</v>
      </c>
      <c r="M670" s="53"/>
      <c r="N670" s="10">
        <v>1.01</v>
      </c>
      <c r="O670" s="10"/>
      <c r="P670" s="10">
        <v>3.8</v>
      </c>
      <c r="Q670" s="10"/>
      <c r="R670" s="10"/>
      <c r="S670" s="10"/>
      <c r="T670" s="10"/>
      <c r="U670" s="10"/>
      <c r="V670" s="10">
        <v>4.03</v>
      </c>
      <c r="W670" s="10"/>
      <c r="X670" s="10"/>
      <c r="Y670" s="10"/>
      <c r="Z670" s="10"/>
      <c r="AA670" s="10"/>
      <c r="AB670" s="10"/>
      <c r="AC670" s="10"/>
      <c r="AD670" s="10"/>
      <c r="AE670" s="10"/>
      <c r="AF670" s="10"/>
      <c r="AG670" s="10"/>
      <c r="AH670" s="10"/>
      <c r="AI670" s="14">
        <f>MIN(V670/N670,V670/P670)</f>
        <v>1.0605263157894738</v>
      </c>
      <c r="AJ670" s="10"/>
      <c r="AK670" s="10"/>
      <c r="AL670" s="10"/>
      <c r="AM670"/>
      <c r="AN670" s="10"/>
      <c r="AO670" s="10"/>
      <c r="AP670" s="10"/>
      <c r="AQ670" s="10">
        <v>0</v>
      </c>
      <c r="AR670" s="10" t="s">
        <v>308</v>
      </c>
      <c r="AS670" s="10"/>
      <c r="AT670" s="10" t="s">
        <v>3</v>
      </c>
      <c r="AU670" s="10" t="s">
        <v>2</v>
      </c>
      <c r="AV670" s="10" t="s">
        <v>3</v>
      </c>
      <c r="AW670" s="10" t="s">
        <v>1199</v>
      </c>
    </row>
    <row r="671" spans="1:49" s="12" customFormat="1" x14ac:dyDescent="0.3">
      <c r="A671" s="26" t="s">
        <v>1470</v>
      </c>
      <c r="B671" s="10" t="s">
        <v>441</v>
      </c>
      <c r="C671" s="10" t="s">
        <v>1474</v>
      </c>
      <c r="D671" s="10" t="s">
        <v>1473</v>
      </c>
      <c r="E671" s="10">
        <v>1992</v>
      </c>
      <c r="F671" t="s">
        <v>2661</v>
      </c>
      <c r="G671" s="16" t="s">
        <v>1013</v>
      </c>
      <c r="H671" s="10" t="s">
        <v>17</v>
      </c>
      <c r="I671" s="10" t="s">
        <v>1480</v>
      </c>
      <c r="J671" s="10" t="s">
        <v>1476</v>
      </c>
      <c r="K671" s="10">
        <v>4</v>
      </c>
      <c r="L671" s="10">
        <v>4</v>
      </c>
      <c r="M671" s="53"/>
      <c r="N671" s="10">
        <v>1.01</v>
      </c>
      <c r="O671" s="10"/>
      <c r="P671" s="10"/>
      <c r="Q671" s="10"/>
      <c r="R671" s="10"/>
      <c r="S671" s="10"/>
      <c r="T671" s="10"/>
      <c r="U671" s="10"/>
      <c r="V671" s="10">
        <v>0.65</v>
      </c>
      <c r="W671" s="10"/>
      <c r="X671" s="10"/>
      <c r="Y671" s="10"/>
      <c r="Z671" s="10"/>
      <c r="AA671" s="10"/>
      <c r="AB671" s="10"/>
      <c r="AC671" s="10"/>
      <c r="AD671" s="10"/>
      <c r="AE671" s="10"/>
      <c r="AF671" s="10"/>
      <c r="AG671" s="10"/>
      <c r="AH671" s="10"/>
      <c r="AI671" s="14">
        <f>V671/N671</f>
        <v>0.64356435643564358</v>
      </c>
      <c r="AJ671" s="10"/>
      <c r="AK671" s="10"/>
      <c r="AL671" s="10"/>
      <c r="AM671"/>
      <c r="AN671" s="10"/>
      <c r="AO671" s="10"/>
      <c r="AP671" s="10"/>
      <c r="AQ671" s="10">
        <v>0</v>
      </c>
      <c r="AR671" s="10" t="s">
        <v>308</v>
      </c>
      <c r="AS671" s="10"/>
      <c r="AT671" s="10" t="s">
        <v>3</v>
      </c>
      <c r="AU671" s="10" t="s">
        <v>2</v>
      </c>
      <c r="AV671" s="10" t="s">
        <v>3</v>
      </c>
      <c r="AW671" s="10" t="s">
        <v>1337</v>
      </c>
    </row>
    <row r="672" spans="1:49" s="12" customFormat="1" x14ac:dyDescent="0.3">
      <c r="A672" s="26" t="s">
        <v>1470</v>
      </c>
      <c r="B672" s="10" t="s">
        <v>441</v>
      </c>
      <c r="C672" s="10" t="s">
        <v>1474</v>
      </c>
      <c r="D672" s="10" t="s">
        <v>1473</v>
      </c>
      <c r="E672" s="10">
        <v>1992</v>
      </c>
      <c r="F672" t="s">
        <v>2661</v>
      </c>
      <c r="G672" s="16" t="s">
        <v>1013</v>
      </c>
      <c r="H672" s="10" t="s">
        <v>17</v>
      </c>
      <c r="I672" s="10" t="s">
        <v>1480</v>
      </c>
      <c r="J672" s="10" t="s">
        <v>1477</v>
      </c>
      <c r="K672" s="10">
        <v>4</v>
      </c>
      <c r="L672" s="10">
        <v>4</v>
      </c>
      <c r="M672" s="53"/>
      <c r="N672" s="10">
        <v>1.01</v>
      </c>
      <c r="O672" s="10"/>
      <c r="P672" s="10">
        <v>3.8</v>
      </c>
      <c r="Q672" s="10"/>
      <c r="R672" s="10"/>
      <c r="S672" s="10"/>
      <c r="T672" s="10"/>
      <c r="U672" s="10"/>
      <c r="V672" s="10">
        <v>3.22</v>
      </c>
      <c r="W672" s="10"/>
      <c r="X672" s="10"/>
      <c r="Y672" s="10"/>
      <c r="Z672" s="10"/>
      <c r="AA672" s="10"/>
      <c r="AB672" s="10"/>
      <c r="AC672" s="10"/>
      <c r="AD672" s="10"/>
      <c r="AE672" s="10"/>
      <c r="AF672" s="10"/>
      <c r="AG672" s="10"/>
      <c r="AH672" s="10"/>
      <c r="AI672" s="14">
        <f>MIN(V672/N672,V672/P672)</f>
        <v>0.84736842105263166</v>
      </c>
      <c r="AJ672" s="10"/>
      <c r="AK672" s="10"/>
      <c r="AL672" s="10"/>
      <c r="AM672"/>
      <c r="AN672" s="10"/>
      <c r="AO672" s="10"/>
      <c r="AP672" s="10"/>
      <c r="AQ672" s="10">
        <v>0</v>
      </c>
      <c r="AR672" s="10" t="s">
        <v>308</v>
      </c>
      <c r="AS672" s="10"/>
      <c r="AT672" s="10" t="s">
        <v>3</v>
      </c>
      <c r="AU672" s="10" t="s">
        <v>2</v>
      </c>
      <c r="AV672" s="10" t="s">
        <v>3</v>
      </c>
      <c r="AW672" s="10" t="s">
        <v>1199</v>
      </c>
    </row>
    <row r="673" spans="1:49" s="12" customFormat="1" x14ac:dyDescent="0.3">
      <c r="A673" s="26" t="s">
        <v>1470</v>
      </c>
      <c r="B673" s="10" t="s">
        <v>441</v>
      </c>
      <c r="C673" s="10" t="s">
        <v>1474</v>
      </c>
      <c r="D673" s="10" t="s">
        <v>1473</v>
      </c>
      <c r="E673" s="10">
        <v>1992</v>
      </c>
      <c r="F673" t="s">
        <v>2661</v>
      </c>
      <c r="G673" s="16" t="s">
        <v>1013</v>
      </c>
      <c r="H673" s="10" t="s">
        <v>17</v>
      </c>
      <c r="I673" s="10" t="s">
        <v>1480</v>
      </c>
      <c r="J673" s="10" t="s">
        <v>1478</v>
      </c>
      <c r="K673" s="10">
        <v>4</v>
      </c>
      <c r="L673" s="10">
        <v>4</v>
      </c>
      <c r="M673" s="53"/>
      <c r="N673" s="10">
        <v>3.8</v>
      </c>
      <c r="O673" s="10"/>
      <c r="P673" s="10"/>
      <c r="Q673" s="10"/>
      <c r="R673" s="10"/>
      <c r="S673" s="10"/>
      <c r="T673" s="10"/>
      <c r="U673" s="10"/>
      <c r="V673" s="10">
        <v>3.23</v>
      </c>
      <c r="W673" s="10"/>
      <c r="X673" s="10"/>
      <c r="Y673" s="10"/>
      <c r="Z673" s="10"/>
      <c r="AA673" s="10"/>
      <c r="AB673" s="10"/>
      <c r="AC673" s="10"/>
      <c r="AD673" s="10"/>
      <c r="AE673" s="10"/>
      <c r="AF673" s="10"/>
      <c r="AG673" s="10"/>
      <c r="AH673" s="10"/>
      <c r="AI673" s="14">
        <f>V673/N673</f>
        <v>0.85000000000000009</v>
      </c>
      <c r="AJ673" s="10"/>
      <c r="AK673" s="10"/>
      <c r="AL673" s="10"/>
      <c r="AM673"/>
      <c r="AN673" s="10"/>
      <c r="AO673" s="10"/>
      <c r="AP673" s="10"/>
      <c r="AQ673" s="10">
        <v>0</v>
      </c>
      <c r="AR673" s="10" t="s">
        <v>308</v>
      </c>
      <c r="AS673" s="10"/>
      <c r="AT673" s="10" t="s">
        <v>3</v>
      </c>
      <c r="AU673" s="10" t="s">
        <v>2</v>
      </c>
      <c r="AV673" s="10" t="s">
        <v>3</v>
      </c>
      <c r="AW673" s="10" t="s">
        <v>1337</v>
      </c>
    </row>
    <row r="674" spans="1:49" s="12" customFormat="1" x14ac:dyDescent="0.3">
      <c r="A674" s="26" t="s">
        <v>1470</v>
      </c>
      <c r="B674" s="10" t="s">
        <v>441</v>
      </c>
      <c r="C674" s="10" t="s">
        <v>1474</v>
      </c>
      <c r="D674" s="10" t="s">
        <v>1473</v>
      </c>
      <c r="E674" s="10">
        <v>1992</v>
      </c>
      <c r="F674" t="s">
        <v>2661</v>
      </c>
      <c r="G674" s="16" t="s">
        <v>1013</v>
      </c>
      <c r="H674" s="10" t="s">
        <v>17</v>
      </c>
      <c r="I674" s="10" t="s">
        <v>1479</v>
      </c>
      <c r="J674" s="10" t="s">
        <v>1475</v>
      </c>
      <c r="K674" s="10">
        <v>4</v>
      </c>
      <c r="L674" s="10">
        <v>4</v>
      </c>
      <c r="M674" s="53"/>
      <c r="N674" s="10">
        <v>3.43</v>
      </c>
      <c r="O674" s="10"/>
      <c r="P674" s="10">
        <v>3.64</v>
      </c>
      <c r="Q674" s="10"/>
      <c r="R674" s="10"/>
      <c r="S674" s="10"/>
      <c r="T674" s="10"/>
      <c r="U674" s="10"/>
      <c r="V674" s="10">
        <v>3.75</v>
      </c>
      <c r="W674" s="10"/>
      <c r="X674" s="10"/>
      <c r="Y674" s="10"/>
      <c r="Z674" s="10"/>
      <c r="AA674" s="10"/>
      <c r="AB674" s="10"/>
      <c r="AC674" s="10"/>
      <c r="AD674" s="10"/>
      <c r="AE674" s="10"/>
      <c r="AF674" s="10"/>
      <c r="AG674" s="10"/>
      <c r="AH674" s="10"/>
      <c r="AI674" s="14">
        <f>MIN(V674/N674,V674/P674)</f>
        <v>1.0302197802197801</v>
      </c>
      <c r="AJ674" s="10"/>
      <c r="AK674" s="10"/>
      <c r="AL674" s="10"/>
      <c r="AM674"/>
      <c r="AN674" s="10"/>
      <c r="AO674" s="10"/>
      <c r="AP674" s="10"/>
      <c r="AQ674" s="10">
        <v>225</v>
      </c>
      <c r="AR674" s="10" t="s">
        <v>14</v>
      </c>
      <c r="AS674" s="10"/>
      <c r="AT674" s="10" t="s">
        <v>3</v>
      </c>
      <c r="AU674" s="10" t="s">
        <v>2</v>
      </c>
      <c r="AV674" s="10" t="s">
        <v>3</v>
      </c>
      <c r="AW674" s="10" t="s">
        <v>1199</v>
      </c>
    </row>
    <row r="675" spans="1:49" s="12" customFormat="1" x14ac:dyDescent="0.3">
      <c r="A675" s="26" t="s">
        <v>1470</v>
      </c>
      <c r="B675" s="10" t="s">
        <v>441</v>
      </c>
      <c r="C675" s="10" t="s">
        <v>1474</v>
      </c>
      <c r="D675" s="10" t="s">
        <v>1473</v>
      </c>
      <c r="E675" s="10">
        <v>1992</v>
      </c>
      <c r="F675" t="s">
        <v>2661</v>
      </c>
      <c r="G675" s="16" t="s">
        <v>1013</v>
      </c>
      <c r="H675" s="10" t="s">
        <v>17</v>
      </c>
      <c r="I675" s="10" t="s">
        <v>1479</v>
      </c>
      <c r="J675" s="10" t="s">
        <v>1476</v>
      </c>
      <c r="K675" s="10">
        <v>4</v>
      </c>
      <c r="L675" s="10">
        <v>4</v>
      </c>
      <c r="M675" s="53"/>
      <c r="N675" s="10">
        <v>3.43</v>
      </c>
      <c r="O675" s="10"/>
      <c r="P675" s="10"/>
      <c r="Q675" s="10"/>
      <c r="R675" s="10"/>
      <c r="S675" s="10"/>
      <c r="T675" s="10"/>
      <c r="U675" s="10"/>
      <c r="V675" s="10">
        <v>2.34</v>
      </c>
      <c r="W675" s="10"/>
      <c r="X675" s="10"/>
      <c r="Y675" s="10"/>
      <c r="Z675" s="10"/>
      <c r="AA675" s="10"/>
      <c r="AB675" s="10"/>
      <c r="AC675" s="10"/>
      <c r="AD675" s="10"/>
      <c r="AE675" s="10"/>
      <c r="AF675" s="10"/>
      <c r="AG675" s="10"/>
      <c r="AH675" s="10"/>
      <c r="AI675" s="14">
        <f>V675/N675</f>
        <v>0.68221574344023317</v>
      </c>
      <c r="AJ675" s="10"/>
      <c r="AK675" s="10"/>
      <c r="AL675" s="10"/>
      <c r="AM675"/>
      <c r="AN675" s="10"/>
      <c r="AO675" s="10"/>
      <c r="AP675" s="10"/>
      <c r="AQ675" s="10">
        <v>225</v>
      </c>
      <c r="AR675" s="10" t="s">
        <v>14</v>
      </c>
      <c r="AS675" s="10"/>
      <c r="AT675" s="10" t="s">
        <v>3</v>
      </c>
      <c r="AU675" s="10" t="s">
        <v>2</v>
      </c>
      <c r="AV675" s="10" t="s">
        <v>3</v>
      </c>
      <c r="AW675" s="10" t="s">
        <v>1337</v>
      </c>
    </row>
    <row r="676" spans="1:49" s="12" customFormat="1" x14ac:dyDescent="0.3">
      <c r="A676" s="26" t="s">
        <v>1470</v>
      </c>
      <c r="B676" s="10" t="s">
        <v>441</v>
      </c>
      <c r="C676" s="10" t="s">
        <v>1474</v>
      </c>
      <c r="D676" s="10" t="s">
        <v>1473</v>
      </c>
      <c r="E676" s="10">
        <v>1992</v>
      </c>
      <c r="F676" t="s">
        <v>2661</v>
      </c>
      <c r="G676" s="16" t="s">
        <v>1013</v>
      </c>
      <c r="H676" s="10" t="s">
        <v>17</v>
      </c>
      <c r="I676" s="10" t="s">
        <v>1479</v>
      </c>
      <c r="J676" s="10" t="s">
        <v>1477</v>
      </c>
      <c r="K676" s="10">
        <v>4</v>
      </c>
      <c r="L676" s="10">
        <v>4</v>
      </c>
      <c r="M676" s="53"/>
      <c r="N676" s="10">
        <v>3.43</v>
      </c>
      <c r="O676" s="10"/>
      <c r="P676" s="10">
        <v>3.64</v>
      </c>
      <c r="Q676" s="10"/>
      <c r="R676" s="10"/>
      <c r="S676" s="10"/>
      <c r="T676" s="10"/>
      <c r="U676" s="10"/>
      <c r="V676" s="10">
        <v>2.99</v>
      </c>
      <c r="W676" s="10"/>
      <c r="X676" s="10"/>
      <c r="Y676" s="10"/>
      <c r="Z676" s="10"/>
      <c r="AA676" s="10"/>
      <c r="AB676" s="10"/>
      <c r="AC676" s="10"/>
      <c r="AD676" s="10"/>
      <c r="AE676" s="10"/>
      <c r="AF676" s="10"/>
      <c r="AG676" s="10"/>
      <c r="AH676" s="10"/>
      <c r="AI676" s="14">
        <f>MIN(V676/N676,V676/P676)</f>
        <v>0.82142857142857151</v>
      </c>
      <c r="AJ676" s="10"/>
      <c r="AK676" s="10"/>
      <c r="AL676" s="10"/>
      <c r="AM676"/>
      <c r="AN676" s="10"/>
      <c r="AO676" s="10"/>
      <c r="AP676" s="10"/>
      <c r="AQ676" s="10">
        <v>225</v>
      </c>
      <c r="AR676" s="10" t="s">
        <v>14</v>
      </c>
      <c r="AS676" s="10"/>
      <c r="AT676" s="10" t="s">
        <v>3</v>
      </c>
      <c r="AU676" s="10" t="s">
        <v>2</v>
      </c>
      <c r="AV676" s="10" t="s">
        <v>3</v>
      </c>
      <c r="AW676" s="10" t="s">
        <v>1199</v>
      </c>
    </row>
    <row r="677" spans="1:49" s="12" customFormat="1" x14ac:dyDescent="0.3">
      <c r="A677" s="26" t="s">
        <v>1470</v>
      </c>
      <c r="B677" s="10" t="s">
        <v>441</v>
      </c>
      <c r="C677" s="10" t="s">
        <v>1474</v>
      </c>
      <c r="D677" s="10" t="s">
        <v>1473</v>
      </c>
      <c r="E677" s="10">
        <v>1992</v>
      </c>
      <c r="F677" t="s">
        <v>2661</v>
      </c>
      <c r="G677" s="16" t="s">
        <v>1013</v>
      </c>
      <c r="H677" s="10" t="s">
        <v>17</v>
      </c>
      <c r="I677" s="10" t="s">
        <v>1479</v>
      </c>
      <c r="J677" s="10" t="s">
        <v>1478</v>
      </c>
      <c r="K677" s="10">
        <v>4</v>
      </c>
      <c r="L677" s="10">
        <v>4</v>
      </c>
      <c r="M677" s="53"/>
      <c r="N677" s="10">
        <v>3.64</v>
      </c>
      <c r="O677" s="10"/>
      <c r="P677" s="10"/>
      <c r="Q677" s="10"/>
      <c r="R677" s="10"/>
      <c r="S677" s="10"/>
      <c r="T677" s="10"/>
      <c r="U677" s="10"/>
      <c r="V677" s="10">
        <v>3.4</v>
      </c>
      <c r="W677" s="10"/>
      <c r="X677" s="10"/>
      <c r="Y677" s="10"/>
      <c r="Z677" s="10"/>
      <c r="AA677" s="10"/>
      <c r="AB677" s="10"/>
      <c r="AC677" s="10"/>
      <c r="AD677" s="10"/>
      <c r="AE677" s="10"/>
      <c r="AF677" s="10"/>
      <c r="AG677" s="10"/>
      <c r="AH677" s="10"/>
      <c r="AI677" s="14">
        <f>V677/N677</f>
        <v>0.93406593406593397</v>
      </c>
      <c r="AJ677" s="10"/>
      <c r="AK677" s="10"/>
      <c r="AL677" s="10"/>
      <c r="AM677"/>
      <c r="AN677" s="10"/>
      <c r="AO677" s="10"/>
      <c r="AP677" s="10"/>
      <c r="AQ677" s="10">
        <v>225</v>
      </c>
      <c r="AR677" s="10" t="s">
        <v>14</v>
      </c>
      <c r="AS677" s="10"/>
      <c r="AT677" s="10" t="s">
        <v>3</v>
      </c>
      <c r="AU677" s="10" t="s">
        <v>2</v>
      </c>
      <c r="AV677" s="10" t="s">
        <v>3</v>
      </c>
      <c r="AW677" s="10" t="s">
        <v>1337</v>
      </c>
    </row>
    <row r="678" spans="1:49" s="12" customFormat="1" x14ac:dyDescent="0.3">
      <c r="A678" s="26" t="s">
        <v>1470</v>
      </c>
      <c r="B678" s="10" t="s">
        <v>441</v>
      </c>
      <c r="C678" s="10" t="s">
        <v>1474</v>
      </c>
      <c r="D678" s="10" t="s">
        <v>1473</v>
      </c>
      <c r="E678" s="10">
        <v>1992</v>
      </c>
      <c r="F678" t="s">
        <v>2661</v>
      </c>
      <c r="G678" s="16" t="s">
        <v>1013</v>
      </c>
      <c r="H678" s="10" t="s">
        <v>17</v>
      </c>
      <c r="I678" s="10" t="s">
        <v>1483</v>
      </c>
      <c r="J678" s="10" t="s">
        <v>1475</v>
      </c>
      <c r="K678" s="10">
        <v>4</v>
      </c>
      <c r="L678" s="10">
        <v>4</v>
      </c>
      <c r="M678" s="53"/>
      <c r="N678" s="10">
        <v>0.66</v>
      </c>
      <c r="O678" s="10"/>
      <c r="P678" s="10">
        <v>2.33</v>
      </c>
      <c r="Q678" s="10"/>
      <c r="R678" s="10"/>
      <c r="S678" s="10"/>
      <c r="T678" s="10"/>
      <c r="U678" s="10"/>
      <c r="V678" s="10">
        <v>2.44</v>
      </c>
      <c r="W678" s="10"/>
      <c r="X678" s="10"/>
      <c r="Y678" s="10"/>
      <c r="Z678" s="10"/>
      <c r="AA678" s="10"/>
      <c r="AB678" s="10"/>
      <c r="AC678" s="10"/>
      <c r="AD678" s="10"/>
      <c r="AE678" s="10"/>
      <c r="AF678" s="10"/>
      <c r="AG678" s="10"/>
      <c r="AH678" s="10"/>
      <c r="AI678" s="14">
        <f>MIN(V678/N678,V678/P678)</f>
        <v>1.0472103004291844</v>
      </c>
      <c r="AJ678" s="10"/>
      <c r="AK678" s="10"/>
      <c r="AL678" s="10"/>
      <c r="AM678"/>
      <c r="AN678" s="10"/>
      <c r="AO678" s="10"/>
      <c r="AP678" s="10"/>
      <c r="AQ678" s="10">
        <v>0</v>
      </c>
      <c r="AR678" s="10" t="s">
        <v>308</v>
      </c>
      <c r="AS678" s="10"/>
      <c r="AT678" s="10" t="s">
        <v>3</v>
      </c>
      <c r="AU678" s="10" t="s">
        <v>2</v>
      </c>
      <c r="AV678" s="10" t="s">
        <v>3</v>
      </c>
      <c r="AW678" s="10" t="s">
        <v>1199</v>
      </c>
    </row>
    <row r="679" spans="1:49" s="12" customFormat="1" x14ac:dyDescent="0.3">
      <c r="A679" s="26" t="s">
        <v>1470</v>
      </c>
      <c r="B679" s="10" t="s">
        <v>441</v>
      </c>
      <c r="C679" s="10" t="s">
        <v>1474</v>
      </c>
      <c r="D679" s="10" t="s">
        <v>1473</v>
      </c>
      <c r="E679" s="10">
        <v>1992</v>
      </c>
      <c r="F679" t="s">
        <v>2661</v>
      </c>
      <c r="G679" s="16" t="s">
        <v>1013</v>
      </c>
      <c r="H679" s="10" t="s">
        <v>17</v>
      </c>
      <c r="I679" s="10" t="s">
        <v>1483</v>
      </c>
      <c r="J679" s="10" t="s">
        <v>1476</v>
      </c>
      <c r="K679" s="10">
        <v>4</v>
      </c>
      <c r="L679" s="10">
        <v>4</v>
      </c>
      <c r="M679" s="53"/>
      <c r="N679" s="10">
        <v>0.66</v>
      </c>
      <c r="O679" s="10"/>
      <c r="P679" s="10"/>
      <c r="Q679" s="10"/>
      <c r="R679" s="10"/>
      <c r="S679" s="10"/>
      <c r="T679" s="10"/>
      <c r="U679" s="10"/>
      <c r="V679" s="10">
        <v>0.47</v>
      </c>
      <c r="W679" s="10"/>
      <c r="X679" s="10"/>
      <c r="Y679" s="10"/>
      <c r="Z679" s="10"/>
      <c r="AA679" s="10"/>
      <c r="AB679" s="10"/>
      <c r="AC679" s="10"/>
      <c r="AD679" s="10"/>
      <c r="AE679" s="10"/>
      <c r="AF679" s="10"/>
      <c r="AG679" s="10"/>
      <c r="AH679" s="10"/>
      <c r="AI679" s="14">
        <f>V679/N679</f>
        <v>0.71212121212121204</v>
      </c>
      <c r="AJ679" s="10"/>
      <c r="AK679" s="10"/>
      <c r="AL679" s="10"/>
      <c r="AM679"/>
      <c r="AN679" s="10"/>
      <c r="AO679" s="10"/>
      <c r="AP679" s="10"/>
      <c r="AQ679" s="10">
        <v>0</v>
      </c>
      <c r="AR679" s="10" t="s">
        <v>308</v>
      </c>
      <c r="AS679" s="10"/>
      <c r="AT679" s="10" t="s">
        <v>3</v>
      </c>
      <c r="AU679" s="10" t="s">
        <v>2</v>
      </c>
      <c r="AV679" s="10" t="s">
        <v>3</v>
      </c>
      <c r="AW679" s="10" t="s">
        <v>1337</v>
      </c>
    </row>
    <row r="680" spans="1:49" s="12" customFormat="1" x14ac:dyDescent="0.3">
      <c r="A680" s="26" t="s">
        <v>1470</v>
      </c>
      <c r="B680" s="10" t="s">
        <v>441</v>
      </c>
      <c r="C680" s="10" t="s">
        <v>1474</v>
      </c>
      <c r="D680" s="10" t="s">
        <v>1473</v>
      </c>
      <c r="E680" s="10">
        <v>1992</v>
      </c>
      <c r="F680" t="s">
        <v>2661</v>
      </c>
      <c r="G680" s="16" t="s">
        <v>1013</v>
      </c>
      <c r="H680" s="10" t="s">
        <v>17</v>
      </c>
      <c r="I680" s="10" t="s">
        <v>1483</v>
      </c>
      <c r="J680" s="10" t="s">
        <v>1477</v>
      </c>
      <c r="K680" s="10">
        <v>4</v>
      </c>
      <c r="L680" s="10">
        <v>4</v>
      </c>
      <c r="M680" s="53"/>
      <c r="N680" s="10">
        <v>0.66</v>
      </c>
      <c r="O680" s="10"/>
      <c r="P680" s="10">
        <v>2.33</v>
      </c>
      <c r="Q680" s="10"/>
      <c r="R680" s="10"/>
      <c r="S680" s="10"/>
      <c r="T680" s="10"/>
      <c r="U680" s="10"/>
      <c r="V680" s="10">
        <v>2.11</v>
      </c>
      <c r="W680" s="10"/>
      <c r="X680" s="10"/>
      <c r="Y680" s="10"/>
      <c r="Z680" s="10"/>
      <c r="AA680" s="10"/>
      <c r="AB680" s="10"/>
      <c r="AC680" s="10"/>
      <c r="AD680" s="10"/>
      <c r="AE680" s="10"/>
      <c r="AF680" s="10"/>
      <c r="AG680" s="10"/>
      <c r="AH680" s="10"/>
      <c r="AI680" s="14">
        <f>MIN(V680/N680,V680/P680)</f>
        <v>0.90557939914163077</v>
      </c>
      <c r="AJ680" s="10"/>
      <c r="AK680" s="10"/>
      <c r="AL680" s="10"/>
      <c r="AM680"/>
      <c r="AN680" s="10"/>
      <c r="AO680" s="10"/>
      <c r="AP680" s="10"/>
      <c r="AQ680" s="10">
        <v>0</v>
      </c>
      <c r="AR680" s="10" t="s">
        <v>308</v>
      </c>
      <c r="AS680" s="10"/>
      <c r="AT680" s="10" t="s">
        <v>3</v>
      </c>
      <c r="AU680" s="10" t="s">
        <v>2</v>
      </c>
      <c r="AV680" s="10" t="s">
        <v>3</v>
      </c>
      <c r="AW680" s="10" t="s">
        <v>1199</v>
      </c>
    </row>
    <row r="681" spans="1:49" s="12" customFormat="1" x14ac:dyDescent="0.3">
      <c r="A681" s="26" t="s">
        <v>1470</v>
      </c>
      <c r="B681" s="10" t="s">
        <v>441</v>
      </c>
      <c r="C681" s="10" t="s">
        <v>1474</v>
      </c>
      <c r="D681" s="10" t="s">
        <v>1473</v>
      </c>
      <c r="E681" s="10">
        <v>1992</v>
      </c>
      <c r="F681" t="s">
        <v>2661</v>
      </c>
      <c r="G681" s="16" t="s">
        <v>1013</v>
      </c>
      <c r="H681" s="10" t="s">
        <v>17</v>
      </c>
      <c r="I681" s="10" t="s">
        <v>1483</v>
      </c>
      <c r="J681" s="10" t="s">
        <v>1478</v>
      </c>
      <c r="K681" s="10">
        <v>4</v>
      </c>
      <c r="L681" s="10">
        <v>4</v>
      </c>
      <c r="M681" s="53"/>
      <c r="N681" s="10">
        <v>2.33</v>
      </c>
      <c r="O681" s="10"/>
      <c r="P681" s="10"/>
      <c r="Q681" s="10"/>
      <c r="R681" s="10"/>
      <c r="S681" s="10"/>
      <c r="T681" s="10"/>
      <c r="U681" s="10"/>
      <c r="V681" s="10">
        <v>1.97</v>
      </c>
      <c r="W681" s="10"/>
      <c r="X681" s="10"/>
      <c r="Y681" s="10"/>
      <c r="Z681" s="10"/>
      <c r="AA681" s="10"/>
      <c r="AB681" s="10"/>
      <c r="AC681" s="10"/>
      <c r="AD681" s="10"/>
      <c r="AE681" s="10"/>
      <c r="AF681" s="10"/>
      <c r="AG681" s="10"/>
      <c r="AH681" s="10"/>
      <c r="AI681" s="14">
        <f>V681/N681</f>
        <v>0.84549356223175964</v>
      </c>
      <c r="AJ681" s="10"/>
      <c r="AK681" s="10"/>
      <c r="AL681" s="10"/>
      <c r="AM681"/>
      <c r="AN681" s="10"/>
      <c r="AO681" s="10"/>
      <c r="AP681" s="10"/>
      <c r="AQ681" s="10">
        <v>0</v>
      </c>
      <c r="AR681" s="10" t="s">
        <v>308</v>
      </c>
      <c r="AS681" s="10"/>
      <c r="AT681" s="10" t="s">
        <v>3</v>
      </c>
      <c r="AU681" s="10" t="s">
        <v>2</v>
      </c>
      <c r="AV681" s="10" t="s">
        <v>3</v>
      </c>
      <c r="AW681" s="10" t="s">
        <v>1337</v>
      </c>
    </row>
    <row r="682" spans="1:49" s="12" customFormat="1" x14ac:dyDescent="0.3">
      <c r="A682" s="26" t="s">
        <v>1470</v>
      </c>
      <c r="B682" s="10" t="s">
        <v>441</v>
      </c>
      <c r="C682" s="10" t="s">
        <v>1474</v>
      </c>
      <c r="D682" s="10" t="s">
        <v>1473</v>
      </c>
      <c r="E682" s="10">
        <v>1992</v>
      </c>
      <c r="F682" t="s">
        <v>2661</v>
      </c>
      <c r="G682" s="16" t="s">
        <v>1013</v>
      </c>
      <c r="H682" s="10" t="s">
        <v>17</v>
      </c>
      <c r="I682" s="10" t="s">
        <v>1484</v>
      </c>
      <c r="J682" s="10" t="s">
        <v>1475</v>
      </c>
      <c r="K682" s="10">
        <v>4</v>
      </c>
      <c r="L682" s="10">
        <v>4</v>
      </c>
      <c r="M682" s="53"/>
      <c r="N682" s="10">
        <v>3.6</v>
      </c>
      <c r="O682" s="10"/>
      <c r="P682" s="10">
        <v>2.35</v>
      </c>
      <c r="Q682" s="10"/>
      <c r="R682" s="10"/>
      <c r="S682" s="10"/>
      <c r="T682" s="10"/>
      <c r="U682" s="10"/>
      <c r="V682" s="10">
        <v>2.7</v>
      </c>
      <c r="W682" s="10"/>
      <c r="X682" s="10"/>
      <c r="Y682" s="10"/>
      <c r="Z682" s="10"/>
      <c r="AA682" s="10"/>
      <c r="AB682" s="10"/>
      <c r="AC682" s="10"/>
      <c r="AD682" s="10"/>
      <c r="AE682" s="10"/>
      <c r="AF682" s="10"/>
      <c r="AG682" s="10"/>
      <c r="AH682" s="10"/>
      <c r="AI682" s="14">
        <f>MIN(V682/N682,V682/P682)</f>
        <v>0.75</v>
      </c>
      <c r="AJ682" s="10"/>
      <c r="AK682" s="10"/>
      <c r="AL682" s="10"/>
      <c r="AM682"/>
      <c r="AN682" s="10"/>
      <c r="AO682" s="10"/>
      <c r="AP682" s="10"/>
      <c r="AQ682" s="10">
        <v>225</v>
      </c>
      <c r="AR682" s="10" t="s">
        <v>14</v>
      </c>
      <c r="AS682" s="10"/>
      <c r="AT682" s="10" t="s">
        <v>3</v>
      </c>
      <c r="AU682" s="10" t="s">
        <v>2</v>
      </c>
      <c r="AV682" s="10" t="s">
        <v>3</v>
      </c>
      <c r="AW682" s="10" t="s">
        <v>1199</v>
      </c>
    </row>
    <row r="683" spans="1:49" s="12" customFormat="1" x14ac:dyDescent="0.3">
      <c r="A683" s="26" t="s">
        <v>1470</v>
      </c>
      <c r="B683" s="10" t="s">
        <v>441</v>
      </c>
      <c r="C683" s="10" t="s">
        <v>1474</v>
      </c>
      <c r="D683" s="10" t="s">
        <v>1473</v>
      </c>
      <c r="E683" s="10">
        <v>1992</v>
      </c>
      <c r="F683" t="s">
        <v>2661</v>
      </c>
      <c r="G683" s="16" t="s">
        <v>1013</v>
      </c>
      <c r="H683" s="10" t="s">
        <v>17</v>
      </c>
      <c r="I683" s="10" t="s">
        <v>1484</v>
      </c>
      <c r="J683" s="10" t="s">
        <v>1476</v>
      </c>
      <c r="K683" s="10">
        <v>4</v>
      </c>
      <c r="L683" s="10">
        <v>4</v>
      </c>
      <c r="M683" s="53"/>
      <c r="N683" s="10">
        <v>3.6</v>
      </c>
      <c r="O683" s="10"/>
      <c r="P683" s="10"/>
      <c r="Q683" s="10"/>
      <c r="R683" s="10"/>
      <c r="S683" s="10"/>
      <c r="T683" s="10"/>
      <c r="U683" s="10"/>
      <c r="V683" s="10">
        <v>3</v>
      </c>
      <c r="W683" s="10"/>
      <c r="X683" s="10"/>
      <c r="Y683" s="10"/>
      <c r="Z683" s="10"/>
      <c r="AA683" s="10"/>
      <c r="AB683" s="10"/>
      <c r="AC683" s="10"/>
      <c r="AD683" s="10"/>
      <c r="AE683" s="10"/>
      <c r="AF683" s="10"/>
      <c r="AG683" s="10"/>
      <c r="AH683" s="10"/>
      <c r="AI683" s="14">
        <f>V683/N683</f>
        <v>0.83333333333333326</v>
      </c>
      <c r="AJ683" s="10"/>
      <c r="AK683" s="10"/>
      <c r="AL683" s="10"/>
      <c r="AM683"/>
      <c r="AN683" s="10"/>
      <c r="AO683" s="10"/>
      <c r="AP683" s="10"/>
      <c r="AQ683" s="10">
        <v>225</v>
      </c>
      <c r="AR683" s="10" t="s">
        <v>14</v>
      </c>
      <c r="AS683" s="10"/>
      <c r="AT683" s="10" t="s">
        <v>3</v>
      </c>
      <c r="AU683" s="10" t="s">
        <v>2</v>
      </c>
      <c r="AV683" s="10" t="s">
        <v>3</v>
      </c>
      <c r="AW683" s="10" t="s">
        <v>1337</v>
      </c>
    </row>
    <row r="684" spans="1:49" s="12" customFormat="1" x14ac:dyDescent="0.3">
      <c r="A684" s="26" t="s">
        <v>1470</v>
      </c>
      <c r="B684" s="10" t="s">
        <v>441</v>
      </c>
      <c r="C684" s="10" t="s">
        <v>1474</v>
      </c>
      <c r="D684" s="10" t="s">
        <v>1473</v>
      </c>
      <c r="E684" s="10">
        <v>1992</v>
      </c>
      <c r="F684" t="s">
        <v>2661</v>
      </c>
      <c r="G684" s="16" t="s">
        <v>1013</v>
      </c>
      <c r="H684" s="10" t="s">
        <v>17</v>
      </c>
      <c r="I684" s="10" t="s">
        <v>1484</v>
      </c>
      <c r="J684" s="10" t="s">
        <v>1477</v>
      </c>
      <c r="K684" s="10">
        <v>4</v>
      </c>
      <c r="L684" s="10">
        <v>4</v>
      </c>
      <c r="M684" s="53"/>
      <c r="N684" s="10">
        <v>3.6</v>
      </c>
      <c r="O684" s="10"/>
      <c r="P684" s="10">
        <v>2.35</v>
      </c>
      <c r="Q684" s="10"/>
      <c r="R684" s="10"/>
      <c r="S684" s="10"/>
      <c r="T684" s="10"/>
      <c r="U684" s="10"/>
      <c r="V684" s="10">
        <v>2.39</v>
      </c>
      <c r="W684" s="10"/>
      <c r="X684" s="10"/>
      <c r="Y684" s="10"/>
      <c r="Z684" s="10"/>
      <c r="AA684" s="10"/>
      <c r="AB684" s="10"/>
      <c r="AC684" s="10"/>
      <c r="AD684" s="10"/>
      <c r="AE684" s="10"/>
      <c r="AF684" s="10"/>
      <c r="AG684" s="10"/>
      <c r="AH684" s="10"/>
      <c r="AI684" s="14">
        <f>MIN(V684/N684,V684/P684)</f>
        <v>0.66388888888888886</v>
      </c>
      <c r="AJ684" s="10"/>
      <c r="AK684" s="10"/>
      <c r="AL684" s="10"/>
      <c r="AM684"/>
      <c r="AN684" s="10"/>
      <c r="AO684" s="10"/>
      <c r="AP684" s="10"/>
      <c r="AQ684" s="10">
        <v>225</v>
      </c>
      <c r="AR684" s="10" t="s">
        <v>14</v>
      </c>
      <c r="AS684" s="10"/>
      <c r="AT684" s="10" t="s">
        <v>3</v>
      </c>
      <c r="AU684" s="10" t="s">
        <v>2</v>
      </c>
      <c r="AV684" s="10" t="s">
        <v>3</v>
      </c>
      <c r="AW684" s="10" t="s">
        <v>1199</v>
      </c>
    </row>
    <row r="685" spans="1:49" s="12" customFormat="1" x14ac:dyDescent="0.3">
      <c r="A685" s="26" t="s">
        <v>1470</v>
      </c>
      <c r="B685" s="10" t="s">
        <v>441</v>
      </c>
      <c r="C685" s="10" t="s">
        <v>1474</v>
      </c>
      <c r="D685" s="10" t="s">
        <v>1473</v>
      </c>
      <c r="E685" s="10">
        <v>1992</v>
      </c>
      <c r="F685" t="s">
        <v>2661</v>
      </c>
      <c r="G685" s="16" t="s">
        <v>1013</v>
      </c>
      <c r="H685" s="10" t="s">
        <v>17</v>
      </c>
      <c r="I685" s="10" t="s">
        <v>1484</v>
      </c>
      <c r="J685" s="10" t="s">
        <v>1478</v>
      </c>
      <c r="K685" s="10">
        <v>4</v>
      </c>
      <c r="L685" s="10">
        <v>4</v>
      </c>
      <c r="M685" s="53"/>
      <c r="N685" s="10">
        <v>2.35</v>
      </c>
      <c r="O685" s="10"/>
      <c r="P685" s="10"/>
      <c r="Q685" s="10"/>
      <c r="R685" s="10"/>
      <c r="S685" s="10"/>
      <c r="T685" s="10"/>
      <c r="U685" s="10"/>
      <c r="V685" s="10">
        <v>1.71</v>
      </c>
      <c r="W685" s="10"/>
      <c r="X685" s="10"/>
      <c r="Y685" s="10"/>
      <c r="Z685" s="10"/>
      <c r="AA685" s="10"/>
      <c r="AB685" s="10"/>
      <c r="AC685" s="10"/>
      <c r="AD685" s="10"/>
      <c r="AE685" s="10"/>
      <c r="AF685" s="10"/>
      <c r="AG685" s="10"/>
      <c r="AH685" s="10"/>
      <c r="AI685" s="14">
        <f>V685/N685</f>
        <v>0.72765957446808505</v>
      </c>
      <c r="AJ685" s="10"/>
      <c r="AK685" s="10"/>
      <c r="AL685" s="10"/>
      <c r="AM685"/>
      <c r="AN685" s="10"/>
      <c r="AO685" s="10"/>
      <c r="AP685" s="10"/>
      <c r="AQ685" s="10">
        <v>225</v>
      </c>
      <c r="AR685" s="10" t="s">
        <v>14</v>
      </c>
      <c r="AS685" s="10"/>
      <c r="AT685" s="10" t="s">
        <v>3</v>
      </c>
      <c r="AU685" s="10" t="s">
        <v>2</v>
      </c>
      <c r="AV685" s="10" t="s">
        <v>3</v>
      </c>
      <c r="AW685" s="10" t="s">
        <v>1337</v>
      </c>
    </row>
    <row r="686" spans="1:49" s="12" customFormat="1" x14ac:dyDescent="0.3">
      <c r="A686" s="26" t="s">
        <v>1469</v>
      </c>
      <c r="B686" s="10" t="s">
        <v>441</v>
      </c>
      <c r="C686" s="10" t="s">
        <v>1485</v>
      </c>
      <c r="D686" s="10" t="s">
        <v>1486</v>
      </c>
      <c r="E686" s="10" t="s">
        <v>882</v>
      </c>
      <c r="F686" t="s">
        <v>2661</v>
      </c>
      <c r="G686" s="16" t="s">
        <v>6</v>
      </c>
      <c r="H686" s="10" t="s">
        <v>17</v>
      </c>
      <c r="I686" s="10"/>
      <c r="J686" s="10" t="s">
        <v>1487</v>
      </c>
      <c r="K686" s="10">
        <v>4</v>
      </c>
      <c r="L686" s="10">
        <v>4</v>
      </c>
      <c r="M686" s="53"/>
      <c r="N686" s="10">
        <v>9.9</v>
      </c>
      <c r="O686" s="10"/>
      <c r="P686" s="10"/>
      <c r="Q686" s="10"/>
      <c r="R686" s="10"/>
      <c r="S686" s="10"/>
      <c r="T686" s="10"/>
      <c r="U686" s="10"/>
      <c r="V686" s="10">
        <v>9.9</v>
      </c>
      <c r="W686" s="10"/>
      <c r="X686" s="10"/>
      <c r="Y686" s="10"/>
      <c r="Z686" s="10"/>
      <c r="AA686" s="10"/>
      <c r="AB686" s="10"/>
      <c r="AC686" s="10"/>
      <c r="AD686" s="10"/>
      <c r="AE686" s="10"/>
      <c r="AF686" s="10"/>
      <c r="AG686" s="10"/>
      <c r="AH686" s="10"/>
      <c r="AI686" s="14">
        <f>V686/N686</f>
        <v>1</v>
      </c>
      <c r="AJ686" s="10"/>
      <c r="AK686" s="10"/>
      <c r="AL686" s="10"/>
      <c r="AM686"/>
      <c r="AN686" s="10"/>
      <c r="AO686" s="10"/>
      <c r="AP686" s="10"/>
      <c r="AQ686" s="10">
        <v>0</v>
      </c>
      <c r="AR686" s="10" t="s">
        <v>308</v>
      </c>
      <c r="AS686" s="10"/>
      <c r="AT686" s="10" t="s">
        <v>3</v>
      </c>
      <c r="AU686" s="10" t="s">
        <v>2</v>
      </c>
      <c r="AV686" s="10" t="s">
        <v>3</v>
      </c>
      <c r="AW686" s="10" t="s">
        <v>1337</v>
      </c>
    </row>
    <row r="687" spans="1:49" s="12" customFormat="1" x14ac:dyDescent="0.3">
      <c r="A687" s="26" t="s">
        <v>1469</v>
      </c>
      <c r="B687" s="10" t="s">
        <v>441</v>
      </c>
      <c r="C687" s="10" t="s">
        <v>1485</v>
      </c>
      <c r="D687" s="10" t="s">
        <v>1486</v>
      </c>
      <c r="E687" s="10">
        <v>1993</v>
      </c>
      <c r="F687" t="s">
        <v>2661</v>
      </c>
      <c r="G687" s="16" t="s">
        <v>6</v>
      </c>
      <c r="H687" s="10" t="s">
        <v>17</v>
      </c>
      <c r="I687" s="10"/>
      <c r="J687" s="10" t="s">
        <v>1488</v>
      </c>
      <c r="K687" s="10">
        <v>4</v>
      </c>
      <c r="L687" s="10">
        <v>4</v>
      </c>
      <c r="M687" s="53"/>
      <c r="N687" s="10">
        <v>11.5</v>
      </c>
      <c r="O687" s="10"/>
      <c r="P687" s="10"/>
      <c r="Q687" s="10"/>
      <c r="R687" s="10"/>
      <c r="S687" s="10"/>
      <c r="T687" s="10"/>
      <c r="U687" s="10"/>
      <c r="V687" s="10">
        <v>11.7</v>
      </c>
      <c r="W687" s="10"/>
      <c r="X687" s="10"/>
      <c r="Y687" s="10"/>
      <c r="Z687" s="10"/>
      <c r="AA687" s="10"/>
      <c r="AB687" s="10"/>
      <c r="AC687" s="10"/>
      <c r="AD687" s="10"/>
      <c r="AE687" s="10"/>
      <c r="AF687" s="10"/>
      <c r="AG687" s="10"/>
      <c r="AH687" s="10"/>
      <c r="AI687" s="14">
        <f>V687/N687</f>
        <v>1.017391304347826</v>
      </c>
      <c r="AJ687" s="10"/>
      <c r="AK687" s="10"/>
      <c r="AL687" s="10"/>
      <c r="AM687"/>
      <c r="AN687" s="10"/>
      <c r="AO687" s="10"/>
      <c r="AP687" s="10"/>
      <c r="AQ687" s="10">
        <v>0</v>
      </c>
      <c r="AR687" s="10" t="s">
        <v>308</v>
      </c>
      <c r="AS687" s="10"/>
      <c r="AT687" s="10" t="s">
        <v>3</v>
      </c>
      <c r="AU687" s="10" t="s">
        <v>2</v>
      </c>
      <c r="AV687" s="10" t="s">
        <v>3</v>
      </c>
      <c r="AW687" s="10" t="s">
        <v>1337</v>
      </c>
    </row>
    <row r="688" spans="1:49" s="12" customFormat="1" x14ac:dyDescent="0.3">
      <c r="A688" s="26" t="s">
        <v>1469</v>
      </c>
      <c r="B688" s="10" t="s">
        <v>441</v>
      </c>
      <c r="C688" s="10" t="s">
        <v>1485</v>
      </c>
      <c r="D688" s="10" t="s">
        <v>1486</v>
      </c>
      <c r="E688" s="10" t="s">
        <v>882</v>
      </c>
      <c r="F688" t="s">
        <v>2661</v>
      </c>
      <c r="G688" s="16" t="s">
        <v>6</v>
      </c>
      <c r="H688" s="10" t="s">
        <v>17</v>
      </c>
      <c r="I688" s="10"/>
      <c r="J688" s="10" t="s">
        <v>1489</v>
      </c>
      <c r="K688" s="10">
        <v>4</v>
      </c>
      <c r="L688" s="10">
        <v>4</v>
      </c>
      <c r="M688" s="53"/>
      <c r="N688" s="10">
        <v>9.8000000000000007</v>
      </c>
      <c r="O688" s="10"/>
      <c r="P688" s="10"/>
      <c r="Q688" s="10"/>
      <c r="R688" s="10"/>
      <c r="S688" s="10"/>
      <c r="T688" s="10"/>
      <c r="U688" s="10"/>
      <c r="V688" s="10">
        <v>9.5</v>
      </c>
      <c r="W688" s="10"/>
      <c r="X688" s="10"/>
      <c r="Y688" s="10"/>
      <c r="Z688" s="10"/>
      <c r="AA688" s="10"/>
      <c r="AB688" s="10"/>
      <c r="AC688" s="10"/>
      <c r="AD688" s="10"/>
      <c r="AE688" s="10"/>
      <c r="AF688" s="10"/>
      <c r="AG688" s="10"/>
      <c r="AH688" s="10"/>
      <c r="AI688" s="14">
        <f>V688/N688</f>
        <v>0.96938775510204078</v>
      </c>
      <c r="AJ688" s="10"/>
      <c r="AK688" s="10"/>
      <c r="AL688" s="10"/>
      <c r="AM688"/>
      <c r="AN688" s="10"/>
      <c r="AO688" s="10"/>
      <c r="AP688" s="10"/>
      <c r="AQ688" s="10">
        <v>0</v>
      </c>
      <c r="AR688" s="10" t="s">
        <v>308</v>
      </c>
      <c r="AS688" s="10"/>
      <c r="AT688" s="10" t="s">
        <v>3</v>
      </c>
      <c r="AU688" s="10" t="s">
        <v>2</v>
      </c>
      <c r="AV688" s="10" t="s">
        <v>3</v>
      </c>
      <c r="AW688" s="10" t="s">
        <v>1337</v>
      </c>
    </row>
    <row r="689" spans="1:49" s="12" customFormat="1" x14ac:dyDescent="0.3">
      <c r="A689" s="26" t="s">
        <v>1469</v>
      </c>
      <c r="B689" s="10" t="s">
        <v>441</v>
      </c>
      <c r="C689" s="10" t="s">
        <v>1485</v>
      </c>
      <c r="D689" s="10" t="s">
        <v>1486</v>
      </c>
      <c r="E689" s="10" t="s">
        <v>882</v>
      </c>
      <c r="F689" t="s">
        <v>2661</v>
      </c>
      <c r="G689" s="16" t="s">
        <v>6</v>
      </c>
      <c r="H689" s="10" t="s">
        <v>17</v>
      </c>
      <c r="I689" s="10"/>
      <c r="J689" s="10" t="s">
        <v>1490</v>
      </c>
      <c r="K689" s="10">
        <v>4</v>
      </c>
      <c r="L689" s="10">
        <v>4</v>
      </c>
      <c r="M689" s="53"/>
      <c r="N689" s="10">
        <v>4.9000000000000004</v>
      </c>
      <c r="O689" s="10"/>
      <c r="P689" s="10"/>
      <c r="Q689" s="10"/>
      <c r="R689" s="10"/>
      <c r="S689" s="10"/>
      <c r="T689" s="10"/>
      <c r="U689" s="10"/>
      <c r="V689" s="10">
        <v>6.4</v>
      </c>
      <c r="W689" s="10"/>
      <c r="X689" s="10"/>
      <c r="Y689" s="10"/>
      <c r="Z689" s="10"/>
      <c r="AA689" s="10"/>
      <c r="AB689" s="10"/>
      <c r="AC689" s="10"/>
      <c r="AD689" s="10"/>
      <c r="AE689" s="10"/>
      <c r="AF689" s="10"/>
      <c r="AG689" s="10"/>
      <c r="AH689" s="10"/>
      <c r="AI689" s="14">
        <f>V689/N689</f>
        <v>1.3061224489795917</v>
      </c>
      <c r="AJ689" s="10"/>
      <c r="AK689" s="10"/>
      <c r="AL689" s="10"/>
      <c r="AM689"/>
      <c r="AN689" s="10"/>
      <c r="AO689" s="10"/>
      <c r="AP689" s="10"/>
      <c r="AQ689" s="10">
        <v>0</v>
      </c>
      <c r="AR689" s="10" t="s">
        <v>308</v>
      </c>
      <c r="AS689" s="10"/>
      <c r="AT689" s="10" t="s">
        <v>3</v>
      </c>
      <c r="AU689" s="10" t="s">
        <v>2</v>
      </c>
      <c r="AV689" s="10" t="s">
        <v>3</v>
      </c>
      <c r="AW689" s="10" t="s">
        <v>1337</v>
      </c>
    </row>
    <row r="690" spans="1:49" x14ac:dyDescent="0.3">
      <c r="A690" s="26" t="s">
        <v>1471</v>
      </c>
      <c r="B690" s="10" t="s">
        <v>441</v>
      </c>
      <c r="C690" s="10" t="s">
        <v>1374</v>
      </c>
      <c r="D690" s="10" t="s">
        <v>1375</v>
      </c>
      <c r="E690" s="10">
        <v>1987</v>
      </c>
      <c r="F690" t="s">
        <v>2661</v>
      </c>
      <c r="G690" s="16" t="s">
        <v>34</v>
      </c>
      <c r="H690" s="10" t="s">
        <v>17</v>
      </c>
      <c r="I690" s="10"/>
      <c r="J690" s="10" t="s">
        <v>1492</v>
      </c>
      <c r="K690" s="26">
        <v>9</v>
      </c>
      <c r="L690" s="26">
        <v>3</v>
      </c>
      <c r="N690" s="10">
        <v>8.48</v>
      </c>
      <c r="O690" s="10"/>
      <c r="P690" s="10">
        <v>3.96</v>
      </c>
      <c r="Q690" s="10"/>
      <c r="R690" s="10"/>
      <c r="S690" s="10"/>
      <c r="T690" s="10"/>
      <c r="U690" s="10"/>
      <c r="V690" s="10">
        <v>7.96</v>
      </c>
      <c r="W690" s="10"/>
      <c r="X690" s="10"/>
      <c r="Y690" s="10"/>
      <c r="Z690" s="10"/>
      <c r="AA690" s="10"/>
      <c r="AB690" s="10"/>
      <c r="AC690" s="10"/>
      <c r="AD690" s="10"/>
      <c r="AE690" s="10"/>
      <c r="AF690" s="10"/>
      <c r="AG690" s="10"/>
      <c r="AH690" s="10"/>
      <c r="AI690" s="14">
        <f t="shared" ref="AI690:AI705" si="91">MIN(V690/N690,V690/P690)</f>
        <v>0.93867924528301883</v>
      </c>
      <c r="AJ690" s="10"/>
      <c r="AK690" s="10"/>
      <c r="AL690" s="10"/>
      <c r="AN690" s="10"/>
      <c r="AO690" s="10"/>
      <c r="AP690" s="10"/>
      <c r="AQ690" s="10">
        <v>122</v>
      </c>
      <c r="AR690" s="10" t="s">
        <v>14</v>
      </c>
      <c r="AS690" s="10"/>
      <c r="AT690" s="10" t="s">
        <v>2</v>
      </c>
      <c r="AU690" s="10" t="s">
        <v>2</v>
      </c>
      <c r="AV690" s="10" t="s">
        <v>3</v>
      </c>
      <c r="AW690" s="10" t="s">
        <v>1199</v>
      </c>
    </row>
    <row r="691" spans="1:49" x14ac:dyDescent="0.3">
      <c r="A691" s="26" t="s">
        <v>1471</v>
      </c>
      <c r="B691" s="10" t="s">
        <v>441</v>
      </c>
      <c r="C691" s="10" t="s">
        <v>1374</v>
      </c>
      <c r="D691" s="10" t="s">
        <v>1375</v>
      </c>
      <c r="E691" s="10">
        <v>1988</v>
      </c>
      <c r="F691" t="s">
        <v>2661</v>
      </c>
      <c r="G691" s="16" t="s">
        <v>34</v>
      </c>
      <c r="H691" s="10" t="s">
        <v>17</v>
      </c>
      <c r="I691" s="10"/>
      <c r="J691" s="10" t="s">
        <v>1492</v>
      </c>
      <c r="K691" s="26">
        <v>9</v>
      </c>
      <c r="L691" s="26">
        <v>3</v>
      </c>
      <c r="N691" s="10">
        <v>7.39</v>
      </c>
      <c r="O691" s="10"/>
      <c r="P691" s="10">
        <v>5.12</v>
      </c>
      <c r="Q691" s="10"/>
      <c r="R691" s="10"/>
      <c r="S691" s="10"/>
      <c r="T691" s="10"/>
      <c r="U691" s="10"/>
      <c r="V691" s="10">
        <v>7.35</v>
      </c>
      <c r="W691" s="10"/>
      <c r="X691" s="10"/>
      <c r="Y691" s="10"/>
      <c r="Z691" s="10"/>
      <c r="AA691" s="10"/>
      <c r="AB691" s="10"/>
      <c r="AC691" s="10"/>
      <c r="AD691" s="10"/>
      <c r="AE691" s="10"/>
      <c r="AF691" s="10"/>
      <c r="AG691" s="10"/>
      <c r="AH691" s="10"/>
      <c r="AI691" s="14">
        <f t="shared" si="91"/>
        <v>0.99458728010825437</v>
      </c>
      <c r="AJ691" s="10"/>
      <c r="AK691" s="10"/>
      <c r="AL691" s="10"/>
      <c r="AN691" s="10"/>
      <c r="AO691" s="10"/>
      <c r="AP691" s="10"/>
      <c r="AQ691" s="10">
        <v>122</v>
      </c>
      <c r="AR691" s="10" t="s">
        <v>14</v>
      </c>
      <c r="AS691" s="10"/>
      <c r="AT691" s="10" t="s">
        <v>2</v>
      </c>
      <c r="AU691" s="10" t="s">
        <v>2</v>
      </c>
      <c r="AV691" s="10" t="s">
        <v>3</v>
      </c>
      <c r="AW691" s="10" t="s">
        <v>1199</v>
      </c>
    </row>
    <row r="692" spans="1:49" x14ac:dyDescent="0.3">
      <c r="A692" s="26" t="s">
        <v>1471</v>
      </c>
      <c r="B692" s="10" t="s">
        <v>441</v>
      </c>
      <c r="C692" s="10" t="s">
        <v>1374</v>
      </c>
      <c r="D692" s="10" t="s">
        <v>1375</v>
      </c>
      <c r="E692" s="10">
        <v>1987</v>
      </c>
      <c r="F692" t="s">
        <v>2661</v>
      </c>
      <c r="G692" s="16" t="s">
        <v>34</v>
      </c>
      <c r="H692" s="10" t="s">
        <v>17</v>
      </c>
      <c r="I692" s="10"/>
      <c r="J692" s="10" t="s">
        <v>1493</v>
      </c>
      <c r="K692" s="26">
        <v>9</v>
      </c>
      <c r="L692" s="26">
        <v>3</v>
      </c>
      <c r="N692" s="10">
        <v>8.48</v>
      </c>
      <c r="O692" s="10"/>
      <c r="P692" s="10">
        <v>3.53</v>
      </c>
      <c r="Q692" s="10"/>
      <c r="R692" s="10"/>
      <c r="S692" s="10"/>
      <c r="T692" s="10"/>
      <c r="U692" s="10"/>
      <c r="V692" s="10">
        <v>7.38</v>
      </c>
      <c r="W692" s="10"/>
      <c r="X692" s="10"/>
      <c r="Y692" s="10"/>
      <c r="Z692" s="10"/>
      <c r="AA692" s="10"/>
      <c r="AB692" s="10"/>
      <c r="AC692" s="10"/>
      <c r="AD692" s="10"/>
      <c r="AE692" s="10"/>
      <c r="AF692" s="10"/>
      <c r="AG692" s="10"/>
      <c r="AH692" s="10"/>
      <c r="AI692" s="14">
        <f t="shared" si="91"/>
        <v>0.87028301886792447</v>
      </c>
      <c r="AJ692" s="10"/>
      <c r="AK692" s="10"/>
      <c r="AL692" s="10"/>
      <c r="AN692" s="10"/>
      <c r="AO692" s="10"/>
      <c r="AP692" s="10"/>
      <c r="AQ692" s="10">
        <v>122</v>
      </c>
      <c r="AR692" s="10" t="s">
        <v>14</v>
      </c>
      <c r="AS692" s="10"/>
      <c r="AT692" s="10" t="s">
        <v>2</v>
      </c>
      <c r="AU692" s="10" t="s">
        <v>2</v>
      </c>
      <c r="AV692" s="10" t="s">
        <v>3</v>
      </c>
      <c r="AW692" s="10" t="s">
        <v>1199</v>
      </c>
    </row>
    <row r="693" spans="1:49" x14ac:dyDescent="0.3">
      <c r="A693" s="26" t="s">
        <v>1471</v>
      </c>
      <c r="B693" s="10" t="s">
        <v>441</v>
      </c>
      <c r="C693" s="10" t="s">
        <v>1374</v>
      </c>
      <c r="D693" s="10" t="s">
        <v>1375</v>
      </c>
      <c r="E693" s="10">
        <v>1988</v>
      </c>
      <c r="F693" t="s">
        <v>2661</v>
      </c>
      <c r="G693" s="16" t="s">
        <v>34</v>
      </c>
      <c r="H693" s="10" t="s">
        <v>17</v>
      </c>
      <c r="I693" s="10"/>
      <c r="J693" s="10" t="s">
        <v>1493</v>
      </c>
      <c r="K693" s="26">
        <v>9</v>
      </c>
      <c r="L693" s="26">
        <v>3</v>
      </c>
      <c r="N693" s="10">
        <v>7.39</v>
      </c>
      <c r="O693" s="10"/>
      <c r="P693" s="10">
        <v>5.08</v>
      </c>
      <c r="Q693" s="10"/>
      <c r="R693" s="10"/>
      <c r="S693" s="10"/>
      <c r="T693" s="10"/>
      <c r="U693" s="10"/>
      <c r="V693" s="10">
        <v>6.65</v>
      </c>
      <c r="W693" s="10"/>
      <c r="X693" s="10"/>
      <c r="Y693" s="10"/>
      <c r="Z693" s="10"/>
      <c r="AA693" s="10"/>
      <c r="AB693" s="10"/>
      <c r="AC693" s="10"/>
      <c r="AD693" s="10"/>
      <c r="AE693" s="10"/>
      <c r="AF693" s="10"/>
      <c r="AG693" s="10"/>
      <c r="AH693" s="10"/>
      <c r="AI693" s="14">
        <f t="shared" si="91"/>
        <v>0.89986468200270642</v>
      </c>
      <c r="AJ693" s="10"/>
      <c r="AK693" s="10"/>
      <c r="AL693" s="10"/>
      <c r="AN693" s="10"/>
      <c r="AO693" s="10"/>
      <c r="AP693" s="10"/>
      <c r="AQ693" s="10">
        <v>122</v>
      </c>
      <c r="AR693" s="10" t="s">
        <v>14</v>
      </c>
      <c r="AS693" s="10"/>
      <c r="AT693" s="10" t="s">
        <v>2</v>
      </c>
      <c r="AU693" s="10" t="s">
        <v>2</v>
      </c>
      <c r="AV693" s="10" t="s">
        <v>3</v>
      </c>
      <c r="AW693" s="10" t="s">
        <v>1199</v>
      </c>
    </row>
    <row r="694" spans="1:49" x14ac:dyDescent="0.3">
      <c r="A694" s="26" t="s">
        <v>1471</v>
      </c>
      <c r="B694" s="10" t="s">
        <v>441</v>
      </c>
      <c r="C694" s="10" t="s">
        <v>1374</v>
      </c>
      <c r="D694" s="10" t="s">
        <v>1375</v>
      </c>
      <c r="E694" s="10">
        <v>1987</v>
      </c>
      <c r="F694" t="s">
        <v>2661</v>
      </c>
      <c r="G694" s="16" t="s">
        <v>34</v>
      </c>
      <c r="H694" s="10" t="s">
        <v>17</v>
      </c>
      <c r="I694" s="10"/>
      <c r="J694" s="10" t="s">
        <v>1494</v>
      </c>
      <c r="K694" s="26">
        <v>9</v>
      </c>
      <c r="L694" s="26">
        <v>3</v>
      </c>
      <c r="N694" s="10">
        <v>6.7</v>
      </c>
      <c r="O694" s="10"/>
      <c r="P694" s="10">
        <v>3.96</v>
      </c>
      <c r="Q694" s="10"/>
      <c r="R694" s="10"/>
      <c r="S694" s="10"/>
      <c r="T694" s="10"/>
      <c r="U694" s="10"/>
      <c r="V694" s="10">
        <v>6.46</v>
      </c>
      <c r="W694" s="10"/>
      <c r="X694" s="10"/>
      <c r="Y694" s="10"/>
      <c r="Z694" s="10"/>
      <c r="AA694" s="10"/>
      <c r="AB694" s="10"/>
      <c r="AC694" s="10"/>
      <c r="AD694" s="10"/>
      <c r="AE694" s="10"/>
      <c r="AF694" s="10"/>
      <c r="AG694" s="10"/>
      <c r="AH694" s="10"/>
      <c r="AI694" s="14">
        <f t="shared" si="91"/>
        <v>0.9641791044776119</v>
      </c>
      <c r="AJ694" s="10"/>
      <c r="AK694" s="10"/>
      <c r="AL694" s="10"/>
      <c r="AN694" s="10"/>
      <c r="AO694" s="10"/>
      <c r="AP694" s="10"/>
      <c r="AQ694" s="10">
        <v>122</v>
      </c>
      <c r="AR694" s="10" t="s">
        <v>14</v>
      </c>
      <c r="AS694" s="10"/>
      <c r="AT694" s="10" t="s">
        <v>2</v>
      </c>
      <c r="AU694" s="10" t="s">
        <v>2</v>
      </c>
      <c r="AV694" s="10" t="s">
        <v>3</v>
      </c>
      <c r="AW694" s="10" t="s">
        <v>1199</v>
      </c>
    </row>
    <row r="695" spans="1:49" x14ac:dyDescent="0.3">
      <c r="A695" s="26" t="s">
        <v>1471</v>
      </c>
      <c r="B695" s="10" t="s">
        <v>441</v>
      </c>
      <c r="C695" s="10" t="s">
        <v>1374</v>
      </c>
      <c r="D695" s="10" t="s">
        <v>1375</v>
      </c>
      <c r="E695" s="10">
        <v>1988</v>
      </c>
      <c r="F695" t="s">
        <v>2661</v>
      </c>
      <c r="G695" s="16" t="s">
        <v>34</v>
      </c>
      <c r="H695" s="10" t="s">
        <v>17</v>
      </c>
      <c r="I695" s="10"/>
      <c r="J695" s="10" t="s">
        <v>1494</v>
      </c>
      <c r="K695" s="26">
        <v>9</v>
      </c>
      <c r="L695" s="26">
        <v>3</v>
      </c>
      <c r="N695" s="10">
        <v>7.77</v>
      </c>
      <c r="O695" s="10"/>
      <c r="P695" s="10">
        <v>5.12</v>
      </c>
      <c r="Q695" s="10"/>
      <c r="R695" s="10"/>
      <c r="S695" s="10"/>
      <c r="T695" s="10"/>
      <c r="U695" s="10"/>
      <c r="V695" s="10">
        <v>7.15</v>
      </c>
      <c r="W695" s="10"/>
      <c r="X695" s="10"/>
      <c r="Y695" s="10"/>
      <c r="Z695" s="10"/>
      <c r="AA695" s="10"/>
      <c r="AB695" s="10"/>
      <c r="AC695" s="10"/>
      <c r="AD695" s="10"/>
      <c r="AE695" s="10"/>
      <c r="AF695" s="10"/>
      <c r="AG695" s="10"/>
      <c r="AH695" s="10"/>
      <c r="AI695" s="14">
        <f t="shared" si="91"/>
        <v>0.92020592020592029</v>
      </c>
      <c r="AJ695" s="10"/>
      <c r="AK695" s="10"/>
      <c r="AL695" s="10"/>
      <c r="AN695" s="10"/>
      <c r="AO695" s="10"/>
      <c r="AP695" s="10"/>
      <c r="AQ695" s="10">
        <v>122</v>
      </c>
      <c r="AR695" s="10" t="s">
        <v>14</v>
      </c>
      <c r="AS695" s="10"/>
      <c r="AT695" s="10" t="s">
        <v>2</v>
      </c>
      <c r="AU695" s="10" t="s">
        <v>2</v>
      </c>
      <c r="AV695" s="10" t="s">
        <v>3</v>
      </c>
      <c r="AW695" s="10" t="s">
        <v>1199</v>
      </c>
    </row>
    <row r="696" spans="1:49" x14ac:dyDescent="0.3">
      <c r="A696" s="26" t="s">
        <v>1471</v>
      </c>
      <c r="B696" s="10" t="s">
        <v>441</v>
      </c>
      <c r="C696" s="10" t="s">
        <v>1374</v>
      </c>
      <c r="D696" s="10" t="s">
        <v>1375</v>
      </c>
      <c r="E696" s="10">
        <v>1987</v>
      </c>
      <c r="F696" t="s">
        <v>2661</v>
      </c>
      <c r="G696" s="16" t="s">
        <v>34</v>
      </c>
      <c r="H696" s="10" t="s">
        <v>17</v>
      </c>
      <c r="I696" s="10"/>
      <c r="J696" s="10" t="s">
        <v>1495</v>
      </c>
      <c r="K696" s="26">
        <v>9</v>
      </c>
      <c r="L696" s="26">
        <v>3</v>
      </c>
      <c r="N696" s="10">
        <v>6.7</v>
      </c>
      <c r="O696" s="10"/>
      <c r="P696" s="10">
        <v>3.53</v>
      </c>
      <c r="Q696" s="10"/>
      <c r="R696" s="10"/>
      <c r="S696" s="10"/>
      <c r="T696" s="10"/>
      <c r="U696" s="10"/>
      <c r="V696" s="10">
        <v>5.6</v>
      </c>
      <c r="W696" s="10"/>
      <c r="X696" s="10"/>
      <c r="Y696" s="10"/>
      <c r="Z696" s="10"/>
      <c r="AA696" s="10"/>
      <c r="AB696" s="10"/>
      <c r="AC696" s="10"/>
      <c r="AD696" s="10"/>
      <c r="AE696" s="10"/>
      <c r="AF696" s="10"/>
      <c r="AG696" s="10"/>
      <c r="AH696" s="10"/>
      <c r="AI696" s="14">
        <f t="shared" si="91"/>
        <v>0.83582089552238803</v>
      </c>
      <c r="AJ696" s="10"/>
      <c r="AK696" s="10"/>
      <c r="AL696" s="10"/>
      <c r="AN696" s="10"/>
      <c r="AO696" s="10"/>
      <c r="AP696" s="10"/>
      <c r="AQ696" s="10">
        <v>122</v>
      </c>
      <c r="AR696" s="10" t="s">
        <v>14</v>
      </c>
      <c r="AS696" s="10"/>
      <c r="AT696" s="10" t="s">
        <v>2</v>
      </c>
      <c r="AU696" s="10" t="s">
        <v>2</v>
      </c>
      <c r="AV696" s="10" t="s">
        <v>3</v>
      </c>
      <c r="AW696" s="10" t="s">
        <v>1199</v>
      </c>
    </row>
    <row r="697" spans="1:49" x14ac:dyDescent="0.3">
      <c r="A697" s="26" t="s">
        <v>1471</v>
      </c>
      <c r="B697" s="10" t="s">
        <v>441</v>
      </c>
      <c r="C697" s="10" t="s">
        <v>1374</v>
      </c>
      <c r="D697" s="10" t="s">
        <v>1375</v>
      </c>
      <c r="E697" s="10">
        <v>1988</v>
      </c>
      <c r="F697" t="s">
        <v>2661</v>
      </c>
      <c r="G697" s="16" t="s">
        <v>34</v>
      </c>
      <c r="H697" s="10" t="s">
        <v>17</v>
      </c>
      <c r="I697" s="10"/>
      <c r="J697" s="10" t="s">
        <v>1495</v>
      </c>
      <c r="K697" s="26">
        <v>9</v>
      </c>
      <c r="L697" s="26">
        <v>3</v>
      </c>
      <c r="N697" s="10">
        <v>7.77</v>
      </c>
      <c r="O697" s="10"/>
      <c r="P697" s="10">
        <v>5.08</v>
      </c>
      <c r="Q697" s="10"/>
      <c r="R697" s="10"/>
      <c r="S697" s="10"/>
      <c r="T697" s="10"/>
      <c r="U697" s="10"/>
      <c r="V697" s="10">
        <v>7.55</v>
      </c>
      <c r="W697" s="10"/>
      <c r="X697" s="10"/>
      <c r="Y697" s="10"/>
      <c r="Z697" s="10"/>
      <c r="AA697" s="10"/>
      <c r="AB697" s="10"/>
      <c r="AC697" s="10"/>
      <c r="AD697" s="10"/>
      <c r="AE697" s="10"/>
      <c r="AF697" s="10"/>
      <c r="AG697" s="10"/>
      <c r="AH697" s="10"/>
      <c r="AI697" s="14">
        <f t="shared" si="91"/>
        <v>0.97168597168597171</v>
      </c>
      <c r="AJ697" s="10"/>
      <c r="AK697" s="10"/>
      <c r="AL697" s="10"/>
      <c r="AN697" s="10"/>
      <c r="AO697" s="10"/>
      <c r="AP697" s="10"/>
      <c r="AQ697" s="10">
        <v>122</v>
      </c>
      <c r="AR697" s="10" t="s">
        <v>14</v>
      </c>
      <c r="AS697" s="10"/>
      <c r="AT697" s="10" t="s">
        <v>2</v>
      </c>
      <c r="AU697" s="10" t="s">
        <v>2</v>
      </c>
      <c r="AV697" s="10" t="s">
        <v>3</v>
      </c>
      <c r="AW697" s="10" t="s">
        <v>1199</v>
      </c>
    </row>
    <row r="698" spans="1:49" x14ac:dyDescent="0.3">
      <c r="A698" s="26" t="s">
        <v>1471</v>
      </c>
      <c r="B698" s="10" t="s">
        <v>441</v>
      </c>
      <c r="C698" s="10" t="s">
        <v>1374</v>
      </c>
      <c r="D698" s="10" t="s">
        <v>1491</v>
      </c>
      <c r="E698" s="10">
        <v>1987</v>
      </c>
      <c r="F698" t="s">
        <v>2661</v>
      </c>
      <c r="G698" s="16" t="s">
        <v>34</v>
      </c>
      <c r="H698" s="10" t="s">
        <v>17</v>
      </c>
      <c r="I698" s="10"/>
      <c r="J698" s="10" t="s">
        <v>1492</v>
      </c>
      <c r="K698" s="26">
        <v>9</v>
      </c>
      <c r="L698" s="26">
        <v>3</v>
      </c>
      <c r="N698" s="10">
        <v>6.82</v>
      </c>
      <c r="O698" s="10"/>
      <c r="P698" s="10">
        <v>5.4</v>
      </c>
      <c r="Q698" s="10"/>
      <c r="R698" s="10"/>
      <c r="S698" s="10"/>
      <c r="T698" s="10"/>
      <c r="U698" s="10"/>
      <c r="V698" s="10">
        <v>6.85</v>
      </c>
      <c r="W698" s="10"/>
      <c r="X698" s="10"/>
      <c r="Y698" s="10"/>
      <c r="Z698" s="10"/>
      <c r="AA698" s="10"/>
      <c r="AB698" s="10"/>
      <c r="AC698" s="10"/>
      <c r="AD698" s="10"/>
      <c r="AE698" s="10"/>
      <c r="AF698" s="10"/>
      <c r="AG698" s="10"/>
      <c r="AH698" s="10"/>
      <c r="AI698" s="14">
        <f t="shared" si="91"/>
        <v>1.0043988269794721</v>
      </c>
      <c r="AJ698" s="10"/>
      <c r="AK698" s="10"/>
      <c r="AL698" s="10"/>
      <c r="AN698" s="10"/>
      <c r="AO698" s="10"/>
      <c r="AP698" s="10"/>
      <c r="AQ698" s="10">
        <v>148</v>
      </c>
      <c r="AR698" s="10" t="s">
        <v>14</v>
      </c>
      <c r="AS698" s="10"/>
      <c r="AT698" s="10" t="s">
        <v>3</v>
      </c>
      <c r="AU698" s="10" t="s">
        <v>2</v>
      </c>
      <c r="AV698" s="10" t="s">
        <v>3</v>
      </c>
      <c r="AW698" s="10" t="s">
        <v>1199</v>
      </c>
    </row>
    <row r="699" spans="1:49" x14ac:dyDescent="0.3">
      <c r="A699" s="26" t="s">
        <v>1471</v>
      </c>
      <c r="B699" s="10" t="s">
        <v>441</v>
      </c>
      <c r="C699" s="10" t="s">
        <v>1374</v>
      </c>
      <c r="D699" s="10" t="s">
        <v>1491</v>
      </c>
      <c r="E699" s="10">
        <v>1988</v>
      </c>
      <c r="F699" t="s">
        <v>2661</v>
      </c>
      <c r="G699" s="16" t="s">
        <v>34</v>
      </c>
      <c r="H699" s="10" t="s">
        <v>17</v>
      </c>
      <c r="I699" s="10"/>
      <c r="J699" s="10" t="s">
        <v>1492</v>
      </c>
      <c r="K699" s="26">
        <v>9</v>
      </c>
      <c r="L699" s="26">
        <v>3</v>
      </c>
      <c r="N699" s="10">
        <v>5.15</v>
      </c>
      <c r="O699" s="10"/>
      <c r="P699" s="10">
        <v>3.5</v>
      </c>
      <c r="Q699" s="10"/>
      <c r="R699" s="10"/>
      <c r="S699" s="10"/>
      <c r="T699" s="10"/>
      <c r="U699" s="10"/>
      <c r="V699" s="10">
        <v>4.2300000000000004</v>
      </c>
      <c r="W699" s="10"/>
      <c r="X699" s="10"/>
      <c r="Y699" s="10"/>
      <c r="Z699" s="10"/>
      <c r="AA699" s="10"/>
      <c r="AB699" s="10"/>
      <c r="AC699" s="10"/>
      <c r="AD699" s="10"/>
      <c r="AE699" s="10"/>
      <c r="AF699" s="10"/>
      <c r="AG699" s="10"/>
      <c r="AH699" s="10"/>
      <c r="AI699" s="14">
        <f t="shared" si="91"/>
        <v>0.82135922330097089</v>
      </c>
      <c r="AJ699" s="10"/>
      <c r="AK699" s="10"/>
      <c r="AL699" s="10"/>
      <c r="AN699" s="10"/>
      <c r="AO699" s="10"/>
      <c r="AP699" s="10"/>
      <c r="AQ699" s="10">
        <v>148</v>
      </c>
      <c r="AR699" s="10" t="s">
        <v>14</v>
      </c>
      <c r="AS699" s="10"/>
      <c r="AT699" s="10" t="s">
        <v>3</v>
      </c>
      <c r="AU699" s="10" t="s">
        <v>2</v>
      </c>
      <c r="AV699" s="10" t="s">
        <v>3</v>
      </c>
      <c r="AW699" s="10" t="s">
        <v>1199</v>
      </c>
    </row>
    <row r="700" spans="1:49" x14ac:dyDescent="0.3">
      <c r="A700" s="26" t="s">
        <v>1471</v>
      </c>
      <c r="B700" s="10" t="s">
        <v>441</v>
      </c>
      <c r="C700" s="10" t="s">
        <v>1374</v>
      </c>
      <c r="D700" s="10" t="s">
        <v>1491</v>
      </c>
      <c r="E700" s="10">
        <v>1987</v>
      </c>
      <c r="F700" t="s">
        <v>2661</v>
      </c>
      <c r="G700" s="16" t="s">
        <v>34</v>
      </c>
      <c r="H700" s="10" t="s">
        <v>17</v>
      </c>
      <c r="I700" s="10"/>
      <c r="J700" s="10" t="s">
        <v>1493</v>
      </c>
      <c r="K700" s="26">
        <v>9</v>
      </c>
      <c r="L700" s="26">
        <v>3</v>
      </c>
      <c r="N700" s="10">
        <v>6.82</v>
      </c>
      <c r="O700" s="10"/>
      <c r="P700" s="10">
        <v>5.36</v>
      </c>
      <c r="Q700" s="10"/>
      <c r="R700" s="10"/>
      <c r="S700" s="10"/>
      <c r="T700" s="10"/>
      <c r="U700" s="10"/>
      <c r="V700" s="10">
        <v>6.03</v>
      </c>
      <c r="W700" s="10"/>
      <c r="X700" s="10"/>
      <c r="Y700" s="10"/>
      <c r="Z700" s="10"/>
      <c r="AA700" s="10"/>
      <c r="AB700" s="10"/>
      <c r="AC700" s="10"/>
      <c r="AD700" s="10"/>
      <c r="AE700" s="10"/>
      <c r="AF700" s="10"/>
      <c r="AG700" s="10"/>
      <c r="AH700" s="10"/>
      <c r="AI700" s="14">
        <f t="shared" si="91"/>
        <v>0.88416422287390029</v>
      </c>
      <c r="AJ700" s="10"/>
      <c r="AK700" s="10"/>
      <c r="AL700" s="10"/>
      <c r="AN700" s="10"/>
      <c r="AO700" s="10"/>
      <c r="AP700" s="10"/>
      <c r="AQ700" s="10">
        <v>148</v>
      </c>
      <c r="AR700" s="10" t="s">
        <v>14</v>
      </c>
      <c r="AS700" s="10"/>
      <c r="AT700" s="10" t="s">
        <v>3</v>
      </c>
      <c r="AU700" s="10" t="s">
        <v>2</v>
      </c>
      <c r="AV700" s="10" t="s">
        <v>3</v>
      </c>
      <c r="AW700" s="10" t="s">
        <v>1199</v>
      </c>
    </row>
    <row r="701" spans="1:49" x14ac:dyDescent="0.3">
      <c r="A701" s="26" t="s">
        <v>1471</v>
      </c>
      <c r="B701" s="10" t="s">
        <v>441</v>
      </c>
      <c r="C701" s="10" t="s">
        <v>1374</v>
      </c>
      <c r="D701" s="10" t="s">
        <v>1491</v>
      </c>
      <c r="E701" s="10">
        <v>1988</v>
      </c>
      <c r="F701" t="s">
        <v>2661</v>
      </c>
      <c r="G701" s="16" t="s">
        <v>34</v>
      </c>
      <c r="H701" s="10" t="s">
        <v>17</v>
      </c>
      <c r="I701" s="10"/>
      <c r="J701" s="10" t="s">
        <v>1493</v>
      </c>
      <c r="K701" s="26">
        <v>9</v>
      </c>
      <c r="L701" s="26">
        <v>3</v>
      </c>
      <c r="N701" s="10">
        <v>5.15</v>
      </c>
      <c r="O701" s="10"/>
      <c r="P701" s="10">
        <v>2.66</v>
      </c>
      <c r="Q701" s="10"/>
      <c r="R701" s="10"/>
      <c r="S701" s="10"/>
      <c r="T701" s="10"/>
      <c r="U701" s="10"/>
      <c r="V701" s="10">
        <v>4.5</v>
      </c>
      <c r="W701" s="10"/>
      <c r="X701" s="10"/>
      <c r="Y701" s="10"/>
      <c r="Z701" s="10"/>
      <c r="AA701" s="10"/>
      <c r="AB701" s="10"/>
      <c r="AC701" s="10"/>
      <c r="AD701" s="10"/>
      <c r="AE701" s="10"/>
      <c r="AF701" s="10"/>
      <c r="AG701" s="10"/>
      <c r="AH701" s="10"/>
      <c r="AI701" s="14">
        <f t="shared" si="91"/>
        <v>0.87378640776699024</v>
      </c>
      <c r="AJ701" s="10"/>
      <c r="AK701" s="10"/>
      <c r="AL701" s="10"/>
      <c r="AN701" s="10"/>
      <c r="AO701" s="10"/>
      <c r="AP701" s="10"/>
      <c r="AQ701" s="10">
        <v>148</v>
      </c>
      <c r="AR701" s="10" t="s">
        <v>14</v>
      </c>
      <c r="AS701" s="10"/>
      <c r="AT701" s="10" t="s">
        <v>3</v>
      </c>
      <c r="AU701" s="10" t="s">
        <v>2</v>
      </c>
      <c r="AV701" s="10" t="s">
        <v>3</v>
      </c>
      <c r="AW701" s="10" t="s">
        <v>1199</v>
      </c>
    </row>
    <row r="702" spans="1:49" x14ac:dyDescent="0.3">
      <c r="A702" s="26" t="s">
        <v>1471</v>
      </c>
      <c r="B702" s="10" t="s">
        <v>441</v>
      </c>
      <c r="C702" s="10" t="s">
        <v>1374</v>
      </c>
      <c r="D702" s="10" t="s">
        <v>1491</v>
      </c>
      <c r="E702" s="10">
        <v>1987</v>
      </c>
      <c r="F702" t="s">
        <v>2661</v>
      </c>
      <c r="G702" s="16" t="s">
        <v>34</v>
      </c>
      <c r="H702" s="10" t="s">
        <v>17</v>
      </c>
      <c r="I702" s="10"/>
      <c r="J702" s="10" t="s">
        <v>1494</v>
      </c>
      <c r="K702" s="26">
        <v>9</v>
      </c>
      <c r="L702" s="26">
        <v>3</v>
      </c>
      <c r="N702" s="10">
        <v>6.69</v>
      </c>
      <c r="O702" s="10"/>
      <c r="P702" s="10">
        <v>5.4</v>
      </c>
      <c r="Q702" s="10"/>
      <c r="R702" s="10"/>
      <c r="S702" s="10"/>
      <c r="T702" s="10"/>
      <c r="U702" s="10"/>
      <c r="V702" s="10">
        <v>7.24</v>
      </c>
      <c r="W702" s="10"/>
      <c r="X702" s="10"/>
      <c r="Y702" s="10"/>
      <c r="Z702" s="10"/>
      <c r="AA702" s="10"/>
      <c r="AB702" s="10"/>
      <c r="AC702" s="10"/>
      <c r="AD702" s="10"/>
      <c r="AE702" s="10"/>
      <c r="AF702" s="10"/>
      <c r="AG702" s="10"/>
      <c r="AH702" s="10"/>
      <c r="AI702" s="14">
        <f t="shared" si="91"/>
        <v>1.0822122571001493</v>
      </c>
      <c r="AJ702" s="10"/>
      <c r="AK702" s="10"/>
      <c r="AL702" s="10"/>
      <c r="AN702" s="10"/>
      <c r="AO702" s="10"/>
      <c r="AP702" s="10"/>
      <c r="AQ702" s="10">
        <v>148</v>
      </c>
      <c r="AR702" s="10" t="s">
        <v>14</v>
      </c>
      <c r="AS702" s="10"/>
      <c r="AT702" s="10" t="s">
        <v>3</v>
      </c>
      <c r="AU702" s="10" t="s">
        <v>2</v>
      </c>
      <c r="AV702" s="10" t="s">
        <v>3</v>
      </c>
      <c r="AW702" s="10" t="s">
        <v>1199</v>
      </c>
    </row>
    <row r="703" spans="1:49" x14ac:dyDescent="0.3">
      <c r="A703" s="26" t="s">
        <v>1471</v>
      </c>
      <c r="B703" s="10" t="s">
        <v>441</v>
      </c>
      <c r="C703" s="10" t="s">
        <v>1374</v>
      </c>
      <c r="D703" s="10" t="s">
        <v>1491</v>
      </c>
      <c r="E703" s="10">
        <v>1988</v>
      </c>
      <c r="F703" t="s">
        <v>2661</v>
      </c>
      <c r="G703" s="16" t="s">
        <v>34</v>
      </c>
      <c r="H703" s="10" t="s">
        <v>17</v>
      </c>
      <c r="I703" s="10"/>
      <c r="J703" s="10" t="s">
        <v>1494</v>
      </c>
      <c r="K703" s="26">
        <v>9</v>
      </c>
      <c r="L703" s="26">
        <v>3</v>
      </c>
      <c r="N703" s="10">
        <v>5.0199999999999996</v>
      </c>
      <c r="O703" s="10"/>
      <c r="P703" s="10">
        <v>3.5</v>
      </c>
      <c r="Q703" s="10"/>
      <c r="R703" s="10"/>
      <c r="S703" s="10"/>
      <c r="T703" s="10"/>
      <c r="U703" s="10"/>
      <c r="V703" s="10">
        <v>5.63</v>
      </c>
      <c r="W703" s="10"/>
      <c r="X703" s="10"/>
      <c r="Y703" s="10"/>
      <c r="Z703" s="10"/>
      <c r="AA703" s="10"/>
      <c r="AB703" s="10"/>
      <c r="AC703" s="10"/>
      <c r="AD703" s="10"/>
      <c r="AE703" s="10"/>
      <c r="AF703" s="10"/>
      <c r="AG703" s="10"/>
      <c r="AH703" s="10"/>
      <c r="AI703" s="14">
        <f t="shared" si="91"/>
        <v>1.1215139442231077</v>
      </c>
      <c r="AJ703" s="10"/>
      <c r="AK703" s="10"/>
      <c r="AL703" s="10"/>
      <c r="AN703" s="10"/>
      <c r="AO703" s="10"/>
      <c r="AP703" s="10"/>
      <c r="AQ703" s="10">
        <v>148</v>
      </c>
      <c r="AR703" s="10" t="s">
        <v>14</v>
      </c>
      <c r="AS703" s="10"/>
      <c r="AT703" s="10" t="s">
        <v>3</v>
      </c>
      <c r="AU703" s="10" t="s">
        <v>2</v>
      </c>
      <c r="AV703" s="10" t="s">
        <v>3</v>
      </c>
      <c r="AW703" s="10" t="s">
        <v>1199</v>
      </c>
    </row>
    <row r="704" spans="1:49" x14ac:dyDescent="0.3">
      <c r="A704" s="26" t="s">
        <v>1471</v>
      </c>
      <c r="B704" s="10" t="s">
        <v>441</v>
      </c>
      <c r="C704" s="10" t="s">
        <v>1374</v>
      </c>
      <c r="D704" s="10" t="s">
        <v>1491</v>
      </c>
      <c r="E704" s="10">
        <v>1987</v>
      </c>
      <c r="F704" t="s">
        <v>2661</v>
      </c>
      <c r="G704" s="16" t="s">
        <v>34</v>
      </c>
      <c r="H704" s="10" t="s">
        <v>17</v>
      </c>
      <c r="I704" s="10"/>
      <c r="J704" s="10" t="s">
        <v>1495</v>
      </c>
      <c r="K704" s="26">
        <v>9</v>
      </c>
      <c r="L704" s="26">
        <v>3</v>
      </c>
      <c r="N704" s="10">
        <v>6.69</v>
      </c>
      <c r="O704" s="10"/>
      <c r="P704" s="10">
        <v>5.36</v>
      </c>
      <c r="Q704" s="10"/>
      <c r="R704" s="10"/>
      <c r="S704" s="10"/>
      <c r="T704" s="10"/>
      <c r="U704" s="10"/>
      <c r="V704" s="10">
        <v>6.99</v>
      </c>
      <c r="W704" s="10"/>
      <c r="X704" s="10"/>
      <c r="Y704" s="10"/>
      <c r="Z704" s="10"/>
      <c r="AA704" s="10"/>
      <c r="AB704" s="10"/>
      <c r="AC704" s="10"/>
      <c r="AD704" s="10"/>
      <c r="AE704" s="10"/>
      <c r="AF704" s="10"/>
      <c r="AG704" s="10"/>
      <c r="AH704" s="10"/>
      <c r="AI704" s="14">
        <f t="shared" si="91"/>
        <v>1.0448430493273542</v>
      </c>
      <c r="AJ704" s="10"/>
      <c r="AK704" s="10"/>
      <c r="AL704" s="10"/>
      <c r="AN704" s="10"/>
      <c r="AO704" s="10"/>
      <c r="AP704" s="10"/>
      <c r="AQ704" s="10">
        <v>148</v>
      </c>
      <c r="AR704" s="10" t="s">
        <v>14</v>
      </c>
      <c r="AS704" s="10"/>
      <c r="AT704" s="10" t="s">
        <v>3</v>
      </c>
      <c r="AU704" s="10" t="s">
        <v>2</v>
      </c>
      <c r="AV704" s="10" t="s">
        <v>3</v>
      </c>
      <c r="AW704" s="10" t="s">
        <v>1199</v>
      </c>
    </row>
    <row r="705" spans="1:49" x14ac:dyDescent="0.3">
      <c r="A705" s="26" t="s">
        <v>1471</v>
      </c>
      <c r="B705" s="10" t="s">
        <v>441</v>
      </c>
      <c r="C705" s="10" t="s">
        <v>1374</v>
      </c>
      <c r="D705" s="10" t="s">
        <v>1491</v>
      </c>
      <c r="E705" s="10">
        <v>1988</v>
      </c>
      <c r="F705" t="s">
        <v>2661</v>
      </c>
      <c r="G705" s="16" t="s">
        <v>34</v>
      </c>
      <c r="H705" s="10" t="s">
        <v>17</v>
      </c>
      <c r="I705" s="10"/>
      <c r="J705" s="10" t="s">
        <v>1495</v>
      </c>
      <c r="K705" s="26">
        <v>9</v>
      </c>
      <c r="L705" s="26">
        <v>3</v>
      </c>
      <c r="N705" s="10">
        <v>5.0199999999999996</v>
      </c>
      <c r="O705" s="10"/>
      <c r="P705" s="10">
        <v>2.66</v>
      </c>
      <c r="Q705" s="10"/>
      <c r="R705" s="10"/>
      <c r="S705" s="10"/>
      <c r="T705" s="10"/>
      <c r="U705" s="10"/>
      <c r="V705" s="10">
        <v>5.66</v>
      </c>
      <c r="W705" s="10"/>
      <c r="X705" s="10"/>
      <c r="Y705" s="10"/>
      <c r="Z705" s="10"/>
      <c r="AA705" s="10"/>
      <c r="AB705" s="10"/>
      <c r="AC705" s="10"/>
      <c r="AD705" s="10"/>
      <c r="AE705" s="10"/>
      <c r="AF705" s="10"/>
      <c r="AG705" s="10"/>
      <c r="AH705" s="10"/>
      <c r="AI705" s="14">
        <f t="shared" si="91"/>
        <v>1.1274900398406376</v>
      </c>
      <c r="AJ705" s="10"/>
      <c r="AK705" s="10"/>
      <c r="AL705" s="10"/>
      <c r="AN705" s="10"/>
      <c r="AO705" s="10"/>
      <c r="AP705" s="10"/>
      <c r="AQ705" s="10">
        <v>148</v>
      </c>
      <c r="AR705" s="10" t="s">
        <v>14</v>
      </c>
      <c r="AS705" s="10"/>
      <c r="AT705" s="10" t="s">
        <v>3</v>
      </c>
      <c r="AU705" s="10" t="s">
        <v>2</v>
      </c>
      <c r="AV705" s="10" t="s">
        <v>3</v>
      </c>
      <c r="AW705" s="10" t="s">
        <v>1199</v>
      </c>
    </row>
    <row r="706" spans="1:49" x14ac:dyDescent="0.3">
      <c r="A706" s="26" t="s">
        <v>1472</v>
      </c>
      <c r="B706" s="10" t="s">
        <v>441</v>
      </c>
      <c r="C706" s="10" t="s">
        <v>1374</v>
      </c>
      <c r="D706" s="10" t="s">
        <v>1375</v>
      </c>
      <c r="E706" s="10">
        <v>1989</v>
      </c>
      <c r="F706" t="s">
        <v>2661</v>
      </c>
      <c r="G706" s="16" t="s">
        <v>1013</v>
      </c>
      <c r="H706" s="10" t="s">
        <v>17</v>
      </c>
      <c r="I706" s="10" t="s">
        <v>1499</v>
      </c>
      <c r="J706" s="10" t="s">
        <v>1496</v>
      </c>
      <c r="K706" s="10">
        <v>3</v>
      </c>
      <c r="L706" s="10">
        <v>3</v>
      </c>
      <c r="N706" s="10">
        <v>4.99</v>
      </c>
      <c r="O706" s="10"/>
      <c r="P706" s="10"/>
      <c r="Q706" s="10"/>
      <c r="R706" s="10"/>
      <c r="S706" s="10"/>
      <c r="T706" s="10"/>
      <c r="U706" s="10"/>
      <c r="V706" s="10">
        <v>4.2300000000000004</v>
      </c>
      <c r="W706" s="10"/>
      <c r="X706" s="10"/>
      <c r="Y706" s="10"/>
      <c r="Z706" s="10"/>
      <c r="AA706" s="10"/>
      <c r="AB706" s="10"/>
      <c r="AC706" s="10"/>
      <c r="AD706" s="10"/>
      <c r="AE706" s="10"/>
      <c r="AF706" s="10"/>
      <c r="AG706" s="10"/>
      <c r="AH706" s="10"/>
      <c r="AI706" s="14">
        <f t="shared" ref="AI706:AI723" si="92">V706/N706</f>
        <v>0.8476953907815632</v>
      </c>
      <c r="AJ706" s="10"/>
      <c r="AK706" s="10"/>
      <c r="AL706" s="10"/>
      <c r="AN706" s="10"/>
      <c r="AO706" s="10"/>
      <c r="AP706" s="10"/>
      <c r="AQ706" s="10">
        <v>0</v>
      </c>
      <c r="AR706" s="10" t="s">
        <v>308</v>
      </c>
      <c r="AS706" s="10"/>
      <c r="AT706" s="10"/>
      <c r="AU706" s="10" t="s">
        <v>2</v>
      </c>
      <c r="AV706" s="10" t="s">
        <v>3</v>
      </c>
      <c r="AW706" s="10" t="s">
        <v>1337</v>
      </c>
    </row>
    <row r="707" spans="1:49" x14ac:dyDescent="0.3">
      <c r="A707" s="26" t="s">
        <v>1472</v>
      </c>
      <c r="B707" s="10" t="s">
        <v>441</v>
      </c>
      <c r="C707" s="10" t="s">
        <v>1374</v>
      </c>
      <c r="D707" s="10" t="s">
        <v>1375</v>
      </c>
      <c r="E707" s="10">
        <v>1990</v>
      </c>
      <c r="F707" t="s">
        <v>2661</v>
      </c>
      <c r="G707" s="16" t="s">
        <v>1013</v>
      </c>
      <c r="H707" s="10" t="s">
        <v>17</v>
      </c>
      <c r="I707" s="10" t="s">
        <v>1499</v>
      </c>
      <c r="J707" s="10" t="s">
        <v>1496</v>
      </c>
      <c r="K707" s="10">
        <v>3</v>
      </c>
      <c r="L707" s="10">
        <v>3</v>
      </c>
      <c r="N707" s="10">
        <v>7.43</v>
      </c>
      <c r="O707" s="10"/>
      <c r="P707" s="10"/>
      <c r="Q707" s="10"/>
      <c r="R707" s="10"/>
      <c r="S707" s="10"/>
      <c r="T707" s="10"/>
      <c r="U707" s="10"/>
      <c r="V707" s="10">
        <v>6.9</v>
      </c>
      <c r="W707" s="10"/>
      <c r="X707" s="10"/>
      <c r="Y707" s="10"/>
      <c r="Z707" s="10"/>
      <c r="AA707" s="10"/>
      <c r="AB707" s="10"/>
      <c r="AC707" s="10"/>
      <c r="AD707" s="10"/>
      <c r="AE707" s="10"/>
      <c r="AF707" s="10"/>
      <c r="AG707" s="10"/>
      <c r="AH707" s="10"/>
      <c r="AI707" s="14">
        <f t="shared" si="92"/>
        <v>0.9286675639300136</v>
      </c>
      <c r="AJ707" s="10"/>
      <c r="AK707" s="10"/>
      <c r="AL707" s="10"/>
      <c r="AN707" s="10"/>
      <c r="AO707" s="10"/>
      <c r="AP707" s="10"/>
      <c r="AQ707" s="10">
        <v>0</v>
      </c>
      <c r="AR707" s="10" t="s">
        <v>308</v>
      </c>
      <c r="AS707" s="10"/>
      <c r="AT707" s="10"/>
      <c r="AU707" s="10" t="s">
        <v>2</v>
      </c>
      <c r="AV707" s="10" t="s">
        <v>3</v>
      </c>
      <c r="AW707" s="10" t="s">
        <v>1337</v>
      </c>
    </row>
    <row r="708" spans="1:49" x14ac:dyDescent="0.3">
      <c r="A708" s="26" t="s">
        <v>1472</v>
      </c>
      <c r="B708" s="10" t="s">
        <v>441</v>
      </c>
      <c r="C708" s="10" t="s">
        <v>1374</v>
      </c>
      <c r="D708" s="10" t="s">
        <v>1375</v>
      </c>
      <c r="E708" s="10">
        <v>1991</v>
      </c>
      <c r="F708" t="s">
        <v>2661</v>
      </c>
      <c r="G708" s="16" t="s">
        <v>1013</v>
      </c>
      <c r="H708" s="10" t="s">
        <v>17</v>
      </c>
      <c r="I708" s="10" t="s">
        <v>1499</v>
      </c>
      <c r="J708" s="10" t="s">
        <v>1496</v>
      </c>
      <c r="K708" s="10">
        <v>3</v>
      </c>
      <c r="L708" s="10">
        <v>3</v>
      </c>
      <c r="N708" s="10">
        <v>11.47</v>
      </c>
      <c r="O708" s="10"/>
      <c r="P708" s="10"/>
      <c r="Q708" s="10"/>
      <c r="R708" s="10"/>
      <c r="S708" s="10"/>
      <c r="T708" s="10"/>
      <c r="U708" s="10"/>
      <c r="V708" s="10">
        <v>12.57</v>
      </c>
      <c r="W708" s="10"/>
      <c r="X708" s="10"/>
      <c r="Y708" s="10"/>
      <c r="Z708" s="10"/>
      <c r="AA708" s="10"/>
      <c r="AB708" s="10"/>
      <c r="AC708" s="10"/>
      <c r="AD708" s="10"/>
      <c r="AE708" s="10"/>
      <c r="AF708" s="10"/>
      <c r="AG708" s="10"/>
      <c r="AH708" s="10"/>
      <c r="AI708" s="14">
        <f t="shared" si="92"/>
        <v>1.09590235396687</v>
      </c>
      <c r="AJ708" s="10"/>
      <c r="AK708" s="10"/>
      <c r="AL708" s="10"/>
      <c r="AN708" s="10"/>
      <c r="AO708" s="10"/>
      <c r="AP708" s="10"/>
      <c r="AQ708" s="10">
        <v>170</v>
      </c>
      <c r="AR708" s="10" t="s">
        <v>14</v>
      </c>
      <c r="AS708" s="10"/>
      <c r="AT708" s="10"/>
      <c r="AU708" s="10" t="s">
        <v>2</v>
      </c>
      <c r="AV708" s="10" t="s">
        <v>3</v>
      </c>
      <c r="AW708" s="10" t="s">
        <v>1337</v>
      </c>
    </row>
    <row r="709" spans="1:49" x14ac:dyDescent="0.3">
      <c r="A709" s="26" t="s">
        <v>1472</v>
      </c>
      <c r="B709" s="10" t="s">
        <v>441</v>
      </c>
      <c r="C709" s="10" t="s">
        <v>1374</v>
      </c>
      <c r="D709" s="10" t="s">
        <v>1375</v>
      </c>
      <c r="E709" s="10">
        <v>1989</v>
      </c>
      <c r="F709" t="s">
        <v>2661</v>
      </c>
      <c r="G709" s="16" t="s">
        <v>1013</v>
      </c>
      <c r="H709" s="10" t="s">
        <v>17</v>
      </c>
      <c r="I709" s="10" t="s">
        <v>1499</v>
      </c>
      <c r="J709" s="10" t="s">
        <v>1497</v>
      </c>
      <c r="K709" s="10">
        <v>3</v>
      </c>
      <c r="L709" s="10">
        <v>3</v>
      </c>
      <c r="N709" s="10">
        <v>4.99</v>
      </c>
      <c r="O709" s="10"/>
      <c r="P709" s="10"/>
      <c r="Q709" s="10"/>
      <c r="R709" s="10"/>
      <c r="S709" s="10"/>
      <c r="T709" s="10"/>
      <c r="U709" s="10"/>
      <c r="V709" s="10">
        <v>4.67</v>
      </c>
      <c r="W709" s="10"/>
      <c r="X709" s="10"/>
      <c r="Y709" s="10"/>
      <c r="Z709" s="10"/>
      <c r="AA709" s="10"/>
      <c r="AB709" s="10"/>
      <c r="AC709" s="10"/>
      <c r="AD709" s="10"/>
      <c r="AE709" s="10"/>
      <c r="AF709" s="10"/>
      <c r="AG709" s="10"/>
      <c r="AH709" s="10"/>
      <c r="AI709" s="14">
        <f t="shared" si="92"/>
        <v>0.93587174348697388</v>
      </c>
      <c r="AJ709" s="10"/>
      <c r="AK709" s="10"/>
      <c r="AL709" s="10"/>
      <c r="AN709" s="10"/>
      <c r="AO709" s="10"/>
      <c r="AP709" s="10"/>
      <c r="AQ709" s="10">
        <v>0</v>
      </c>
      <c r="AR709" s="10" t="s">
        <v>308</v>
      </c>
      <c r="AS709" s="10"/>
      <c r="AT709" s="10"/>
      <c r="AU709" s="10" t="s">
        <v>2</v>
      </c>
      <c r="AV709" s="10" t="s">
        <v>3</v>
      </c>
      <c r="AW709" s="10" t="s">
        <v>1337</v>
      </c>
    </row>
    <row r="710" spans="1:49" x14ac:dyDescent="0.3">
      <c r="A710" s="26" t="s">
        <v>1472</v>
      </c>
      <c r="B710" s="10" t="s">
        <v>441</v>
      </c>
      <c r="C710" s="10" t="s">
        <v>1374</v>
      </c>
      <c r="D710" s="10" t="s">
        <v>1375</v>
      </c>
      <c r="E710" s="10">
        <v>1990</v>
      </c>
      <c r="F710" t="s">
        <v>2661</v>
      </c>
      <c r="G710" s="16" t="s">
        <v>1013</v>
      </c>
      <c r="H710" s="10" t="s">
        <v>17</v>
      </c>
      <c r="I710" s="10" t="s">
        <v>1499</v>
      </c>
      <c r="J710" s="10" t="s">
        <v>1497</v>
      </c>
      <c r="K710" s="10">
        <v>3</v>
      </c>
      <c r="L710" s="10">
        <v>3</v>
      </c>
      <c r="N710" s="10">
        <v>7.43</v>
      </c>
      <c r="O710" s="10"/>
      <c r="P710" s="10"/>
      <c r="Q710" s="10"/>
      <c r="R710" s="10"/>
      <c r="S710" s="10"/>
      <c r="T710" s="10"/>
      <c r="U710" s="10"/>
      <c r="V710" s="10">
        <v>6.3</v>
      </c>
      <c r="W710" s="10"/>
      <c r="X710" s="10"/>
      <c r="Y710" s="10"/>
      <c r="Z710" s="10"/>
      <c r="AA710" s="10"/>
      <c r="AB710" s="10"/>
      <c r="AC710" s="10"/>
      <c r="AD710" s="10"/>
      <c r="AE710" s="10"/>
      <c r="AF710" s="10"/>
      <c r="AG710" s="10"/>
      <c r="AH710" s="10"/>
      <c r="AI710" s="14">
        <f t="shared" si="92"/>
        <v>0.84791386271870794</v>
      </c>
      <c r="AJ710" s="10"/>
      <c r="AK710" s="10"/>
      <c r="AL710" s="10"/>
      <c r="AN710" s="10"/>
      <c r="AO710" s="10"/>
      <c r="AP710" s="10"/>
      <c r="AQ710" s="10">
        <v>0</v>
      </c>
      <c r="AR710" s="10" t="s">
        <v>308</v>
      </c>
      <c r="AS710" s="10"/>
      <c r="AT710" s="10"/>
      <c r="AU710" s="10" t="s">
        <v>2</v>
      </c>
      <c r="AV710" s="10" t="s">
        <v>3</v>
      </c>
      <c r="AW710" s="10" t="s">
        <v>1337</v>
      </c>
    </row>
    <row r="711" spans="1:49" x14ac:dyDescent="0.3">
      <c r="A711" s="26" t="s">
        <v>1472</v>
      </c>
      <c r="B711" s="10" t="s">
        <v>441</v>
      </c>
      <c r="C711" s="10" t="s">
        <v>1374</v>
      </c>
      <c r="D711" s="10" t="s">
        <v>1375</v>
      </c>
      <c r="E711" s="10">
        <v>1991</v>
      </c>
      <c r="F711" t="s">
        <v>2661</v>
      </c>
      <c r="G711" s="16" t="s">
        <v>1013</v>
      </c>
      <c r="H711" s="10" t="s">
        <v>17</v>
      </c>
      <c r="I711" s="10" t="s">
        <v>1499</v>
      </c>
      <c r="J711" s="10" t="s">
        <v>1497</v>
      </c>
      <c r="K711" s="10">
        <v>3</v>
      </c>
      <c r="L711" s="10">
        <v>3</v>
      </c>
      <c r="N711" s="10">
        <v>11.47</v>
      </c>
      <c r="O711" s="10"/>
      <c r="P711" s="10"/>
      <c r="Q711" s="10"/>
      <c r="R711" s="10"/>
      <c r="S711" s="10"/>
      <c r="T711" s="10"/>
      <c r="U711" s="10"/>
      <c r="V711" s="10">
        <v>12.88</v>
      </c>
      <c r="W711" s="10"/>
      <c r="X711" s="10"/>
      <c r="Y711" s="10"/>
      <c r="Z711" s="10"/>
      <c r="AA711" s="10"/>
      <c r="AB711" s="10"/>
      <c r="AC711" s="10"/>
      <c r="AD711" s="10"/>
      <c r="AE711" s="10"/>
      <c r="AF711" s="10"/>
      <c r="AG711" s="10"/>
      <c r="AH711" s="10"/>
      <c r="AI711" s="14">
        <f t="shared" si="92"/>
        <v>1.1229293809938972</v>
      </c>
      <c r="AJ711" s="10"/>
      <c r="AK711" s="10"/>
      <c r="AL711" s="10"/>
      <c r="AN711" s="10"/>
      <c r="AO711" s="10"/>
      <c r="AP711" s="10"/>
      <c r="AQ711" s="10">
        <v>170</v>
      </c>
      <c r="AR711" s="10" t="s">
        <v>14</v>
      </c>
      <c r="AS711" s="10"/>
      <c r="AT711" s="10"/>
      <c r="AU711" s="10" t="s">
        <v>2</v>
      </c>
      <c r="AV711" s="10" t="s">
        <v>3</v>
      </c>
      <c r="AW711" s="10" t="s">
        <v>1337</v>
      </c>
    </row>
    <row r="712" spans="1:49" x14ac:dyDescent="0.3">
      <c r="A712" s="26" t="s">
        <v>1472</v>
      </c>
      <c r="B712" s="10" t="s">
        <v>441</v>
      </c>
      <c r="C712" s="10" t="s">
        <v>1374</v>
      </c>
      <c r="D712" s="10" t="s">
        <v>1375</v>
      </c>
      <c r="E712" s="10">
        <v>1989</v>
      </c>
      <c r="F712" t="s">
        <v>2661</v>
      </c>
      <c r="G712" s="16" t="s">
        <v>1013</v>
      </c>
      <c r="H712" s="10" t="s">
        <v>17</v>
      </c>
      <c r="I712" s="10" t="s">
        <v>1499</v>
      </c>
      <c r="J712" s="10" t="s">
        <v>1498</v>
      </c>
      <c r="K712" s="10">
        <v>3</v>
      </c>
      <c r="L712" s="10">
        <v>3</v>
      </c>
      <c r="N712" s="10">
        <v>3.34</v>
      </c>
      <c r="O712" s="10"/>
      <c r="P712" s="10"/>
      <c r="Q712" s="10"/>
      <c r="R712" s="10"/>
      <c r="S712" s="10"/>
      <c r="T712" s="10"/>
      <c r="U712" s="10"/>
      <c r="V712" s="10">
        <v>3.06</v>
      </c>
      <c r="W712" s="10"/>
      <c r="X712" s="10"/>
      <c r="Y712" s="10"/>
      <c r="Z712" s="10"/>
      <c r="AA712" s="10"/>
      <c r="AB712" s="10"/>
      <c r="AC712" s="10"/>
      <c r="AD712" s="10"/>
      <c r="AE712" s="10"/>
      <c r="AF712" s="10"/>
      <c r="AG712" s="10"/>
      <c r="AH712" s="10"/>
      <c r="AI712" s="14">
        <f t="shared" si="92"/>
        <v>0.91616766467065869</v>
      </c>
      <c r="AJ712" s="10"/>
      <c r="AK712" s="10"/>
      <c r="AL712" s="10"/>
      <c r="AN712" s="10"/>
      <c r="AO712" s="10"/>
      <c r="AP712" s="10"/>
      <c r="AQ712" s="10">
        <v>0</v>
      </c>
      <c r="AR712" s="10" t="s">
        <v>308</v>
      </c>
      <c r="AS712" s="10"/>
      <c r="AT712" s="10"/>
      <c r="AU712" s="10" t="s">
        <v>2</v>
      </c>
      <c r="AV712" s="10" t="s">
        <v>3</v>
      </c>
      <c r="AW712" s="10" t="s">
        <v>1337</v>
      </c>
    </row>
    <row r="713" spans="1:49" x14ac:dyDescent="0.3">
      <c r="A713" s="26" t="s">
        <v>1472</v>
      </c>
      <c r="B713" s="10" t="s">
        <v>441</v>
      </c>
      <c r="C713" s="10" t="s">
        <v>1374</v>
      </c>
      <c r="D713" s="10" t="s">
        <v>1375</v>
      </c>
      <c r="E713" s="10">
        <v>1990</v>
      </c>
      <c r="F713" t="s">
        <v>2661</v>
      </c>
      <c r="G713" s="16" t="s">
        <v>1013</v>
      </c>
      <c r="H713" s="10" t="s">
        <v>17</v>
      </c>
      <c r="I713" s="10" t="s">
        <v>1499</v>
      </c>
      <c r="J713" s="10" t="s">
        <v>1498</v>
      </c>
      <c r="K713" s="10">
        <v>3</v>
      </c>
      <c r="L713" s="10">
        <v>3</v>
      </c>
      <c r="N713" s="10">
        <v>6.89</v>
      </c>
      <c r="O713" s="10"/>
      <c r="P713" s="10"/>
      <c r="Q713" s="10"/>
      <c r="R713" s="10"/>
      <c r="S713" s="10"/>
      <c r="T713" s="10"/>
      <c r="U713" s="10"/>
      <c r="V713" s="10">
        <v>5.29</v>
      </c>
      <c r="W713" s="10"/>
      <c r="X713" s="10"/>
      <c r="Y713" s="10"/>
      <c r="Z713" s="10"/>
      <c r="AA713" s="10"/>
      <c r="AB713" s="10"/>
      <c r="AC713" s="10"/>
      <c r="AD713" s="10"/>
      <c r="AE713" s="10"/>
      <c r="AF713" s="10"/>
      <c r="AG713" s="10"/>
      <c r="AH713" s="10"/>
      <c r="AI713" s="14">
        <f t="shared" si="92"/>
        <v>0.76777939042089993</v>
      </c>
      <c r="AJ713" s="10"/>
      <c r="AK713" s="10"/>
      <c r="AL713" s="10"/>
      <c r="AN713" s="10"/>
      <c r="AO713" s="10"/>
      <c r="AP713" s="10"/>
      <c r="AQ713" s="10">
        <v>0</v>
      </c>
      <c r="AR713" s="10" t="s">
        <v>308</v>
      </c>
      <c r="AS713" s="10"/>
      <c r="AT713" s="10"/>
      <c r="AU713" s="10" t="s">
        <v>2</v>
      </c>
      <c r="AV713" s="10" t="s">
        <v>3</v>
      </c>
      <c r="AW713" s="10" t="s">
        <v>1337</v>
      </c>
    </row>
    <row r="714" spans="1:49" x14ac:dyDescent="0.3">
      <c r="A714" s="26" t="s">
        <v>1472</v>
      </c>
      <c r="B714" s="10" t="s">
        <v>441</v>
      </c>
      <c r="C714" s="10" t="s">
        <v>1374</v>
      </c>
      <c r="D714" s="10" t="s">
        <v>1375</v>
      </c>
      <c r="E714" s="10">
        <v>1991</v>
      </c>
      <c r="F714" t="s">
        <v>2661</v>
      </c>
      <c r="G714" s="16" t="s">
        <v>1013</v>
      </c>
      <c r="H714" s="10" t="s">
        <v>17</v>
      </c>
      <c r="I714" s="10" t="s">
        <v>1499</v>
      </c>
      <c r="J714" s="10" t="s">
        <v>1498</v>
      </c>
      <c r="K714" s="10">
        <v>3</v>
      </c>
      <c r="L714" s="10">
        <v>3</v>
      </c>
      <c r="N714" s="10">
        <v>15.94</v>
      </c>
      <c r="O714" s="10"/>
      <c r="P714" s="10"/>
      <c r="Q714" s="10"/>
      <c r="R714" s="10"/>
      <c r="S714" s="10"/>
      <c r="T714" s="10"/>
      <c r="U714" s="10"/>
      <c r="V714" s="10">
        <v>14.64</v>
      </c>
      <c r="W714" s="10"/>
      <c r="X714" s="10"/>
      <c r="Y714" s="10"/>
      <c r="Z714" s="10"/>
      <c r="AA714" s="10"/>
      <c r="AB714" s="10"/>
      <c r="AC714" s="10"/>
      <c r="AD714" s="10"/>
      <c r="AE714" s="10"/>
      <c r="AF714" s="10"/>
      <c r="AG714" s="10"/>
      <c r="AH714" s="10"/>
      <c r="AI714" s="14">
        <f t="shared" si="92"/>
        <v>0.91844416562107911</v>
      </c>
      <c r="AJ714" s="10"/>
      <c r="AK714" s="10"/>
      <c r="AL714" s="10"/>
      <c r="AN714" s="10"/>
      <c r="AO714" s="10"/>
      <c r="AP714" s="10"/>
      <c r="AQ714" s="10">
        <v>170</v>
      </c>
      <c r="AR714" s="10" t="s">
        <v>14</v>
      </c>
      <c r="AS714" s="10"/>
      <c r="AT714" s="10"/>
      <c r="AU714" s="10" t="s">
        <v>2</v>
      </c>
      <c r="AV714" s="10" t="s">
        <v>3</v>
      </c>
      <c r="AW714" s="10" t="s">
        <v>1337</v>
      </c>
    </row>
    <row r="715" spans="1:49" x14ac:dyDescent="0.3">
      <c r="A715" s="26" t="s">
        <v>1472</v>
      </c>
      <c r="B715" s="10" t="s">
        <v>441</v>
      </c>
      <c r="C715" s="10" t="s">
        <v>1374</v>
      </c>
      <c r="D715" s="10" t="s">
        <v>1375</v>
      </c>
      <c r="E715" s="10">
        <v>1989</v>
      </c>
      <c r="F715" t="s">
        <v>2661</v>
      </c>
      <c r="G715" s="16" t="s">
        <v>1013</v>
      </c>
      <c r="H715" s="10" t="s">
        <v>17</v>
      </c>
      <c r="I715" s="10" t="s">
        <v>1500</v>
      </c>
      <c r="J715" s="10" t="s">
        <v>1496</v>
      </c>
      <c r="K715" s="10">
        <v>3</v>
      </c>
      <c r="L715" s="10">
        <v>3</v>
      </c>
      <c r="N715" s="10">
        <v>1.29</v>
      </c>
      <c r="O715" s="10"/>
      <c r="P715" s="10"/>
      <c r="Q715" s="10"/>
      <c r="R715" s="10"/>
      <c r="S715" s="10"/>
      <c r="T715" s="10"/>
      <c r="U715" s="10"/>
      <c r="V715" s="10">
        <v>1.08</v>
      </c>
      <c r="W715" s="10"/>
      <c r="X715" s="10"/>
      <c r="Y715" s="10"/>
      <c r="Z715" s="10"/>
      <c r="AA715" s="10"/>
      <c r="AB715" s="10"/>
      <c r="AC715" s="10"/>
      <c r="AD715" s="10"/>
      <c r="AE715" s="10"/>
      <c r="AF715" s="10"/>
      <c r="AG715" s="10"/>
      <c r="AH715" s="10"/>
      <c r="AI715" s="14">
        <f t="shared" si="92"/>
        <v>0.83720930232558144</v>
      </c>
      <c r="AJ715" s="10"/>
      <c r="AK715" s="10"/>
      <c r="AL715" s="10"/>
      <c r="AN715" s="10"/>
      <c r="AO715" s="10"/>
      <c r="AP715" s="10"/>
      <c r="AQ715" s="10">
        <v>0</v>
      </c>
      <c r="AR715" s="10" t="s">
        <v>308</v>
      </c>
      <c r="AS715" s="10"/>
      <c r="AT715" s="10"/>
      <c r="AU715" s="10" t="s">
        <v>2</v>
      </c>
      <c r="AV715" s="10" t="s">
        <v>3</v>
      </c>
      <c r="AW715" s="10" t="s">
        <v>1337</v>
      </c>
    </row>
    <row r="716" spans="1:49" x14ac:dyDescent="0.3">
      <c r="A716" s="26" t="s">
        <v>1472</v>
      </c>
      <c r="B716" s="10" t="s">
        <v>441</v>
      </c>
      <c r="C716" s="10" t="s">
        <v>1374</v>
      </c>
      <c r="D716" s="10" t="s">
        <v>1375</v>
      </c>
      <c r="E716" s="10">
        <v>1990</v>
      </c>
      <c r="F716" t="s">
        <v>2661</v>
      </c>
      <c r="G716" s="16" t="s">
        <v>1013</v>
      </c>
      <c r="H716" s="10" t="s">
        <v>17</v>
      </c>
      <c r="I716" s="10" t="s">
        <v>1500</v>
      </c>
      <c r="J716" s="10" t="s">
        <v>1496</v>
      </c>
      <c r="K716" s="10">
        <v>3</v>
      </c>
      <c r="L716" s="10">
        <v>3</v>
      </c>
      <c r="N716" s="10">
        <v>4.09</v>
      </c>
      <c r="O716" s="10"/>
      <c r="P716" s="10"/>
      <c r="Q716" s="10"/>
      <c r="R716" s="10"/>
      <c r="S716" s="10"/>
      <c r="T716" s="10"/>
      <c r="U716" s="10"/>
      <c r="V716" s="10">
        <v>4.5199999999999996</v>
      </c>
      <c r="W716" s="10"/>
      <c r="X716" s="10"/>
      <c r="Y716" s="10"/>
      <c r="Z716" s="10"/>
      <c r="AA716" s="10"/>
      <c r="AB716" s="10"/>
      <c r="AC716" s="10"/>
      <c r="AD716" s="10"/>
      <c r="AE716" s="10"/>
      <c r="AF716" s="10"/>
      <c r="AG716" s="10"/>
      <c r="AH716" s="10"/>
      <c r="AI716" s="14">
        <f t="shared" si="92"/>
        <v>1.1051344743276283</v>
      </c>
      <c r="AJ716" s="10"/>
      <c r="AK716" s="10"/>
      <c r="AL716" s="10"/>
      <c r="AN716" s="10"/>
      <c r="AO716" s="10"/>
      <c r="AP716" s="10"/>
      <c r="AQ716" s="10">
        <v>0</v>
      </c>
      <c r="AR716" s="10" t="s">
        <v>308</v>
      </c>
      <c r="AS716" s="10"/>
      <c r="AT716" s="10"/>
      <c r="AU716" s="10" t="s">
        <v>2</v>
      </c>
      <c r="AV716" s="10" t="s">
        <v>3</v>
      </c>
      <c r="AW716" s="10" t="s">
        <v>1337</v>
      </c>
    </row>
    <row r="717" spans="1:49" x14ac:dyDescent="0.3">
      <c r="A717" s="26" t="s">
        <v>1472</v>
      </c>
      <c r="B717" s="10" t="s">
        <v>441</v>
      </c>
      <c r="C717" s="10" t="s">
        <v>1374</v>
      </c>
      <c r="D717" s="10" t="s">
        <v>1375</v>
      </c>
      <c r="E717" s="10">
        <v>1991</v>
      </c>
      <c r="F717" t="s">
        <v>2661</v>
      </c>
      <c r="G717" s="16" t="s">
        <v>1013</v>
      </c>
      <c r="H717" s="10" t="s">
        <v>17</v>
      </c>
      <c r="I717" s="10" t="s">
        <v>1500</v>
      </c>
      <c r="J717" s="10" t="s">
        <v>1496</v>
      </c>
      <c r="K717" s="10">
        <v>3</v>
      </c>
      <c r="L717" s="10">
        <v>3</v>
      </c>
      <c r="N717" s="10">
        <v>5.63</v>
      </c>
      <c r="O717" s="10"/>
      <c r="P717" s="10"/>
      <c r="Q717" s="10"/>
      <c r="R717" s="10"/>
      <c r="S717" s="10"/>
      <c r="T717" s="10"/>
      <c r="U717" s="10"/>
      <c r="V717" s="10">
        <v>6.83</v>
      </c>
      <c r="W717" s="10"/>
      <c r="X717" s="10"/>
      <c r="Y717" s="10"/>
      <c r="Z717" s="10"/>
      <c r="AA717" s="10"/>
      <c r="AB717" s="10"/>
      <c r="AC717" s="10"/>
      <c r="AD717" s="10"/>
      <c r="AE717" s="10"/>
      <c r="AF717" s="10"/>
      <c r="AG717" s="10"/>
      <c r="AH717" s="10"/>
      <c r="AI717" s="14">
        <f t="shared" si="92"/>
        <v>1.2131438721136767</v>
      </c>
      <c r="AJ717" s="10"/>
      <c r="AK717" s="10"/>
      <c r="AL717" s="10"/>
      <c r="AN717" s="10"/>
      <c r="AO717" s="10"/>
      <c r="AP717" s="10"/>
      <c r="AQ717" s="10">
        <v>170</v>
      </c>
      <c r="AR717" s="10" t="s">
        <v>14</v>
      </c>
      <c r="AS717" s="10"/>
      <c r="AT717" s="10"/>
      <c r="AU717" s="10" t="s">
        <v>2</v>
      </c>
      <c r="AV717" s="10" t="s">
        <v>3</v>
      </c>
      <c r="AW717" s="10" t="s">
        <v>1337</v>
      </c>
    </row>
    <row r="718" spans="1:49" x14ac:dyDescent="0.3">
      <c r="A718" s="26" t="s">
        <v>1472</v>
      </c>
      <c r="B718" s="10" t="s">
        <v>441</v>
      </c>
      <c r="C718" s="10" t="s">
        <v>1374</v>
      </c>
      <c r="D718" s="10" t="s">
        <v>1375</v>
      </c>
      <c r="E718" s="10">
        <v>1989</v>
      </c>
      <c r="F718" t="s">
        <v>2661</v>
      </c>
      <c r="G718" s="16" t="s">
        <v>1013</v>
      </c>
      <c r="H718" s="10" t="s">
        <v>17</v>
      </c>
      <c r="I718" s="10" t="s">
        <v>1500</v>
      </c>
      <c r="J718" s="10" t="s">
        <v>1497</v>
      </c>
      <c r="K718" s="10">
        <v>3</v>
      </c>
      <c r="L718" s="10">
        <v>3</v>
      </c>
      <c r="N718" s="10">
        <v>1.29</v>
      </c>
      <c r="O718" s="10"/>
      <c r="P718" s="10"/>
      <c r="Q718" s="10"/>
      <c r="R718" s="10"/>
      <c r="S718" s="10"/>
      <c r="T718" s="10"/>
      <c r="U718" s="10"/>
      <c r="V718" s="10">
        <v>1.1200000000000001</v>
      </c>
      <c r="W718" s="10"/>
      <c r="X718" s="10"/>
      <c r="Y718" s="10"/>
      <c r="Z718" s="10"/>
      <c r="AA718" s="10"/>
      <c r="AB718" s="10"/>
      <c r="AC718" s="10"/>
      <c r="AD718" s="10"/>
      <c r="AE718" s="10"/>
      <c r="AF718" s="10"/>
      <c r="AG718" s="10"/>
      <c r="AH718" s="10"/>
      <c r="AI718" s="14">
        <f t="shared" si="92"/>
        <v>0.86821705426356599</v>
      </c>
      <c r="AJ718" s="10"/>
      <c r="AK718" s="10"/>
      <c r="AL718" s="10"/>
      <c r="AN718" s="10"/>
      <c r="AO718" s="10"/>
      <c r="AP718" s="10"/>
      <c r="AQ718" s="10">
        <v>0</v>
      </c>
      <c r="AR718" s="10" t="s">
        <v>308</v>
      </c>
      <c r="AS718" s="10"/>
      <c r="AT718" s="10"/>
      <c r="AU718" s="10" t="s">
        <v>2</v>
      </c>
      <c r="AV718" s="10" t="s">
        <v>3</v>
      </c>
      <c r="AW718" s="10" t="s">
        <v>1337</v>
      </c>
    </row>
    <row r="719" spans="1:49" x14ac:dyDescent="0.3">
      <c r="A719" s="26" t="s">
        <v>1472</v>
      </c>
      <c r="B719" s="10" t="s">
        <v>441</v>
      </c>
      <c r="C719" s="10" t="s">
        <v>1374</v>
      </c>
      <c r="D719" s="10" t="s">
        <v>1375</v>
      </c>
      <c r="E719" s="10">
        <v>1990</v>
      </c>
      <c r="F719" t="s">
        <v>2661</v>
      </c>
      <c r="G719" s="16" t="s">
        <v>1013</v>
      </c>
      <c r="H719" s="10" t="s">
        <v>17</v>
      </c>
      <c r="I719" s="10" t="s">
        <v>1500</v>
      </c>
      <c r="J719" s="10" t="s">
        <v>1497</v>
      </c>
      <c r="K719" s="10">
        <v>3</v>
      </c>
      <c r="L719" s="10">
        <v>3</v>
      </c>
      <c r="N719" s="10">
        <v>4.09</v>
      </c>
      <c r="O719" s="10"/>
      <c r="P719" s="10"/>
      <c r="Q719" s="10"/>
      <c r="R719" s="10"/>
      <c r="S719" s="10"/>
      <c r="T719" s="10"/>
      <c r="U719" s="10"/>
      <c r="V719" s="10">
        <v>5.43</v>
      </c>
      <c r="W719" s="10"/>
      <c r="X719" s="10"/>
      <c r="Y719" s="10"/>
      <c r="Z719" s="10"/>
      <c r="AA719" s="10"/>
      <c r="AB719" s="10"/>
      <c r="AC719" s="10"/>
      <c r="AD719" s="10"/>
      <c r="AE719" s="10"/>
      <c r="AF719" s="10"/>
      <c r="AG719" s="10"/>
      <c r="AH719" s="10"/>
      <c r="AI719" s="14">
        <f t="shared" si="92"/>
        <v>1.3276283618581908</v>
      </c>
      <c r="AJ719" s="10"/>
      <c r="AK719" s="10"/>
      <c r="AL719" s="10"/>
      <c r="AN719" s="10"/>
      <c r="AO719" s="10"/>
      <c r="AP719" s="10"/>
      <c r="AQ719" s="10">
        <v>0</v>
      </c>
      <c r="AR719" s="10" t="s">
        <v>308</v>
      </c>
      <c r="AS719" s="10"/>
      <c r="AT719" s="10"/>
      <c r="AU719" s="10" t="s">
        <v>2</v>
      </c>
      <c r="AV719" s="10" t="s">
        <v>3</v>
      </c>
      <c r="AW719" s="10" t="s">
        <v>1337</v>
      </c>
    </row>
    <row r="720" spans="1:49" x14ac:dyDescent="0.3">
      <c r="A720" s="26" t="s">
        <v>1472</v>
      </c>
      <c r="B720" s="10" t="s">
        <v>441</v>
      </c>
      <c r="C720" s="10" t="s">
        <v>1374</v>
      </c>
      <c r="D720" s="10" t="s">
        <v>1375</v>
      </c>
      <c r="E720" s="10">
        <v>1991</v>
      </c>
      <c r="F720" t="s">
        <v>2661</v>
      </c>
      <c r="G720" s="16" t="s">
        <v>1013</v>
      </c>
      <c r="H720" s="10" t="s">
        <v>17</v>
      </c>
      <c r="I720" s="10" t="s">
        <v>1500</v>
      </c>
      <c r="J720" s="10" t="s">
        <v>1497</v>
      </c>
      <c r="K720" s="10">
        <v>3</v>
      </c>
      <c r="L720" s="10">
        <v>3</v>
      </c>
      <c r="N720" s="10">
        <v>5.63</v>
      </c>
      <c r="O720" s="10"/>
      <c r="P720" s="10"/>
      <c r="Q720" s="10"/>
      <c r="R720" s="10"/>
      <c r="S720" s="10"/>
      <c r="T720" s="10"/>
      <c r="U720" s="10"/>
      <c r="V720" s="10">
        <v>8.16</v>
      </c>
      <c r="W720" s="10"/>
      <c r="X720" s="10"/>
      <c r="Y720" s="10"/>
      <c r="Z720" s="10"/>
      <c r="AA720" s="10"/>
      <c r="AB720" s="10"/>
      <c r="AC720" s="10"/>
      <c r="AD720" s="10"/>
      <c r="AE720" s="10"/>
      <c r="AF720" s="10"/>
      <c r="AG720" s="10"/>
      <c r="AH720" s="10"/>
      <c r="AI720" s="14">
        <f t="shared" si="92"/>
        <v>1.4493783303730019</v>
      </c>
      <c r="AJ720" s="10"/>
      <c r="AK720" s="10"/>
      <c r="AL720" s="10"/>
      <c r="AN720" s="10"/>
      <c r="AO720" s="10"/>
      <c r="AP720" s="10"/>
      <c r="AQ720" s="10">
        <v>170</v>
      </c>
      <c r="AR720" s="10" t="s">
        <v>14</v>
      </c>
      <c r="AS720" s="10"/>
      <c r="AT720" s="10"/>
      <c r="AU720" s="10" t="s">
        <v>2</v>
      </c>
      <c r="AV720" s="10" t="s">
        <v>3</v>
      </c>
      <c r="AW720" s="10" t="s">
        <v>1337</v>
      </c>
    </row>
    <row r="721" spans="1:49" x14ac:dyDescent="0.3">
      <c r="A721" s="26" t="s">
        <v>1472</v>
      </c>
      <c r="B721" s="10" t="s">
        <v>441</v>
      </c>
      <c r="C721" s="10" t="s">
        <v>1374</v>
      </c>
      <c r="D721" s="10" t="s">
        <v>1375</v>
      </c>
      <c r="E721" s="10">
        <v>1989</v>
      </c>
      <c r="F721" t="s">
        <v>2661</v>
      </c>
      <c r="G721" s="16" t="s">
        <v>1013</v>
      </c>
      <c r="H721" s="10" t="s">
        <v>17</v>
      </c>
      <c r="I721" s="10" t="s">
        <v>1500</v>
      </c>
      <c r="J721" s="10" t="s">
        <v>1498</v>
      </c>
      <c r="K721" s="10">
        <v>3</v>
      </c>
      <c r="L721" s="10">
        <v>3</v>
      </c>
      <c r="N721" s="10">
        <v>1.5</v>
      </c>
      <c r="O721" s="10"/>
      <c r="P721" s="10"/>
      <c r="Q721" s="10"/>
      <c r="R721" s="10"/>
      <c r="S721" s="10"/>
      <c r="T721" s="10"/>
      <c r="U721" s="10"/>
      <c r="V721" s="10">
        <v>1.39</v>
      </c>
      <c r="W721" s="10"/>
      <c r="X721" s="10"/>
      <c r="Y721" s="10"/>
      <c r="Z721" s="10"/>
      <c r="AA721" s="10"/>
      <c r="AB721" s="10"/>
      <c r="AC721" s="10"/>
      <c r="AD721" s="10"/>
      <c r="AE721" s="10"/>
      <c r="AF721" s="10"/>
      <c r="AG721" s="10"/>
      <c r="AH721" s="10"/>
      <c r="AI721" s="14">
        <f t="shared" si="92"/>
        <v>0.92666666666666664</v>
      </c>
      <c r="AJ721" s="10"/>
      <c r="AK721" s="10"/>
      <c r="AL721" s="10"/>
      <c r="AN721" s="10"/>
      <c r="AO721" s="10"/>
      <c r="AP721" s="10"/>
      <c r="AQ721" s="10">
        <v>0</v>
      </c>
      <c r="AR721" s="10" t="s">
        <v>308</v>
      </c>
      <c r="AS721" s="10"/>
      <c r="AT721" s="10"/>
      <c r="AU721" s="10" t="s">
        <v>2</v>
      </c>
      <c r="AV721" s="10" t="s">
        <v>3</v>
      </c>
      <c r="AW721" s="10" t="s">
        <v>1337</v>
      </c>
    </row>
    <row r="722" spans="1:49" x14ac:dyDescent="0.3">
      <c r="A722" s="26" t="s">
        <v>1472</v>
      </c>
      <c r="B722" s="10" t="s">
        <v>441</v>
      </c>
      <c r="C722" s="10" t="s">
        <v>1374</v>
      </c>
      <c r="D722" s="10" t="s">
        <v>1375</v>
      </c>
      <c r="E722" s="10">
        <v>1990</v>
      </c>
      <c r="F722" t="s">
        <v>2661</v>
      </c>
      <c r="G722" s="16" t="s">
        <v>1013</v>
      </c>
      <c r="H722" s="10" t="s">
        <v>17</v>
      </c>
      <c r="I722" s="10" t="s">
        <v>1500</v>
      </c>
      <c r="J722" s="10" t="s">
        <v>1498</v>
      </c>
      <c r="K722" s="10">
        <v>3</v>
      </c>
      <c r="L722" s="10">
        <v>3</v>
      </c>
      <c r="N722" s="10">
        <v>2.54</v>
      </c>
      <c r="O722" s="10"/>
      <c r="P722" s="10"/>
      <c r="Q722" s="10"/>
      <c r="R722" s="10"/>
      <c r="S722" s="10"/>
      <c r="T722" s="10"/>
      <c r="U722" s="10"/>
      <c r="V722" s="10">
        <v>4.5199999999999996</v>
      </c>
      <c r="W722" s="10"/>
      <c r="X722" s="10"/>
      <c r="Y722" s="10"/>
      <c r="Z722" s="10"/>
      <c r="AA722" s="10"/>
      <c r="AB722" s="10"/>
      <c r="AC722" s="10"/>
      <c r="AD722" s="10"/>
      <c r="AE722" s="10"/>
      <c r="AF722" s="10"/>
      <c r="AG722" s="10"/>
      <c r="AH722" s="10"/>
      <c r="AI722" s="14">
        <f t="shared" si="92"/>
        <v>1.7795275590551178</v>
      </c>
      <c r="AJ722" s="10"/>
      <c r="AK722" s="10"/>
      <c r="AL722" s="10"/>
      <c r="AN722" s="10"/>
      <c r="AO722" s="10"/>
      <c r="AP722" s="10"/>
      <c r="AQ722" s="10">
        <v>0</v>
      </c>
      <c r="AR722" s="10" t="s">
        <v>308</v>
      </c>
      <c r="AS722" s="10"/>
      <c r="AT722" s="10"/>
      <c r="AU722" s="10" t="s">
        <v>2</v>
      </c>
      <c r="AV722" s="10" t="s">
        <v>3</v>
      </c>
      <c r="AW722" s="10" t="s">
        <v>1337</v>
      </c>
    </row>
    <row r="723" spans="1:49" x14ac:dyDescent="0.3">
      <c r="A723" s="26" t="s">
        <v>1472</v>
      </c>
      <c r="B723" s="10" t="s">
        <v>441</v>
      </c>
      <c r="C723" s="10" t="s">
        <v>1374</v>
      </c>
      <c r="D723" s="10" t="s">
        <v>1375</v>
      </c>
      <c r="E723" s="10">
        <v>1991</v>
      </c>
      <c r="F723" t="s">
        <v>2661</v>
      </c>
      <c r="G723" s="16" t="s">
        <v>1013</v>
      </c>
      <c r="H723" s="10" t="s">
        <v>17</v>
      </c>
      <c r="I723" s="10" t="s">
        <v>1500</v>
      </c>
      <c r="J723" s="10" t="s">
        <v>1498</v>
      </c>
      <c r="K723" s="10">
        <v>3</v>
      </c>
      <c r="L723" s="10">
        <v>3</v>
      </c>
      <c r="N723" s="10">
        <v>4.9000000000000004</v>
      </c>
      <c r="O723" s="10"/>
      <c r="P723" s="10"/>
      <c r="Q723" s="10"/>
      <c r="R723" s="10"/>
      <c r="S723" s="10"/>
      <c r="T723" s="10"/>
      <c r="U723" s="10"/>
      <c r="V723" s="10">
        <v>6.92</v>
      </c>
      <c r="W723" s="10"/>
      <c r="X723" s="10"/>
      <c r="Y723" s="10"/>
      <c r="Z723" s="10"/>
      <c r="AA723" s="10"/>
      <c r="AB723" s="10"/>
      <c r="AC723" s="10"/>
      <c r="AD723" s="10"/>
      <c r="AE723" s="10"/>
      <c r="AF723" s="10"/>
      <c r="AG723" s="10"/>
      <c r="AH723" s="10"/>
      <c r="AI723" s="14">
        <f t="shared" si="92"/>
        <v>1.4122448979591835</v>
      </c>
      <c r="AJ723" s="10"/>
      <c r="AK723" s="10"/>
      <c r="AL723" s="10"/>
      <c r="AN723" s="10"/>
      <c r="AO723" s="10"/>
      <c r="AP723" s="10"/>
      <c r="AQ723" s="10">
        <v>170</v>
      </c>
      <c r="AR723" s="10" t="s">
        <v>14</v>
      </c>
      <c r="AS723" s="10"/>
      <c r="AT723" s="10"/>
      <c r="AU723" s="10" t="s">
        <v>2</v>
      </c>
      <c r="AV723" s="10" t="s">
        <v>3</v>
      </c>
      <c r="AW723" s="10" t="s">
        <v>1337</v>
      </c>
    </row>
    <row r="724" spans="1:49" x14ac:dyDescent="0.3">
      <c r="A724" s="26" t="s">
        <v>1501</v>
      </c>
      <c r="B724" s="10" t="s">
        <v>100</v>
      </c>
      <c r="C724" s="10" t="s">
        <v>393</v>
      </c>
      <c r="D724" s="10" t="s">
        <v>1506</v>
      </c>
      <c r="E724" s="10">
        <v>1965</v>
      </c>
      <c r="F724" t="s">
        <v>2661</v>
      </c>
      <c r="G724" s="16" t="s">
        <v>34</v>
      </c>
      <c r="H724" s="10" t="s">
        <v>17</v>
      </c>
      <c r="I724" s="10"/>
      <c r="J724" s="10" t="s">
        <v>1507</v>
      </c>
      <c r="K724" s="10">
        <v>4</v>
      </c>
      <c r="L724" s="10">
        <v>4</v>
      </c>
      <c r="N724" s="10">
        <v>3300</v>
      </c>
      <c r="O724" s="10"/>
      <c r="P724" s="10"/>
      <c r="Q724" s="10"/>
      <c r="R724" s="10"/>
      <c r="S724" s="10"/>
      <c r="T724" s="10"/>
      <c r="U724" s="10"/>
      <c r="V724" s="10"/>
      <c r="W724" s="10">
        <v>2640</v>
      </c>
      <c r="X724" s="10"/>
      <c r="Y724" s="10">
        <v>2700</v>
      </c>
      <c r="Z724" s="10"/>
      <c r="AA724" s="10"/>
      <c r="AB724" s="10"/>
      <c r="AC724" s="10"/>
      <c r="AD724" s="10"/>
      <c r="AE724" s="10"/>
      <c r="AF724" s="10"/>
      <c r="AG724" s="10"/>
      <c r="AH724" s="10"/>
      <c r="AI724" s="14">
        <f t="shared" ref="AI724:AI744" si="93">W724/N724</f>
        <v>0.8</v>
      </c>
      <c r="AJ724" s="10"/>
      <c r="AK724" s="10"/>
      <c r="AL724" s="10"/>
      <c r="AN724" s="10"/>
      <c r="AO724" s="10"/>
      <c r="AP724" s="10"/>
      <c r="AQ724" s="10"/>
      <c r="AR724" s="10"/>
      <c r="AS724" s="10"/>
      <c r="AT724" s="10"/>
      <c r="AU724" s="10" t="s">
        <v>2</v>
      </c>
      <c r="AV724" s="10" t="s">
        <v>2023</v>
      </c>
      <c r="AW724" s="10" t="s">
        <v>1516</v>
      </c>
    </row>
    <row r="725" spans="1:49" x14ac:dyDescent="0.3">
      <c r="A725" s="26" t="s">
        <v>1501</v>
      </c>
      <c r="B725" s="10" t="s">
        <v>100</v>
      </c>
      <c r="C725" s="10" t="s">
        <v>393</v>
      </c>
      <c r="D725" s="10" t="s">
        <v>1506</v>
      </c>
      <c r="E725" s="10">
        <v>1965</v>
      </c>
      <c r="F725" t="s">
        <v>2661</v>
      </c>
      <c r="G725" s="16" t="s">
        <v>34</v>
      </c>
      <c r="H725" s="10" t="s">
        <v>17</v>
      </c>
      <c r="I725" s="10"/>
      <c r="J725" s="10" t="s">
        <v>1513</v>
      </c>
      <c r="K725" s="10">
        <v>4</v>
      </c>
      <c r="L725" s="10">
        <v>4</v>
      </c>
      <c r="N725" s="10">
        <v>3300</v>
      </c>
      <c r="O725" s="10"/>
      <c r="P725" s="10"/>
      <c r="Q725" s="10"/>
      <c r="R725" s="10"/>
      <c r="S725" s="10"/>
      <c r="T725" s="10"/>
      <c r="U725" s="10"/>
      <c r="V725" s="10"/>
      <c r="W725" s="10">
        <v>2900</v>
      </c>
      <c r="X725" s="10"/>
      <c r="Y725" s="10">
        <v>3000</v>
      </c>
      <c r="Z725" s="10"/>
      <c r="AA725" s="10"/>
      <c r="AB725" s="10"/>
      <c r="AC725" s="10"/>
      <c r="AD725" s="10"/>
      <c r="AE725" s="10"/>
      <c r="AF725" s="10"/>
      <c r="AG725" s="10"/>
      <c r="AH725" s="10"/>
      <c r="AI725" s="14">
        <f t="shared" si="93"/>
        <v>0.87878787878787878</v>
      </c>
      <c r="AJ725" s="10"/>
      <c r="AK725" s="10"/>
      <c r="AL725" s="10"/>
      <c r="AN725" s="10"/>
      <c r="AO725" s="10"/>
      <c r="AP725" s="10"/>
      <c r="AQ725" s="10"/>
      <c r="AR725" s="10"/>
      <c r="AS725" s="10"/>
      <c r="AT725" s="10"/>
      <c r="AU725" s="10" t="s">
        <v>2</v>
      </c>
      <c r="AV725" s="10" t="s">
        <v>2023</v>
      </c>
      <c r="AW725" s="10" t="s">
        <v>1516</v>
      </c>
    </row>
    <row r="726" spans="1:49" x14ac:dyDescent="0.3">
      <c r="A726" s="26" t="s">
        <v>1501</v>
      </c>
      <c r="B726" s="10" t="s">
        <v>100</v>
      </c>
      <c r="C726" s="10" t="s">
        <v>393</v>
      </c>
      <c r="D726" s="10" t="s">
        <v>1506</v>
      </c>
      <c r="E726" s="10">
        <v>1965</v>
      </c>
      <c r="F726" t="s">
        <v>2661</v>
      </c>
      <c r="G726" s="16" t="s">
        <v>34</v>
      </c>
      <c r="H726" s="10" t="s">
        <v>17</v>
      </c>
      <c r="I726" s="10"/>
      <c r="J726" s="10" t="s">
        <v>1508</v>
      </c>
      <c r="K726" s="10">
        <v>4</v>
      </c>
      <c r="L726" s="10">
        <v>4</v>
      </c>
      <c r="N726" s="10">
        <v>3300</v>
      </c>
      <c r="O726" s="10"/>
      <c r="P726" s="10"/>
      <c r="Q726" s="10"/>
      <c r="R726" s="10"/>
      <c r="S726" s="10"/>
      <c r="T726" s="10"/>
      <c r="U726" s="10"/>
      <c r="V726" s="10"/>
      <c r="W726" s="10">
        <v>2770</v>
      </c>
      <c r="X726" s="10"/>
      <c r="Y726" s="10">
        <v>2000</v>
      </c>
      <c r="Z726" s="10"/>
      <c r="AA726" s="10"/>
      <c r="AB726" s="10"/>
      <c r="AC726" s="10"/>
      <c r="AD726" s="10"/>
      <c r="AE726" s="10"/>
      <c r="AF726" s="10"/>
      <c r="AG726" s="10"/>
      <c r="AH726" s="10"/>
      <c r="AI726" s="14">
        <f t="shared" si="93"/>
        <v>0.83939393939393936</v>
      </c>
      <c r="AJ726" s="10"/>
      <c r="AK726" s="10"/>
      <c r="AL726" s="10"/>
      <c r="AN726" s="10"/>
      <c r="AO726" s="10"/>
      <c r="AP726" s="10"/>
      <c r="AQ726" s="10"/>
      <c r="AR726" s="10"/>
      <c r="AS726" s="10"/>
      <c r="AT726" s="10"/>
      <c r="AU726" s="10" t="s">
        <v>2</v>
      </c>
      <c r="AV726" s="10" t="s">
        <v>2023</v>
      </c>
      <c r="AW726" s="10" t="s">
        <v>1516</v>
      </c>
    </row>
    <row r="727" spans="1:49" x14ac:dyDescent="0.3">
      <c r="A727" s="26" t="s">
        <v>1501</v>
      </c>
      <c r="B727" s="10" t="s">
        <v>100</v>
      </c>
      <c r="C727" s="10" t="s">
        <v>393</v>
      </c>
      <c r="D727" s="10" t="s">
        <v>1506</v>
      </c>
      <c r="E727" s="10">
        <v>1965</v>
      </c>
      <c r="F727" t="s">
        <v>2661</v>
      </c>
      <c r="G727" s="16" t="s">
        <v>34</v>
      </c>
      <c r="H727" s="10" t="s">
        <v>17</v>
      </c>
      <c r="I727" s="10"/>
      <c r="J727" s="10" t="s">
        <v>1509</v>
      </c>
      <c r="K727" s="10">
        <v>4</v>
      </c>
      <c r="L727" s="10">
        <v>4</v>
      </c>
      <c r="N727" s="10">
        <v>3300</v>
      </c>
      <c r="O727" s="10"/>
      <c r="P727" s="10"/>
      <c r="Q727" s="10"/>
      <c r="R727" s="10"/>
      <c r="S727" s="10"/>
      <c r="T727" s="10"/>
      <c r="U727" s="10"/>
      <c r="V727" s="10"/>
      <c r="W727" s="10">
        <v>2640</v>
      </c>
      <c r="X727" s="10"/>
      <c r="Y727" s="10">
        <v>2100</v>
      </c>
      <c r="Z727" s="10"/>
      <c r="AA727" s="10"/>
      <c r="AB727" s="10"/>
      <c r="AC727" s="10"/>
      <c r="AD727" s="10"/>
      <c r="AE727" s="10"/>
      <c r="AF727" s="10"/>
      <c r="AG727" s="10"/>
      <c r="AH727" s="10"/>
      <c r="AI727" s="14">
        <f t="shared" si="93"/>
        <v>0.8</v>
      </c>
      <c r="AJ727" s="10"/>
      <c r="AK727" s="10"/>
      <c r="AL727" s="10"/>
      <c r="AN727" s="10"/>
      <c r="AO727" s="10"/>
      <c r="AP727" s="10"/>
      <c r="AQ727" s="10"/>
      <c r="AR727" s="10"/>
      <c r="AS727" s="10"/>
      <c r="AT727" s="10"/>
      <c r="AU727" s="10" t="s">
        <v>2</v>
      </c>
      <c r="AV727" s="10" t="s">
        <v>2023</v>
      </c>
      <c r="AW727" s="10" t="s">
        <v>1516</v>
      </c>
    </row>
    <row r="728" spans="1:49" x14ac:dyDescent="0.3">
      <c r="A728" s="26" t="s">
        <v>1501</v>
      </c>
      <c r="B728" s="10" t="s">
        <v>100</v>
      </c>
      <c r="C728" s="10" t="s">
        <v>393</v>
      </c>
      <c r="D728" s="10" t="s">
        <v>1506</v>
      </c>
      <c r="E728" s="10">
        <v>1965</v>
      </c>
      <c r="F728" t="s">
        <v>2661</v>
      </c>
      <c r="G728" s="16" t="s">
        <v>34</v>
      </c>
      <c r="H728" s="10" t="s">
        <v>17</v>
      </c>
      <c r="I728" s="10"/>
      <c r="J728" s="10" t="s">
        <v>1510</v>
      </c>
      <c r="K728" s="10">
        <v>4</v>
      </c>
      <c r="L728" s="10">
        <v>4</v>
      </c>
      <c r="N728" s="10">
        <v>3300</v>
      </c>
      <c r="O728" s="10"/>
      <c r="P728" s="10"/>
      <c r="Q728" s="10"/>
      <c r="R728" s="10"/>
      <c r="S728" s="10"/>
      <c r="T728" s="10"/>
      <c r="U728" s="10"/>
      <c r="V728" s="10"/>
      <c r="W728" s="10">
        <v>1580</v>
      </c>
      <c r="X728" s="10"/>
      <c r="Y728" s="10">
        <v>5200</v>
      </c>
      <c r="Z728" s="10"/>
      <c r="AA728" s="10"/>
      <c r="AB728" s="10"/>
      <c r="AC728" s="10"/>
      <c r="AD728" s="10"/>
      <c r="AE728" s="10"/>
      <c r="AF728" s="10"/>
      <c r="AG728" s="10"/>
      <c r="AH728" s="10"/>
      <c r="AI728" s="14">
        <f t="shared" si="93"/>
        <v>0.47878787878787876</v>
      </c>
      <c r="AJ728" s="10"/>
      <c r="AK728" s="10"/>
      <c r="AL728" s="10"/>
      <c r="AN728" s="10"/>
      <c r="AO728" s="10"/>
      <c r="AP728" s="10"/>
      <c r="AQ728" s="10"/>
      <c r="AR728" s="10"/>
      <c r="AS728" s="10"/>
      <c r="AT728" s="10"/>
      <c r="AU728" s="10" t="s">
        <v>2</v>
      </c>
      <c r="AV728" s="10" t="s">
        <v>2023</v>
      </c>
      <c r="AW728" s="10" t="s">
        <v>1516</v>
      </c>
    </row>
    <row r="729" spans="1:49" x14ac:dyDescent="0.3">
      <c r="A729" s="26" t="s">
        <v>1501</v>
      </c>
      <c r="B729" s="10" t="s">
        <v>100</v>
      </c>
      <c r="C729" s="10" t="s">
        <v>393</v>
      </c>
      <c r="D729" s="10" t="s">
        <v>1506</v>
      </c>
      <c r="E729" s="10">
        <v>1965</v>
      </c>
      <c r="F729" t="s">
        <v>2661</v>
      </c>
      <c r="G729" s="16" t="s">
        <v>34</v>
      </c>
      <c r="H729" s="10" t="s">
        <v>17</v>
      </c>
      <c r="I729" s="10"/>
      <c r="J729" s="10" t="s">
        <v>1511</v>
      </c>
      <c r="K729" s="10">
        <v>4</v>
      </c>
      <c r="L729" s="10">
        <v>4</v>
      </c>
      <c r="N729" s="10">
        <v>3300</v>
      </c>
      <c r="O729" s="10"/>
      <c r="P729" s="10"/>
      <c r="Q729" s="10"/>
      <c r="R729" s="10"/>
      <c r="S729" s="10"/>
      <c r="T729" s="10"/>
      <c r="U729" s="10"/>
      <c r="V729" s="10"/>
      <c r="W729" s="10">
        <v>2900</v>
      </c>
      <c r="X729" s="10"/>
      <c r="Y729" s="10">
        <v>4000</v>
      </c>
      <c r="Z729" s="10"/>
      <c r="AA729" s="10"/>
      <c r="AB729" s="10"/>
      <c r="AC729" s="10"/>
      <c r="AD729" s="10"/>
      <c r="AE729" s="10"/>
      <c r="AF729" s="10"/>
      <c r="AG729" s="10"/>
      <c r="AH729" s="10"/>
      <c r="AI729" s="14">
        <f t="shared" si="93"/>
        <v>0.87878787878787878</v>
      </c>
      <c r="AJ729" s="10"/>
      <c r="AK729" s="10"/>
      <c r="AL729" s="10"/>
      <c r="AN729" s="10"/>
      <c r="AO729" s="10"/>
      <c r="AP729" s="10"/>
      <c r="AQ729" s="10"/>
      <c r="AR729" s="10"/>
      <c r="AS729" s="10"/>
      <c r="AT729" s="10"/>
      <c r="AU729" s="10" t="s">
        <v>2</v>
      </c>
      <c r="AV729" s="10" t="s">
        <v>2023</v>
      </c>
      <c r="AW729" s="10" t="s">
        <v>1516</v>
      </c>
    </row>
    <row r="730" spans="1:49" x14ac:dyDescent="0.3">
      <c r="A730" s="26" t="s">
        <v>1501</v>
      </c>
      <c r="B730" s="10" t="s">
        <v>100</v>
      </c>
      <c r="C730" s="10" t="s">
        <v>393</v>
      </c>
      <c r="D730" s="10" t="s">
        <v>1506</v>
      </c>
      <c r="E730" s="10">
        <v>1965</v>
      </c>
      <c r="F730" t="s">
        <v>2661</v>
      </c>
      <c r="G730" s="16" t="s">
        <v>34</v>
      </c>
      <c r="H730" s="10" t="s">
        <v>17</v>
      </c>
      <c r="I730" s="10"/>
      <c r="J730" s="10" t="s">
        <v>1512</v>
      </c>
      <c r="K730" s="10">
        <v>4</v>
      </c>
      <c r="L730" s="10">
        <v>4</v>
      </c>
      <c r="N730" s="10">
        <v>3300</v>
      </c>
      <c r="O730" s="10"/>
      <c r="P730" s="10"/>
      <c r="Q730" s="10"/>
      <c r="R730" s="10"/>
      <c r="S730" s="10"/>
      <c r="T730" s="10"/>
      <c r="U730" s="10"/>
      <c r="V730" s="10"/>
      <c r="W730" s="10">
        <v>1580</v>
      </c>
      <c r="X730" s="10"/>
      <c r="Y730" s="10">
        <v>4580</v>
      </c>
      <c r="Z730" s="10"/>
      <c r="AA730" s="10"/>
      <c r="AB730" s="10"/>
      <c r="AC730" s="10"/>
      <c r="AD730" s="10"/>
      <c r="AE730" s="10"/>
      <c r="AF730" s="10"/>
      <c r="AG730" s="10"/>
      <c r="AH730" s="10"/>
      <c r="AI730" s="14">
        <f t="shared" si="93"/>
        <v>0.47878787878787876</v>
      </c>
      <c r="AJ730" s="10"/>
      <c r="AK730" s="10"/>
      <c r="AL730" s="10"/>
      <c r="AN730" s="10"/>
      <c r="AO730" s="10"/>
      <c r="AP730" s="10"/>
      <c r="AQ730" s="10"/>
      <c r="AR730" s="10"/>
      <c r="AS730" s="10"/>
      <c r="AT730" s="10"/>
      <c r="AU730" s="10" t="s">
        <v>2</v>
      </c>
      <c r="AV730" s="10" t="s">
        <v>2023</v>
      </c>
      <c r="AW730" s="10" t="s">
        <v>1516</v>
      </c>
    </row>
    <row r="731" spans="1:49" x14ac:dyDescent="0.3">
      <c r="A731" s="26" t="s">
        <v>1501</v>
      </c>
      <c r="B731" s="10" t="s">
        <v>100</v>
      </c>
      <c r="C731" s="10" t="s">
        <v>393</v>
      </c>
      <c r="D731" s="10" t="s">
        <v>1506</v>
      </c>
      <c r="E731" s="10">
        <v>1965</v>
      </c>
      <c r="F731" t="s">
        <v>2661</v>
      </c>
      <c r="G731" s="16" t="s">
        <v>34</v>
      </c>
      <c r="H731" s="10" t="s">
        <v>17</v>
      </c>
      <c r="I731" s="10"/>
      <c r="J731" s="10" t="s">
        <v>1514</v>
      </c>
      <c r="K731" s="10">
        <v>4</v>
      </c>
      <c r="L731" s="10">
        <v>4</v>
      </c>
      <c r="N731" s="10">
        <v>3300</v>
      </c>
      <c r="O731" s="10"/>
      <c r="P731" s="10"/>
      <c r="Q731" s="10"/>
      <c r="R731" s="10"/>
      <c r="S731" s="10"/>
      <c r="T731" s="10"/>
      <c r="U731" s="10"/>
      <c r="V731" s="10"/>
      <c r="W731" s="10">
        <v>2640</v>
      </c>
      <c r="X731" s="10"/>
      <c r="Y731" s="10">
        <v>1550</v>
      </c>
      <c r="Z731" s="10"/>
      <c r="AA731" s="10"/>
      <c r="AB731" s="10"/>
      <c r="AC731" s="10"/>
      <c r="AD731" s="10"/>
      <c r="AE731" s="10"/>
      <c r="AF731" s="10"/>
      <c r="AG731" s="10"/>
      <c r="AH731" s="10"/>
      <c r="AI731" s="14">
        <f t="shared" si="93"/>
        <v>0.8</v>
      </c>
      <c r="AJ731" s="10"/>
      <c r="AK731" s="10"/>
      <c r="AL731" s="10"/>
      <c r="AN731" s="10"/>
      <c r="AO731" s="10"/>
      <c r="AP731" s="10"/>
      <c r="AQ731" s="10"/>
      <c r="AR731" s="10"/>
      <c r="AS731" s="10"/>
      <c r="AT731" s="10"/>
      <c r="AU731" s="10" t="s">
        <v>2</v>
      </c>
      <c r="AV731" s="10" t="s">
        <v>2023</v>
      </c>
      <c r="AW731" s="10" t="s">
        <v>1516</v>
      </c>
    </row>
    <row r="732" spans="1:49" x14ac:dyDescent="0.3">
      <c r="A732" s="26" t="s">
        <v>1501</v>
      </c>
      <c r="B732" s="10" t="s">
        <v>100</v>
      </c>
      <c r="C732" s="10" t="s">
        <v>393</v>
      </c>
      <c r="D732" s="10" t="s">
        <v>1506</v>
      </c>
      <c r="E732" s="10">
        <v>1965</v>
      </c>
      <c r="F732" t="s">
        <v>2661</v>
      </c>
      <c r="G732" s="16" t="s">
        <v>34</v>
      </c>
      <c r="H732" s="10" t="s">
        <v>17</v>
      </c>
      <c r="I732" s="10"/>
      <c r="J732" s="10" t="s">
        <v>201</v>
      </c>
      <c r="K732" s="10">
        <v>4</v>
      </c>
      <c r="L732" s="10">
        <v>4</v>
      </c>
      <c r="N732" s="10">
        <v>3300</v>
      </c>
      <c r="O732" s="10"/>
      <c r="P732" s="10"/>
      <c r="Q732" s="10"/>
      <c r="R732" s="10"/>
      <c r="S732" s="10"/>
      <c r="T732" s="10"/>
      <c r="U732" s="10"/>
      <c r="V732" s="10"/>
      <c r="W732" s="10">
        <v>2640</v>
      </c>
      <c r="X732" s="10"/>
      <c r="Y732" s="10">
        <v>1000</v>
      </c>
      <c r="Z732" s="10"/>
      <c r="AA732" s="10"/>
      <c r="AB732" s="10"/>
      <c r="AC732" s="10"/>
      <c r="AD732" s="10"/>
      <c r="AE732" s="10"/>
      <c r="AF732" s="10"/>
      <c r="AG732" s="10"/>
      <c r="AH732" s="10"/>
      <c r="AI732" s="14">
        <f t="shared" si="93"/>
        <v>0.8</v>
      </c>
      <c r="AJ732" s="10"/>
      <c r="AK732" s="10"/>
      <c r="AL732" s="10"/>
      <c r="AN732" s="10"/>
      <c r="AO732" s="10"/>
      <c r="AP732" s="10"/>
      <c r="AQ732" s="10"/>
      <c r="AR732" s="10"/>
      <c r="AS732" s="10"/>
      <c r="AT732" s="10"/>
      <c r="AU732" s="10" t="s">
        <v>2</v>
      </c>
      <c r="AV732" s="10" t="s">
        <v>2023</v>
      </c>
      <c r="AW732" s="10" t="s">
        <v>1516</v>
      </c>
    </row>
    <row r="733" spans="1:49" x14ac:dyDescent="0.3">
      <c r="A733" s="26" t="s">
        <v>1501</v>
      </c>
      <c r="B733" s="10" t="s">
        <v>100</v>
      </c>
      <c r="C733" s="10" t="s">
        <v>393</v>
      </c>
      <c r="D733" s="10" t="s">
        <v>1506</v>
      </c>
      <c r="E733" s="10" t="s">
        <v>1515</v>
      </c>
      <c r="F733" t="s">
        <v>2661</v>
      </c>
      <c r="G733" s="16" t="s">
        <v>34</v>
      </c>
      <c r="H733" s="10" t="s">
        <v>17</v>
      </c>
      <c r="I733" s="10" t="s">
        <v>925</v>
      </c>
      <c r="J733" s="10" t="s">
        <v>228</v>
      </c>
      <c r="K733" s="10">
        <v>4</v>
      </c>
      <c r="L733" s="10">
        <v>4</v>
      </c>
      <c r="N733" s="10">
        <v>1490</v>
      </c>
      <c r="O733" s="10"/>
      <c r="P733" s="10"/>
      <c r="Q733" s="10"/>
      <c r="R733" s="10"/>
      <c r="S733" s="10"/>
      <c r="T733" s="10"/>
      <c r="U733" s="10"/>
      <c r="V733" s="10"/>
      <c r="W733" s="10">
        <v>1750</v>
      </c>
      <c r="X733" s="10"/>
      <c r="Y733" s="10"/>
      <c r="Z733" s="10"/>
      <c r="AA733" s="10"/>
      <c r="AB733" s="10"/>
      <c r="AC733" s="10"/>
      <c r="AD733" s="10"/>
      <c r="AE733" s="10"/>
      <c r="AF733" s="10"/>
      <c r="AG733" s="10"/>
      <c r="AH733" s="10"/>
      <c r="AI733" s="14">
        <f t="shared" si="93"/>
        <v>1.174496644295302</v>
      </c>
      <c r="AJ733" s="10"/>
      <c r="AK733" s="10"/>
      <c r="AL733" s="10"/>
      <c r="AN733" s="10"/>
      <c r="AO733" s="10"/>
      <c r="AP733" s="10"/>
      <c r="AQ733" s="10"/>
      <c r="AR733" s="10"/>
      <c r="AS733" s="10"/>
      <c r="AT733" s="10"/>
      <c r="AU733" s="10" t="s">
        <v>2</v>
      </c>
      <c r="AV733" s="10" t="s">
        <v>2023</v>
      </c>
      <c r="AW733" s="10" t="s">
        <v>1516</v>
      </c>
    </row>
    <row r="734" spans="1:49" x14ac:dyDescent="0.3">
      <c r="A734" s="26" t="s">
        <v>1501</v>
      </c>
      <c r="B734" s="10" t="s">
        <v>100</v>
      </c>
      <c r="C734" s="10" t="s">
        <v>393</v>
      </c>
      <c r="D734" s="10" t="s">
        <v>1506</v>
      </c>
      <c r="E734" s="10" t="s">
        <v>1515</v>
      </c>
      <c r="F734" t="s">
        <v>2661</v>
      </c>
      <c r="G734" s="16" t="s">
        <v>34</v>
      </c>
      <c r="H734" s="10" t="s">
        <v>17</v>
      </c>
      <c r="I734" s="10" t="s">
        <v>1058</v>
      </c>
      <c r="J734" s="10" t="s">
        <v>228</v>
      </c>
      <c r="K734" s="10">
        <v>4</v>
      </c>
      <c r="L734" s="10">
        <v>4</v>
      </c>
      <c r="N734" s="10">
        <v>2490</v>
      </c>
      <c r="O734" s="10"/>
      <c r="P734" s="10"/>
      <c r="Q734" s="10"/>
      <c r="R734" s="10"/>
      <c r="S734" s="10"/>
      <c r="T734" s="10"/>
      <c r="U734" s="10"/>
      <c r="V734" s="10"/>
      <c r="W734" s="10">
        <v>2150</v>
      </c>
      <c r="X734" s="10"/>
      <c r="Y734" s="10"/>
      <c r="Z734" s="10"/>
      <c r="AA734" s="10"/>
      <c r="AB734" s="10"/>
      <c r="AC734" s="10"/>
      <c r="AD734" s="10"/>
      <c r="AE734" s="10"/>
      <c r="AF734" s="10"/>
      <c r="AG734" s="10"/>
      <c r="AH734" s="10"/>
      <c r="AI734" s="14">
        <f t="shared" si="93"/>
        <v>0.86345381526104414</v>
      </c>
      <c r="AJ734" s="10"/>
      <c r="AK734" s="10"/>
      <c r="AL734" s="10"/>
      <c r="AN734" s="10"/>
      <c r="AO734" s="10"/>
      <c r="AP734" s="10"/>
      <c r="AQ734" s="10">
        <f>50*1.121</f>
        <v>56.05</v>
      </c>
      <c r="AR734" s="10" t="s">
        <v>14</v>
      </c>
      <c r="AS734" s="10"/>
      <c r="AT734" s="10"/>
      <c r="AU734" s="10" t="s">
        <v>2</v>
      </c>
      <c r="AV734" s="10" t="s">
        <v>2023</v>
      </c>
      <c r="AW734" s="10" t="s">
        <v>1516</v>
      </c>
    </row>
    <row r="735" spans="1:49" x14ac:dyDescent="0.3">
      <c r="A735" s="26" t="s">
        <v>1501</v>
      </c>
      <c r="B735" s="10" t="s">
        <v>100</v>
      </c>
      <c r="C735" s="10" t="s">
        <v>393</v>
      </c>
      <c r="D735" s="10" t="s">
        <v>1506</v>
      </c>
      <c r="E735" s="10" t="s">
        <v>1515</v>
      </c>
      <c r="F735" t="s">
        <v>2661</v>
      </c>
      <c r="G735" s="16" t="s">
        <v>1013</v>
      </c>
      <c r="H735" s="10" t="s">
        <v>17</v>
      </c>
      <c r="I735" s="10" t="s">
        <v>925</v>
      </c>
      <c r="J735" s="10" t="s">
        <v>228</v>
      </c>
      <c r="K735" s="10">
        <v>4</v>
      </c>
      <c r="L735" s="10">
        <v>4</v>
      </c>
      <c r="N735" s="10">
        <v>1350</v>
      </c>
      <c r="O735" s="10"/>
      <c r="P735" s="10"/>
      <c r="Q735" s="10"/>
      <c r="R735" s="10"/>
      <c r="S735" s="10"/>
      <c r="T735" s="10"/>
      <c r="U735" s="10"/>
      <c r="V735" s="10"/>
      <c r="W735" s="10">
        <v>1750</v>
      </c>
      <c r="X735" s="10"/>
      <c r="Y735" s="10"/>
      <c r="Z735" s="10"/>
      <c r="AA735" s="10"/>
      <c r="AB735" s="10"/>
      <c r="AC735" s="10"/>
      <c r="AD735" s="10"/>
      <c r="AE735" s="10"/>
      <c r="AF735" s="10"/>
      <c r="AG735" s="10"/>
      <c r="AH735" s="10"/>
      <c r="AI735" s="14">
        <f t="shared" si="93"/>
        <v>1.2962962962962963</v>
      </c>
      <c r="AJ735" s="10"/>
      <c r="AK735" s="10"/>
      <c r="AL735" s="10"/>
      <c r="AN735" s="10"/>
      <c r="AO735" s="10"/>
      <c r="AP735" s="10"/>
      <c r="AQ735" s="10"/>
      <c r="AR735" s="10"/>
      <c r="AS735" s="10"/>
      <c r="AT735" s="10"/>
      <c r="AU735" s="10" t="s">
        <v>2</v>
      </c>
      <c r="AV735" s="10" t="s">
        <v>2023</v>
      </c>
      <c r="AW735" s="10" t="s">
        <v>1516</v>
      </c>
    </row>
    <row r="736" spans="1:49" x14ac:dyDescent="0.3">
      <c r="A736" s="26" t="s">
        <v>1501</v>
      </c>
      <c r="B736" s="10" t="s">
        <v>100</v>
      </c>
      <c r="C736" s="10" t="s">
        <v>393</v>
      </c>
      <c r="D736" s="10" t="s">
        <v>1506</v>
      </c>
      <c r="E736" s="10" t="s">
        <v>1515</v>
      </c>
      <c r="F736" t="s">
        <v>2661</v>
      </c>
      <c r="G736" s="16" t="s">
        <v>1013</v>
      </c>
      <c r="H736" s="10" t="s">
        <v>17</v>
      </c>
      <c r="I736" s="10" t="s">
        <v>1058</v>
      </c>
      <c r="J736" s="10" t="s">
        <v>228</v>
      </c>
      <c r="K736" s="10">
        <v>4</v>
      </c>
      <c r="L736" s="10">
        <v>4</v>
      </c>
      <c r="N736" s="10">
        <v>2180</v>
      </c>
      <c r="O736" s="10"/>
      <c r="P736" s="10"/>
      <c r="Q736" s="10"/>
      <c r="R736" s="10"/>
      <c r="S736" s="10"/>
      <c r="T736" s="10"/>
      <c r="U736" s="10"/>
      <c r="V736" s="10"/>
      <c r="W736" s="10">
        <v>2080</v>
      </c>
      <c r="X736" s="10"/>
      <c r="Y736" s="10"/>
      <c r="Z736" s="10"/>
      <c r="AA736" s="10"/>
      <c r="AB736" s="10"/>
      <c r="AC736" s="10"/>
      <c r="AD736" s="10"/>
      <c r="AE736" s="10"/>
      <c r="AF736" s="10"/>
      <c r="AG736" s="10"/>
      <c r="AH736" s="10"/>
      <c r="AI736" s="14">
        <f t="shared" si="93"/>
        <v>0.95412844036697253</v>
      </c>
      <c r="AJ736" s="10"/>
      <c r="AK736" s="10"/>
      <c r="AL736" s="10"/>
      <c r="AN736" s="10"/>
      <c r="AO736" s="10"/>
      <c r="AP736" s="10"/>
      <c r="AQ736" s="10">
        <f>50*1.121</f>
        <v>56.05</v>
      </c>
      <c r="AR736" s="10" t="s">
        <v>14</v>
      </c>
      <c r="AS736" s="10"/>
      <c r="AT736" s="10"/>
      <c r="AU736" s="10" t="s">
        <v>2</v>
      </c>
      <c r="AV736" s="10" t="s">
        <v>2023</v>
      </c>
      <c r="AW736" s="10" t="s">
        <v>1516</v>
      </c>
    </row>
    <row r="737" spans="1:49" x14ac:dyDescent="0.3">
      <c r="A737" s="26" t="s">
        <v>1501</v>
      </c>
      <c r="B737" s="10" t="s">
        <v>100</v>
      </c>
      <c r="C737" s="10" t="s">
        <v>393</v>
      </c>
      <c r="D737" s="10" t="s">
        <v>1506</v>
      </c>
      <c r="E737" s="10" t="s">
        <v>1515</v>
      </c>
      <c r="F737" t="s">
        <v>2661</v>
      </c>
      <c r="G737" s="16" t="s">
        <v>34</v>
      </c>
      <c r="H737" s="10" t="s">
        <v>17</v>
      </c>
      <c r="I737" s="10" t="s">
        <v>925</v>
      </c>
      <c r="J737" s="10" t="s">
        <v>1511</v>
      </c>
      <c r="K737" s="10">
        <v>4</v>
      </c>
      <c r="L737" s="10">
        <v>4</v>
      </c>
      <c r="N737" s="10">
        <v>1490</v>
      </c>
      <c r="O737" s="10"/>
      <c r="P737" s="10"/>
      <c r="Q737" s="10"/>
      <c r="R737" s="10"/>
      <c r="S737" s="10"/>
      <c r="T737" s="10"/>
      <c r="U737" s="10"/>
      <c r="V737" s="10"/>
      <c r="W737" s="10">
        <v>2090</v>
      </c>
      <c r="X737" s="10"/>
      <c r="Y737" s="10"/>
      <c r="Z737" s="10"/>
      <c r="AA737" s="10"/>
      <c r="AB737" s="10"/>
      <c r="AC737" s="10"/>
      <c r="AD737" s="10"/>
      <c r="AE737" s="10"/>
      <c r="AF737" s="10"/>
      <c r="AG737" s="10"/>
      <c r="AH737" s="10"/>
      <c r="AI737" s="14">
        <f t="shared" si="93"/>
        <v>1.4026845637583893</v>
      </c>
      <c r="AJ737" s="10"/>
      <c r="AK737" s="10"/>
      <c r="AL737" s="10"/>
      <c r="AN737" s="10"/>
      <c r="AO737" s="10"/>
      <c r="AP737" s="10"/>
      <c r="AQ737" s="10"/>
      <c r="AR737" s="10"/>
      <c r="AS737" s="10"/>
      <c r="AT737" s="10"/>
      <c r="AU737" s="10" t="s">
        <v>2</v>
      </c>
      <c r="AV737" s="10" t="s">
        <v>2023</v>
      </c>
      <c r="AW737" s="10" t="s">
        <v>1516</v>
      </c>
    </row>
    <row r="738" spans="1:49" x14ac:dyDescent="0.3">
      <c r="A738" s="26" t="s">
        <v>1501</v>
      </c>
      <c r="B738" s="10" t="s">
        <v>100</v>
      </c>
      <c r="C738" s="10" t="s">
        <v>393</v>
      </c>
      <c r="D738" s="10" t="s">
        <v>1506</v>
      </c>
      <c r="E738" s="10" t="s">
        <v>1515</v>
      </c>
      <c r="F738" t="s">
        <v>2661</v>
      </c>
      <c r="G738" s="16" t="s">
        <v>34</v>
      </c>
      <c r="H738" s="10" t="s">
        <v>17</v>
      </c>
      <c r="I738" s="10" t="s">
        <v>1058</v>
      </c>
      <c r="J738" s="10" t="s">
        <v>1511</v>
      </c>
      <c r="K738" s="10">
        <v>4</v>
      </c>
      <c r="L738" s="10">
        <v>4</v>
      </c>
      <c r="N738" s="10">
        <v>2490</v>
      </c>
      <c r="O738" s="10"/>
      <c r="P738" s="10"/>
      <c r="Q738" s="10"/>
      <c r="R738" s="10"/>
      <c r="S738" s="10"/>
      <c r="T738" s="10"/>
      <c r="U738" s="10"/>
      <c r="V738" s="10"/>
      <c r="W738" s="10">
        <v>2090</v>
      </c>
      <c r="X738" s="10"/>
      <c r="Y738" s="10"/>
      <c r="Z738" s="10"/>
      <c r="AA738" s="10"/>
      <c r="AB738" s="10"/>
      <c r="AC738" s="10"/>
      <c r="AD738" s="10"/>
      <c r="AE738" s="10"/>
      <c r="AF738" s="10"/>
      <c r="AG738" s="10"/>
      <c r="AH738" s="10"/>
      <c r="AI738" s="14">
        <f t="shared" si="93"/>
        <v>0.8393574297188755</v>
      </c>
      <c r="AJ738" s="10"/>
      <c r="AK738" s="10"/>
      <c r="AL738" s="10"/>
      <c r="AN738" s="10"/>
      <c r="AO738" s="10"/>
      <c r="AP738" s="10"/>
      <c r="AQ738" s="10">
        <f>50*1.121</f>
        <v>56.05</v>
      </c>
      <c r="AR738" s="10" t="s">
        <v>14</v>
      </c>
      <c r="AS738" s="10"/>
      <c r="AT738" s="10"/>
      <c r="AU738" s="10" t="s">
        <v>2</v>
      </c>
      <c r="AV738" s="10" t="s">
        <v>2023</v>
      </c>
      <c r="AW738" s="10" t="s">
        <v>1516</v>
      </c>
    </row>
    <row r="739" spans="1:49" x14ac:dyDescent="0.3">
      <c r="A739" s="26" t="s">
        <v>1501</v>
      </c>
      <c r="B739" s="10" t="s">
        <v>100</v>
      </c>
      <c r="C739" s="10" t="s">
        <v>393</v>
      </c>
      <c r="D739" s="10" t="s">
        <v>1506</v>
      </c>
      <c r="E739" s="10" t="s">
        <v>1515</v>
      </c>
      <c r="F739" t="s">
        <v>2661</v>
      </c>
      <c r="G739" s="16" t="s">
        <v>1013</v>
      </c>
      <c r="H739" s="10" t="s">
        <v>17</v>
      </c>
      <c r="I739" s="10" t="s">
        <v>925</v>
      </c>
      <c r="J739" s="10" t="s">
        <v>1511</v>
      </c>
      <c r="K739" s="10">
        <v>4</v>
      </c>
      <c r="L739" s="10">
        <v>4</v>
      </c>
      <c r="N739" s="10">
        <v>1350</v>
      </c>
      <c r="O739" s="10"/>
      <c r="P739" s="10"/>
      <c r="Q739" s="10"/>
      <c r="R739" s="10"/>
      <c r="S739" s="10"/>
      <c r="T739" s="10"/>
      <c r="U739" s="10"/>
      <c r="V739" s="10"/>
      <c r="W739" s="10">
        <v>2030</v>
      </c>
      <c r="X739" s="10"/>
      <c r="Y739" s="10"/>
      <c r="Z739" s="10"/>
      <c r="AA739" s="10"/>
      <c r="AB739" s="10"/>
      <c r="AC739" s="10"/>
      <c r="AD739" s="10"/>
      <c r="AE739" s="10"/>
      <c r="AF739" s="10"/>
      <c r="AG739" s="10"/>
      <c r="AH739" s="10"/>
      <c r="AI739" s="14">
        <f t="shared" si="93"/>
        <v>1.5037037037037038</v>
      </c>
      <c r="AJ739" s="10"/>
      <c r="AK739" s="10"/>
      <c r="AL739" s="10"/>
      <c r="AN739" s="10"/>
      <c r="AO739" s="10"/>
      <c r="AP739" s="10"/>
      <c r="AQ739" s="10"/>
      <c r="AR739" s="10"/>
      <c r="AS739" s="10"/>
      <c r="AT739" s="10"/>
      <c r="AU739" s="10" t="s">
        <v>2</v>
      </c>
      <c r="AV739" s="10" t="s">
        <v>2023</v>
      </c>
      <c r="AW739" s="10" t="s">
        <v>1516</v>
      </c>
    </row>
    <row r="740" spans="1:49" x14ac:dyDescent="0.3">
      <c r="A740" s="26" t="s">
        <v>1501</v>
      </c>
      <c r="B740" s="10" t="s">
        <v>100</v>
      </c>
      <c r="C740" s="10" t="s">
        <v>393</v>
      </c>
      <c r="D740" s="10" t="s">
        <v>1506</v>
      </c>
      <c r="E740" s="10" t="s">
        <v>1515</v>
      </c>
      <c r="F740" t="s">
        <v>2661</v>
      </c>
      <c r="G740" s="16" t="s">
        <v>1013</v>
      </c>
      <c r="H740" s="10" t="s">
        <v>17</v>
      </c>
      <c r="I740" s="10" t="s">
        <v>1058</v>
      </c>
      <c r="J740" s="10" t="s">
        <v>1511</v>
      </c>
      <c r="K740" s="10">
        <v>4</v>
      </c>
      <c r="L740" s="10">
        <v>4</v>
      </c>
      <c r="N740" s="10">
        <v>2180</v>
      </c>
      <c r="O740" s="10"/>
      <c r="P740" s="10"/>
      <c r="Q740" s="10"/>
      <c r="R740" s="10"/>
      <c r="S740" s="10"/>
      <c r="T740" s="10"/>
      <c r="U740" s="10"/>
      <c r="V740" s="10"/>
      <c r="W740" s="10">
        <v>1960</v>
      </c>
      <c r="X740" s="10"/>
      <c r="Y740" s="10"/>
      <c r="Z740" s="10"/>
      <c r="AA740" s="10"/>
      <c r="AB740" s="10"/>
      <c r="AC740" s="10"/>
      <c r="AD740" s="10"/>
      <c r="AE740" s="10"/>
      <c r="AF740" s="10"/>
      <c r="AG740" s="10"/>
      <c r="AH740" s="10"/>
      <c r="AI740" s="14">
        <f t="shared" si="93"/>
        <v>0.8990825688073395</v>
      </c>
      <c r="AJ740" s="10"/>
      <c r="AK740" s="10"/>
      <c r="AL740" s="10"/>
      <c r="AN740" s="10"/>
      <c r="AO740" s="10"/>
      <c r="AP740" s="10"/>
      <c r="AQ740" s="10">
        <f>50*1.121</f>
        <v>56.05</v>
      </c>
      <c r="AR740" s="10" t="s">
        <v>14</v>
      </c>
      <c r="AS740" s="10"/>
      <c r="AT740" s="10"/>
      <c r="AU740" s="10" t="s">
        <v>2</v>
      </c>
      <c r="AV740" s="10" t="s">
        <v>2023</v>
      </c>
      <c r="AW740" s="10" t="s">
        <v>1516</v>
      </c>
    </row>
    <row r="741" spans="1:49" x14ac:dyDescent="0.3">
      <c r="A741" s="26" t="s">
        <v>1501</v>
      </c>
      <c r="B741" s="10" t="s">
        <v>100</v>
      </c>
      <c r="C741" s="10" t="s">
        <v>393</v>
      </c>
      <c r="D741" s="10" t="s">
        <v>1506</v>
      </c>
      <c r="E741" s="10" t="s">
        <v>1515</v>
      </c>
      <c r="F741" t="s">
        <v>2661</v>
      </c>
      <c r="G741" s="16" t="s">
        <v>34</v>
      </c>
      <c r="H741" s="10" t="s">
        <v>17</v>
      </c>
      <c r="I741" s="10" t="s">
        <v>925</v>
      </c>
      <c r="J741" s="10" t="s">
        <v>1507</v>
      </c>
      <c r="K741" s="10">
        <v>4</v>
      </c>
      <c r="L741" s="10">
        <v>4</v>
      </c>
      <c r="N741" s="10">
        <v>1490</v>
      </c>
      <c r="O741" s="10"/>
      <c r="P741" s="10"/>
      <c r="Q741" s="10"/>
      <c r="R741" s="10"/>
      <c r="S741" s="10"/>
      <c r="T741" s="10"/>
      <c r="U741" s="10"/>
      <c r="V741" s="10"/>
      <c r="W741" s="10">
        <v>1720</v>
      </c>
      <c r="X741" s="10"/>
      <c r="Y741" s="10"/>
      <c r="Z741" s="10"/>
      <c r="AA741" s="10"/>
      <c r="AB741" s="10"/>
      <c r="AC741" s="10"/>
      <c r="AD741" s="10"/>
      <c r="AE741" s="10"/>
      <c r="AF741" s="10"/>
      <c r="AG741" s="10"/>
      <c r="AH741" s="10"/>
      <c r="AI741" s="14">
        <f t="shared" si="93"/>
        <v>1.1543624161073827</v>
      </c>
      <c r="AJ741" s="10"/>
      <c r="AK741" s="10"/>
      <c r="AL741" s="10"/>
      <c r="AN741" s="10"/>
      <c r="AO741" s="10"/>
      <c r="AP741" s="10"/>
      <c r="AQ741" s="10"/>
      <c r="AR741" s="10"/>
      <c r="AS741" s="10"/>
      <c r="AT741" s="10"/>
      <c r="AU741" s="10" t="s">
        <v>2</v>
      </c>
      <c r="AV741" s="10" t="s">
        <v>2023</v>
      </c>
      <c r="AW741" s="10" t="s">
        <v>1516</v>
      </c>
    </row>
    <row r="742" spans="1:49" x14ac:dyDescent="0.3">
      <c r="A742" s="26" t="s">
        <v>1501</v>
      </c>
      <c r="B742" s="10" t="s">
        <v>100</v>
      </c>
      <c r="C742" s="10" t="s">
        <v>393</v>
      </c>
      <c r="D742" s="10" t="s">
        <v>1506</v>
      </c>
      <c r="E742" s="10" t="s">
        <v>1515</v>
      </c>
      <c r="F742" t="s">
        <v>2661</v>
      </c>
      <c r="G742" s="16" t="s">
        <v>34</v>
      </c>
      <c r="H742" s="10" t="s">
        <v>17</v>
      </c>
      <c r="I742" s="10" t="s">
        <v>1058</v>
      </c>
      <c r="J742" s="10" t="s">
        <v>1507</v>
      </c>
      <c r="K742" s="10">
        <v>4</v>
      </c>
      <c r="L742" s="10">
        <v>4</v>
      </c>
      <c r="N742" s="10">
        <v>2490</v>
      </c>
      <c r="O742" s="10"/>
      <c r="P742" s="10"/>
      <c r="Q742" s="10"/>
      <c r="R742" s="10"/>
      <c r="S742" s="10"/>
      <c r="T742" s="10"/>
      <c r="U742" s="10"/>
      <c r="V742" s="10"/>
      <c r="W742" s="10">
        <v>2210</v>
      </c>
      <c r="X742" s="10"/>
      <c r="Y742" s="10"/>
      <c r="Z742" s="10"/>
      <c r="AA742" s="10"/>
      <c r="AB742" s="10"/>
      <c r="AC742" s="10"/>
      <c r="AD742" s="10"/>
      <c r="AE742" s="10"/>
      <c r="AF742" s="10"/>
      <c r="AG742" s="10"/>
      <c r="AH742" s="10"/>
      <c r="AI742" s="14">
        <f t="shared" si="93"/>
        <v>0.8875502008032129</v>
      </c>
      <c r="AJ742" s="10"/>
      <c r="AK742" s="10"/>
      <c r="AL742" s="10"/>
      <c r="AN742" s="10"/>
      <c r="AO742" s="10"/>
      <c r="AP742" s="10"/>
      <c r="AQ742" s="10">
        <f>50*1.121</f>
        <v>56.05</v>
      </c>
      <c r="AR742" s="10" t="s">
        <v>14</v>
      </c>
      <c r="AS742" s="10"/>
      <c r="AT742" s="10"/>
      <c r="AU742" s="10" t="s">
        <v>2</v>
      </c>
      <c r="AV742" s="10" t="s">
        <v>2023</v>
      </c>
      <c r="AW742" s="10" t="s">
        <v>1516</v>
      </c>
    </row>
    <row r="743" spans="1:49" x14ac:dyDescent="0.3">
      <c r="A743" s="26" t="s">
        <v>1501</v>
      </c>
      <c r="B743" s="10" t="s">
        <v>100</v>
      </c>
      <c r="C743" s="10" t="s">
        <v>393</v>
      </c>
      <c r="D743" s="10" t="s">
        <v>1506</v>
      </c>
      <c r="E743" s="10" t="s">
        <v>1515</v>
      </c>
      <c r="F743" t="s">
        <v>2661</v>
      </c>
      <c r="G743" s="16" t="s">
        <v>1013</v>
      </c>
      <c r="H743" s="10" t="s">
        <v>17</v>
      </c>
      <c r="I743" s="10" t="s">
        <v>925</v>
      </c>
      <c r="J743" s="10" t="s">
        <v>1507</v>
      </c>
      <c r="K743" s="10">
        <v>4</v>
      </c>
      <c r="L743" s="10">
        <v>4</v>
      </c>
      <c r="N743" s="10">
        <v>1350</v>
      </c>
      <c r="O743" s="10"/>
      <c r="P743" s="10"/>
      <c r="Q743" s="10"/>
      <c r="R743" s="10"/>
      <c r="S743" s="10"/>
      <c r="T743" s="10"/>
      <c r="U743" s="10"/>
      <c r="V743" s="10"/>
      <c r="W743" s="10">
        <v>1880</v>
      </c>
      <c r="X743" s="10"/>
      <c r="Y743" s="10"/>
      <c r="Z743" s="10"/>
      <c r="AA743" s="10"/>
      <c r="AB743" s="10"/>
      <c r="AC743" s="10"/>
      <c r="AD743" s="10"/>
      <c r="AE743" s="10"/>
      <c r="AF743" s="10"/>
      <c r="AG743" s="10"/>
      <c r="AH743" s="10"/>
      <c r="AI743" s="14">
        <f t="shared" si="93"/>
        <v>1.3925925925925926</v>
      </c>
      <c r="AJ743" s="10"/>
      <c r="AK743" s="10"/>
      <c r="AL743" s="10"/>
      <c r="AN743" s="10"/>
      <c r="AO743" s="10"/>
      <c r="AP743" s="10"/>
      <c r="AQ743" s="10"/>
      <c r="AR743" s="10"/>
      <c r="AS743" s="10"/>
      <c r="AT743" s="10"/>
      <c r="AU743" s="10" t="s">
        <v>2</v>
      </c>
      <c r="AV743" s="10" t="s">
        <v>2023</v>
      </c>
      <c r="AW743" s="10" t="s">
        <v>1516</v>
      </c>
    </row>
    <row r="744" spans="1:49" x14ac:dyDescent="0.3">
      <c r="A744" s="26" t="s">
        <v>1501</v>
      </c>
      <c r="B744" s="10" t="s">
        <v>100</v>
      </c>
      <c r="C744" s="10" t="s">
        <v>393</v>
      </c>
      <c r="D744" s="10" t="s">
        <v>1506</v>
      </c>
      <c r="E744" s="10" t="s">
        <v>1515</v>
      </c>
      <c r="F744" t="s">
        <v>2661</v>
      </c>
      <c r="G744" s="16" t="s">
        <v>1013</v>
      </c>
      <c r="H744" s="10" t="s">
        <v>17</v>
      </c>
      <c r="I744" s="10" t="s">
        <v>1058</v>
      </c>
      <c r="J744" s="10" t="s">
        <v>1507</v>
      </c>
      <c r="K744" s="10">
        <v>4</v>
      </c>
      <c r="L744" s="10">
        <v>4</v>
      </c>
      <c r="N744" s="10">
        <v>2180</v>
      </c>
      <c r="O744" s="10"/>
      <c r="P744" s="10"/>
      <c r="Q744" s="10"/>
      <c r="R744" s="10"/>
      <c r="S744" s="10"/>
      <c r="T744" s="10"/>
      <c r="U744" s="10"/>
      <c r="V744" s="10"/>
      <c r="W744" s="10">
        <v>2180</v>
      </c>
      <c r="X744" s="10"/>
      <c r="Y744" s="10"/>
      <c r="Z744" s="10"/>
      <c r="AA744" s="10"/>
      <c r="AB744" s="10"/>
      <c r="AC744" s="10"/>
      <c r="AD744" s="10"/>
      <c r="AE744" s="10"/>
      <c r="AF744" s="10"/>
      <c r="AG744" s="10"/>
      <c r="AH744" s="10"/>
      <c r="AI744" s="14">
        <f t="shared" si="93"/>
        <v>1</v>
      </c>
      <c r="AJ744" s="10"/>
      <c r="AK744" s="10"/>
      <c r="AL744" s="10"/>
      <c r="AN744" s="10"/>
      <c r="AO744" s="10"/>
      <c r="AP744" s="10"/>
      <c r="AQ744" s="10">
        <f>50*1.121</f>
        <v>56.05</v>
      </c>
      <c r="AR744" s="10" t="s">
        <v>14</v>
      </c>
      <c r="AS744" s="10"/>
      <c r="AT744" s="10"/>
      <c r="AU744" s="10" t="s">
        <v>2</v>
      </c>
      <c r="AV744" s="10" t="s">
        <v>2023</v>
      </c>
      <c r="AW744" s="10" t="s">
        <v>1516</v>
      </c>
    </row>
    <row r="745" spans="1:49" s="10" customFormat="1" x14ac:dyDescent="0.3">
      <c r="A745" s="26" t="s">
        <v>1502</v>
      </c>
      <c r="B745" s="10" t="s">
        <v>767</v>
      </c>
      <c r="C745" s="10" t="s">
        <v>1517</v>
      </c>
      <c r="D745" s="10" t="s">
        <v>1518</v>
      </c>
      <c r="F745" t="s">
        <v>2661</v>
      </c>
      <c r="G745" s="16" t="s">
        <v>34</v>
      </c>
      <c r="H745" s="10" t="s">
        <v>217</v>
      </c>
      <c r="I745" s="10" t="s">
        <v>1521</v>
      </c>
      <c r="J745" s="10" t="s">
        <v>1519</v>
      </c>
      <c r="K745" s="10">
        <v>3</v>
      </c>
      <c r="L745" s="10">
        <v>3</v>
      </c>
      <c r="M745" s="53"/>
      <c r="N745" s="10">
        <v>470</v>
      </c>
      <c r="P745" s="10">
        <v>585</v>
      </c>
      <c r="R745" s="10">
        <v>237.2</v>
      </c>
      <c r="W745" s="10">
        <v>262</v>
      </c>
      <c r="Y745" s="10">
        <v>210</v>
      </c>
      <c r="AA745" s="10">
        <v>0</v>
      </c>
      <c r="AD745" s="14">
        <f t="shared" ref="AD745:AD781" si="94">W745/N745</f>
        <v>0.55744680851063833</v>
      </c>
      <c r="AE745" s="39">
        <f t="shared" ref="AE745:AE767" si="95">Y745/P745</f>
        <v>0.35897435897435898</v>
      </c>
      <c r="AF745" s="39">
        <f>AA745/R745</f>
        <v>0</v>
      </c>
      <c r="AI745" s="14">
        <f>AD745+AE745+AF745</f>
        <v>0.91642116748499736</v>
      </c>
      <c r="AM745"/>
      <c r="AU745" s="10" t="s">
        <v>2</v>
      </c>
      <c r="AV745" s="10" t="s">
        <v>3</v>
      </c>
    </row>
    <row r="746" spans="1:49" s="10" customFormat="1" x14ac:dyDescent="0.3">
      <c r="A746" s="26" t="s">
        <v>1502</v>
      </c>
      <c r="B746" s="10" t="s">
        <v>767</v>
      </c>
      <c r="C746" s="10" t="s">
        <v>1517</v>
      </c>
      <c r="D746" s="10" t="s">
        <v>1518</v>
      </c>
      <c r="F746" t="s">
        <v>2661</v>
      </c>
      <c r="G746" s="16" t="s">
        <v>34</v>
      </c>
      <c r="H746" s="10" t="s">
        <v>217</v>
      </c>
      <c r="I746" s="10" t="s">
        <v>1522</v>
      </c>
      <c r="J746" s="10" t="s">
        <v>1519</v>
      </c>
      <c r="K746" s="10">
        <v>3</v>
      </c>
      <c r="L746" s="10">
        <v>3</v>
      </c>
      <c r="M746" s="53"/>
      <c r="N746" s="10">
        <v>172</v>
      </c>
      <c r="P746" s="10">
        <v>382</v>
      </c>
      <c r="R746" s="10">
        <v>0</v>
      </c>
      <c r="W746" s="10">
        <v>176</v>
      </c>
      <c r="Y746" s="10">
        <v>128</v>
      </c>
      <c r="AA746" s="10">
        <v>0</v>
      </c>
      <c r="AD746" s="14">
        <f t="shared" si="94"/>
        <v>1.0232558139534884</v>
      </c>
      <c r="AE746" s="39">
        <f t="shared" si="95"/>
        <v>0.33507853403141363</v>
      </c>
      <c r="AF746" s="39"/>
      <c r="AI746" s="14">
        <f t="shared" ref="AI746:AI760" si="96">AD746+AE746+AF746</f>
        <v>1.3583343479849019</v>
      </c>
      <c r="AM746"/>
      <c r="AU746" s="10" t="s">
        <v>2</v>
      </c>
      <c r="AV746" s="10" t="s">
        <v>3</v>
      </c>
    </row>
    <row r="747" spans="1:49" s="10" customFormat="1" x14ac:dyDescent="0.3">
      <c r="A747" s="26" t="s">
        <v>1502</v>
      </c>
      <c r="B747" s="10" t="s">
        <v>767</v>
      </c>
      <c r="C747" s="10" t="s">
        <v>1517</v>
      </c>
      <c r="D747" s="10" t="s">
        <v>1518</v>
      </c>
      <c r="F747" t="s">
        <v>2661</v>
      </c>
      <c r="G747" s="16" t="s">
        <v>34</v>
      </c>
      <c r="H747" s="10" t="s">
        <v>217</v>
      </c>
      <c r="I747" s="10" t="s">
        <v>1523</v>
      </c>
      <c r="J747" s="10" t="s">
        <v>1519</v>
      </c>
      <c r="K747" s="10">
        <v>3</v>
      </c>
      <c r="L747" s="10">
        <v>3</v>
      </c>
      <c r="M747" s="53"/>
      <c r="N747" s="10">
        <v>430</v>
      </c>
      <c r="P747" s="10">
        <v>630</v>
      </c>
      <c r="R747" s="10">
        <v>22.7</v>
      </c>
      <c r="W747" s="10">
        <v>262</v>
      </c>
      <c r="Y747" s="10">
        <v>210</v>
      </c>
      <c r="AA747" s="10">
        <v>0</v>
      </c>
      <c r="AD747" s="14">
        <f t="shared" si="94"/>
        <v>0.6093023255813953</v>
      </c>
      <c r="AE747" s="39">
        <f t="shared" si="95"/>
        <v>0.33333333333333331</v>
      </c>
      <c r="AF747" s="39">
        <f>AA747/R747</f>
        <v>0</v>
      </c>
      <c r="AI747" s="14">
        <f t="shared" si="96"/>
        <v>0.94263565891472867</v>
      </c>
      <c r="AM747"/>
      <c r="AU747" s="10" t="s">
        <v>2</v>
      </c>
      <c r="AV747" s="10" t="s">
        <v>3</v>
      </c>
    </row>
    <row r="748" spans="1:49" s="10" customFormat="1" x14ac:dyDescent="0.3">
      <c r="A748" s="26" t="s">
        <v>1502</v>
      </c>
      <c r="B748" s="10" t="s">
        <v>767</v>
      </c>
      <c r="C748" s="10" t="s">
        <v>1517</v>
      </c>
      <c r="D748" s="10" t="s">
        <v>1518</v>
      </c>
      <c r="F748" t="s">
        <v>2661</v>
      </c>
      <c r="G748" s="16" t="s">
        <v>34</v>
      </c>
      <c r="H748" s="10" t="s">
        <v>217</v>
      </c>
      <c r="I748" s="10" t="s">
        <v>1524</v>
      </c>
      <c r="J748" s="10" t="s">
        <v>1519</v>
      </c>
      <c r="K748" s="10">
        <v>3</v>
      </c>
      <c r="L748" s="10">
        <v>3</v>
      </c>
      <c r="M748" s="53"/>
      <c r="N748" s="10">
        <v>146</v>
      </c>
      <c r="P748" s="10">
        <v>441</v>
      </c>
      <c r="R748" s="10">
        <v>0</v>
      </c>
      <c r="W748" s="10">
        <v>176</v>
      </c>
      <c r="Y748" s="10">
        <v>128</v>
      </c>
      <c r="AA748" s="10">
        <v>0</v>
      </c>
      <c r="AD748" s="14">
        <f t="shared" si="94"/>
        <v>1.2054794520547945</v>
      </c>
      <c r="AE748" s="39">
        <f t="shared" si="95"/>
        <v>0.29024943310657597</v>
      </c>
      <c r="AF748" s="39"/>
      <c r="AI748" s="14">
        <f t="shared" si="96"/>
        <v>1.4957288851613704</v>
      </c>
      <c r="AM748"/>
      <c r="AU748" s="10" t="s">
        <v>2</v>
      </c>
      <c r="AV748" s="10" t="s">
        <v>3</v>
      </c>
    </row>
    <row r="749" spans="1:49" s="10" customFormat="1" x14ac:dyDescent="0.3">
      <c r="A749" s="26" t="s">
        <v>1502</v>
      </c>
      <c r="B749" s="10" t="s">
        <v>767</v>
      </c>
      <c r="C749" s="10" t="s">
        <v>1517</v>
      </c>
      <c r="D749" s="10" t="s">
        <v>1518</v>
      </c>
      <c r="F749" t="s">
        <v>2661</v>
      </c>
      <c r="G749" s="16" t="s">
        <v>34</v>
      </c>
      <c r="H749" s="10" t="s">
        <v>217</v>
      </c>
      <c r="I749" s="10" t="s">
        <v>1525</v>
      </c>
      <c r="J749" s="10" t="s">
        <v>1519</v>
      </c>
      <c r="K749" s="10">
        <v>3</v>
      </c>
      <c r="L749" s="10">
        <v>3</v>
      </c>
      <c r="M749" s="53"/>
      <c r="N749" s="10">
        <v>835</v>
      </c>
      <c r="P749" s="10">
        <v>635</v>
      </c>
      <c r="R749" s="10">
        <v>0</v>
      </c>
      <c r="W749" s="10">
        <v>262</v>
      </c>
      <c r="Y749" s="10">
        <v>210</v>
      </c>
      <c r="AA749" s="10">
        <v>0</v>
      </c>
      <c r="AD749" s="14">
        <f t="shared" si="94"/>
        <v>0.31377245508982038</v>
      </c>
      <c r="AE749" s="39">
        <f t="shared" si="95"/>
        <v>0.33070866141732286</v>
      </c>
      <c r="AF749" s="39"/>
      <c r="AI749" s="14">
        <f t="shared" si="96"/>
        <v>0.64448111650714324</v>
      </c>
      <c r="AM749"/>
      <c r="AU749" s="10" t="s">
        <v>2</v>
      </c>
      <c r="AV749" s="10" t="s">
        <v>3</v>
      </c>
    </row>
    <row r="750" spans="1:49" s="10" customFormat="1" x14ac:dyDescent="0.3">
      <c r="A750" s="26" t="s">
        <v>1502</v>
      </c>
      <c r="B750" s="10" t="s">
        <v>767</v>
      </c>
      <c r="C750" s="10" t="s">
        <v>1517</v>
      </c>
      <c r="D750" s="10" t="s">
        <v>1518</v>
      </c>
      <c r="F750" t="s">
        <v>2661</v>
      </c>
      <c r="G750" s="16" t="s">
        <v>34</v>
      </c>
      <c r="H750" s="10" t="s">
        <v>217</v>
      </c>
      <c r="I750" s="10" t="s">
        <v>1526</v>
      </c>
      <c r="J750" s="10" t="s">
        <v>1519</v>
      </c>
      <c r="K750" s="10">
        <v>3</v>
      </c>
      <c r="L750" s="10">
        <v>3</v>
      </c>
      <c r="M750" s="53"/>
      <c r="N750" s="10">
        <v>157</v>
      </c>
      <c r="P750" s="10">
        <v>614</v>
      </c>
      <c r="R750" s="10">
        <v>0</v>
      </c>
      <c r="W750" s="10">
        <v>176</v>
      </c>
      <c r="Y750" s="10">
        <v>128</v>
      </c>
      <c r="AA750" s="10">
        <v>0</v>
      </c>
      <c r="AD750" s="14">
        <f t="shared" si="94"/>
        <v>1.1210191082802548</v>
      </c>
      <c r="AE750" s="39">
        <f t="shared" si="95"/>
        <v>0.20846905537459284</v>
      </c>
      <c r="AF750" s="39"/>
      <c r="AI750" s="14">
        <f t="shared" si="96"/>
        <v>1.3294881636548477</v>
      </c>
      <c r="AM750"/>
      <c r="AU750" s="10" t="s">
        <v>2</v>
      </c>
      <c r="AV750" s="10" t="s">
        <v>3</v>
      </c>
    </row>
    <row r="751" spans="1:49" s="10" customFormat="1" x14ac:dyDescent="0.3">
      <c r="A751" s="26" t="s">
        <v>1502</v>
      </c>
      <c r="B751" s="10" t="s">
        <v>767</v>
      </c>
      <c r="C751" s="10" t="s">
        <v>1517</v>
      </c>
      <c r="D751" s="10" t="s">
        <v>1518</v>
      </c>
      <c r="F751" t="s">
        <v>2661</v>
      </c>
      <c r="G751" s="16" t="s">
        <v>34</v>
      </c>
      <c r="H751" s="10" t="s">
        <v>217</v>
      </c>
      <c r="I751" s="10" t="s">
        <v>1527</v>
      </c>
      <c r="J751" s="10" t="s">
        <v>1519</v>
      </c>
      <c r="K751" s="10">
        <v>3</v>
      </c>
      <c r="L751" s="10">
        <v>3</v>
      </c>
      <c r="M751" s="53"/>
      <c r="N751" s="10">
        <v>790</v>
      </c>
      <c r="P751" s="10">
        <v>820</v>
      </c>
      <c r="R751" s="10">
        <v>0</v>
      </c>
      <c r="W751" s="10">
        <v>262</v>
      </c>
      <c r="Y751" s="10">
        <v>210</v>
      </c>
      <c r="AA751" s="10">
        <v>0</v>
      </c>
      <c r="AD751" s="14">
        <f t="shared" si="94"/>
        <v>0.33164556962025316</v>
      </c>
      <c r="AE751" s="39">
        <f t="shared" si="95"/>
        <v>0.25609756097560976</v>
      </c>
      <c r="AF751" s="39"/>
      <c r="AI751" s="14">
        <f t="shared" si="96"/>
        <v>0.58774313059586292</v>
      </c>
      <c r="AM751"/>
      <c r="AU751" s="10" t="s">
        <v>2</v>
      </c>
      <c r="AV751" s="10" t="s">
        <v>3</v>
      </c>
    </row>
    <row r="752" spans="1:49" s="10" customFormat="1" x14ac:dyDescent="0.3">
      <c r="A752" s="26" t="s">
        <v>1502</v>
      </c>
      <c r="B752" s="10" t="s">
        <v>767</v>
      </c>
      <c r="C752" s="10" t="s">
        <v>1517</v>
      </c>
      <c r="D752" s="10" t="s">
        <v>1518</v>
      </c>
      <c r="F752" t="s">
        <v>2661</v>
      </c>
      <c r="G752" s="16" t="s">
        <v>34</v>
      </c>
      <c r="H752" s="10" t="s">
        <v>217</v>
      </c>
      <c r="I752" s="10" t="s">
        <v>1528</v>
      </c>
      <c r="J752" s="10" t="s">
        <v>1519</v>
      </c>
      <c r="K752" s="10">
        <v>3</v>
      </c>
      <c r="L752" s="10">
        <v>3</v>
      </c>
      <c r="M752" s="53"/>
      <c r="N752" s="10">
        <v>254</v>
      </c>
      <c r="P752" s="10">
        <v>482</v>
      </c>
      <c r="R752" s="10">
        <v>0</v>
      </c>
      <c r="W752" s="10">
        <v>176</v>
      </c>
      <c r="Y752" s="10">
        <v>128</v>
      </c>
      <c r="AA752" s="10">
        <v>0</v>
      </c>
      <c r="AD752" s="14">
        <f t="shared" si="94"/>
        <v>0.69291338582677164</v>
      </c>
      <c r="AE752" s="39">
        <f t="shared" si="95"/>
        <v>0.26556016597510373</v>
      </c>
      <c r="AF752" s="39"/>
      <c r="AI752" s="14">
        <f t="shared" si="96"/>
        <v>0.95847355180187543</v>
      </c>
      <c r="AM752"/>
      <c r="AU752" s="10" t="s">
        <v>2</v>
      </c>
      <c r="AV752" s="10" t="s">
        <v>3</v>
      </c>
    </row>
    <row r="753" spans="1:49" s="10" customFormat="1" x14ac:dyDescent="0.3">
      <c r="A753" s="26" t="s">
        <v>1502</v>
      </c>
      <c r="B753" s="10" t="s">
        <v>767</v>
      </c>
      <c r="C753" s="10" t="s">
        <v>1517</v>
      </c>
      <c r="D753" s="10" t="s">
        <v>1520</v>
      </c>
      <c r="F753" t="s">
        <v>2661</v>
      </c>
      <c r="G753" s="16" t="s">
        <v>34</v>
      </c>
      <c r="H753" s="10" t="s">
        <v>217</v>
      </c>
      <c r="I753" s="10" t="s">
        <v>1521</v>
      </c>
      <c r="J753" s="10" t="s">
        <v>1519</v>
      </c>
      <c r="K753" s="10">
        <v>4</v>
      </c>
      <c r="L753" s="10">
        <v>4</v>
      </c>
      <c r="M753" s="53"/>
      <c r="N753" s="10">
        <v>990</v>
      </c>
      <c r="P753" s="10">
        <v>425</v>
      </c>
      <c r="R753" s="10">
        <v>15</v>
      </c>
      <c r="W753" s="10">
        <v>1720</v>
      </c>
      <c r="Y753" s="10">
        <v>110</v>
      </c>
      <c r="AA753" s="10">
        <v>80</v>
      </c>
      <c r="AD753" s="14">
        <f t="shared" si="94"/>
        <v>1.7373737373737375</v>
      </c>
      <c r="AE753" s="39">
        <f t="shared" si="95"/>
        <v>0.25882352941176473</v>
      </c>
      <c r="AF753" s="39">
        <f t="shared" ref="AF753:AF760" si="97">AA753/R753</f>
        <v>5.333333333333333</v>
      </c>
      <c r="AI753" s="14">
        <f t="shared" si="96"/>
        <v>7.3295306001188347</v>
      </c>
      <c r="AM753"/>
      <c r="AU753" s="10" t="s">
        <v>2</v>
      </c>
      <c r="AV753" s="10" t="s">
        <v>3</v>
      </c>
    </row>
    <row r="754" spans="1:49" s="10" customFormat="1" x14ac:dyDescent="0.3">
      <c r="A754" s="26" t="s">
        <v>1502</v>
      </c>
      <c r="B754" s="10" t="s">
        <v>767</v>
      </c>
      <c r="C754" s="10" t="s">
        <v>1517</v>
      </c>
      <c r="D754" s="10" t="s">
        <v>1520</v>
      </c>
      <c r="F754" t="s">
        <v>2661</v>
      </c>
      <c r="G754" s="16" t="s">
        <v>34</v>
      </c>
      <c r="H754" s="10" t="s">
        <v>217</v>
      </c>
      <c r="I754" s="10" t="s">
        <v>1522</v>
      </c>
      <c r="J754" s="10" t="s">
        <v>1519</v>
      </c>
      <c r="K754" s="10">
        <v>4</v>
      </c>
      <c r="L754" s="10">
        <v>4</v>
      </c>
      <c r="M754" s="53"/>
      <c r="N754" s="10">
        <v>846.5</v>
      </c>
      <c r="P754" s="10">
        <v>140</v>
      </c>
      <c r="R754" s="10">
        <v>177</v>
      </c>
      <c r="W754" s="10">
        <v>1285.5999999999999</v>
      </c>
      <c r="Y754" s="10">
        <v>75</v>
      </c>
      <c r="AA754" s="10">
        <v>9.6</v>
      </c>
      <c r="AD754" s="14">
        <f t="shared" si="94"/>
        <v>1.5187241582988775</v>
      </c>
      <c r="AE754" s="39">
        <f t="shared" si="95"/>
        <v>0.5357142857142857</v>
      </c>
      <c r="AF754" s="39">
        <f t="shared" si="97"/>
        <v>5.4237288135593219E-2</v>
      </c>
      <c r="AI754" s="14">
        <f t="shared" si="96"/>
        <v>2.1086757321487566</v>
      </c>
      <c r="AM754"/>
      <c r="AU754" s="10" t="s">
        <v>2</v>
      </c>
      <c r="AV754" s="10" t="s">
        <v>3</v>
      </c>
    </row>
    <row r="755" spans="1:49" s="10" customFormat="1" x14ac:dyDescent="0.3">
      <c r="A755" s="26" t="s">
        <v>1502</v>
      </c>
      <c r="B755" s="10" t="s">
        <v>767</v>
      </c>
      <c r="C755" s="10" t="s">
        <v>1517</v>
      </c>
      <c r="D755" s="10" t="s">
        <v>1520</v>
      </c>
      <c r="F755" t="s">
        <v>2661</v>
      </c>
      <c r="G755" s="16" t="s">
        <v>34</v>
      </c>
      <c r="H755" s="10" t="s">
        <v>217</v>
      </c>
      <c r="I755" s="10" t="s">
        <v>1523</v>
      </c>
      <c r="J755" s="10" t="s">
        <v>1519</v>
      </c>
      <c r="K755" s="10">
        <v>4</v>
      </c>
      <c r="L755" s="10">
        <v>4</v>
      </c>
      <c r="M755" s="53"/>
      <c r="N755" s="10">
        <v>1150</v>
      </c>
      <c r="P755" s="10">
        <v>740</v>
      </c>
      <c r="R755" s="10">
        <v>250</v>
      </c>
      <c r="W755" s="10">
        <v>1720</v>
      </c>
      <c r="Y755" s="10">
        <v>110</v>
      </c>
      <c r="AA755" s="10">
        <v>80</v>
      </c>
      <c r="AD755" s="14">
        <f t="shared" si="94"/>
        <v>1.4956521739130435</v>
      </c>
      <c r="AE755" s="39">
        <f t="shared" si="95"/>
        <v>0.14864864864864866</v>
      </c>
      <c r="AF755" s="39">
        <f t="shared" si="97"/>
        <v>0.32</v>
      </c>
      <c r="AI755" s="14">
        <f t="shared" si="96"/>
        <v>1.9643008225616923</v>
      </c>
      <c r="AM755"/>
      <c r="AU755" s="10" t="s">
        <v>2</v>
      </c>
      <c r="AV755" s="10" t="s">
        <v>3</v>
      </c>
    </row>
    <row r="756" spans="1:49" s="10" customFormat="1" x14ac:dyDescent="0.3">
      <c r="A756" s="26" t="s">
        <v>1502</v>
      </c>
      <c r="B756" s="10" t="s">
        <v>767</v>
      </c>
      <c r="C756" s="10" t="s">
        <v>1517</v>
      </c>
      <c r="D756" s="10" t="s">
        <v>1520</v>
      </c>
      <c r="F756" t="s">
        <v>2661</v>
      </c>
      <c r="G756" s="16" t="s">
        <v>34</v>
      </c>
      <c r="H756" s="10" t="s">
        <v>217</v>
      </c>
      <c r="I756" s="10" t="s">
        <v>1524</v>
      </c>
      <c r="J756" s="10" t="s">
        <v>1519</v>
      </c>
      <c r="K756" s="10">
        <v>4</v>
      </c>
      <c r="L756" s="10">
        <v>4</v>
      </c>
      <c r="M756" s="53"/>
      <c r="N756" s="10">
        <v>785.8</v>
      </c>
      <c r="P756" s="10">
        <v>122</v>
      </c>
      <c r="R756" s="10">
        <v>95</v>
      </c>
      <c r="W756" s="10">
        <v>1285.5999999999999</v>
      </c>
      <c r="Y756" s="10">
        <v>75</v>
      </c>
      <c r="AA756" s="10">
        <v>9.6</v>
      </c>
      <c r="AD756" s="14">
        <f t="shared" si="94"/>
        <v>1.6360397047594808</v>
      </c>
      <c r="AE756" s="39">
        <f t="shared" si="95"/>
        <v>0.61475409836065575</v>
      </c>
      <c r="AF756" s="39">
        <f t="shared" si="97"/>
        <v>0.10105263157894737</v>
      </c>
      <c r="AI756" s="14">
        <f t="shared" si="96"/>
        <v>2.3518464346990839</v>
      </c>
      <c r="AM756"/>
      <c r="AU756" s="10" t="s">
        <v>2</v>
      </c>
      <c r="AV756" s="10" t="s">
        <v>3</v>
      </c>
    </row>
    <row r="757" spans="1:49" s="10" customFormat="1" x14ac:dyDescent="0.3">
      <c r="A757" s="26" t="s">
        <v>1502</v>
      </c>
      <c r="B757" s="10" t="s">
        <v>767</v>
      </c>
      <c r="C757" s="10" t="s">
        <v>1517</v>
      </c>
      <c r="D757" s="10" t="s">
        <v>1520</v>
      </c>
      <c r="F757" t="s">
        <v>2661</v>
      </c>
      <c r="G757" s="16" t="s">
        <v>34</v>
      </c>
      <c r="H757" s="10" t="s">
        <v>217</v>
      </c>
      <c r="I757" s="10" t="s">
        <v>1525</v>
      </c>
      <c r="J757" s="10" t="s">
        <v>1519</v>
      </c>
      <c r="K757" s="10">
        <v>4</v>
      </c>
      <c r="L757" s="10">
        <v>4</v>
      </c>
      <c r="M757" s="53"/>
      <c r="N757" s="10">
        <v>1230</v>
      </c>
      <c r="P757" s="10">
        <v>610</v>
      </c>
      <c r="R757" s="10">
        <v>430</v>
      </c>
      <c r="W757" s="10">
        <v>1720</v>
      </c>
      <c r="Y757" s="10">
        <v>110</v>
      </c>
      <c r="AA757" s="10">
        <v>80</v>
      </c>
      <c r="AD757" s="14">
        <f t="shared" si="94"/>
        <v>1.3983739837398375</v>
      </c>
      <c r="AE757" s="39">
        <f t="shared" si="95"/>
        <v>0.18032786885245902</v>
      </c>
      <c r="AF757" s="39">
        <f t="shared" si="97"/>
        <v>0.18604651162790697</v>
      </c>
      <c r="AI757" s="14">
        <f t="shared" si="96"/>
        <v>1.7647483642202033</v>
      </c>
      <c r="AM757"/>
      <c r="AU757" s="10" t="s">
        <v>2</v>
      </c>
      <c r="AV757" s="10" t="s">
        <v>3</v>
      </c>
    </row>
    <row r="758" spans="1:49" s="10" customFormat="1" x14ac:dyDescent="0.3">
      <c r="A758" s="26" t="s">
        <v>1502</v>
      </c>
      <c r="B758" s="10" t="s">
        <v>767</v>
      </c>
      <c r="C758" s="10" t="s">
        <v>1517</v>
      </c>
      <c r="D758" s="10" t="s">
        <v>1520</v>
      </c>
      <c r="F758" t="s">
        <v>2661</v>
      </c>
      <c r="G758" s="16" t="s">
        <v>34</v>
      </c>
      <c r="H758" s="10" t="s">
        <v>217</v>
      </c>
      <c r="I758" s="10" t="s">
        <v>1526</v>
      </c>
      <c r="J758" s="10" t="s">
        <v>1519</v>
      </c>
      <c r="K758" s="10">
        <v>4</v>
      </c>
      <c r="L758" s="10">
        <v>4</v>
      </c>
      <c r="M758" s="53"/>
      <c r="N758" s="10">
        <v>1492.6</v>
      </c>
      <c r="P758" s="10">
        <v>344</v>
      </c>
      <c r="R758" s="10">
        <v>143</v>
      </c>
      <c r="W758" s="10">
        <v>1285.5999999999999</v>
      </c>
      <c r="Y758" s="10">
        <v>75</v>
      </c>
      <c r="AA758" s="10">
        <v>9.6</v>
      </c>
      <c r="AD758" s="14">
        <f t="shared" si="94"/>
        <v>0.86131582473536106</v>
      </c>
      <c r="AE758" s="39">
        <f t="shared" si="95"/>
        <v>0.21802325581395349</v>
      </c>
      <c r="AF758" s="39">
        <f t="shared" si="97"/>
        <v>6.7132867132867133E-2</v>
      </c>
      <c r="AI758" s="14">
        <f t="shared" si="96"/>
        <v>1.1464719476821816</v>
      </c>
      <c r="AM758"/>
      <c r="AU758" s="10" t="s">
        <v>2</v>
      </c>
      <c r="AV758" s="10" t="s">
        <v>3</v>
      </c>
    </row>
    <row r="759" spans="1:49" s="10" customFormat="1" x14ac:dyDescent="0.3">
      <c r="A759" s="26" t="s">
        <v>1502</v>
      </c>
      <c r="B759" s="10" t="s">
        <v>767</v>
      </c>
      <c r="C759" s="10" t="s">
        <v>1517</v>
      </c>
      <c r="D759" s="10" t="s">
        <v>1520</v>
      </c>
      <c r="F759" t="s">
        <v>2661</v>
      </c>
      <c r="G759" s="16" t="s">
        <v>34</v>
      </c>
      <c r="H759" s="10" t="s">
        <v>217</v>
      </c>
      <c r="I759" s="10" t="s">
        <v>1527</v>
      </c>
      <c r="J759" s="10" t="s">
        <v>1519</v>
      </c>
      <c r="K759" s="10">
        <v>4</v>
      </c>
      <c r="L759" s="10">
        <v>4</v>
      </c>
      <c r="M759" s="53"/>
      <c r="N759" s="10">
        <v>1170</v>
      </c>
      <c r="P759" s="10">
        <v>295</v>
      </c>
      <c r="R759" s="10">
        <v>225</v>
      </c>
      <c r="W759" s="10">
        <v>1720</v>
      </c>
      <c r="Y759" s="10">
        <v>110</v>
      </c>
      <c r="AA759" s="10">
        <v>80</v>
      </c>
      <c r="AD759" s="14">
        <f t="shared" si="94"/>
        <v>1.4700854700854702</v>
      </c>
      <c r="AE759" s="39">
        <f t="shared" si="95"/>
        <v>0.3728813559322034</v>
      </c>
      <c r="AF759" s="39">
        <f t="shared" si="97"/>
        <v>0.35555555555555557</v>
      </c>
      <c r="AI759" s="14">
        <f t="shared" si="96"/>
        <v>2.1985223815732291</v>
      </c>
      <c r="AM759"/>
      <c r="AU759" s="10" t="s">
        <v>2</v>
      </c>
      <c r="AV759" s="10" t="s">
        <v>3</v>
      </c>
    </row>
    <row r="760" spans="1:49" s="10" customFormat="1" x14ac:dyDescent="0.3">
      <c r="A760" s="26" t="s">
        <v>1502</v>
      </c>
      <c r="B760" s="10" t="s">
        <v>767</v>
      </c>
      <c r="C760" s="10" t="s">
        <v>1517</v>
      </c>
      <c r="D760" s="10" t="s">
        <v>1520</v>
      </c>
      <c r="F760" t="s">
        <v>2661</v>
      </c>
      <c r="G760" s="16" t="s">
        <v>34</v>
      </c>
      <c r="H760" s="10" t="s">
        <v>217</v>
      </c>
      <c r="I760" s="10" t="s">
        <v>1528</v>
      </c>
      <c r="J760" s="10" t="s">
        <v>1519</v>
      </c>
      <c r="K760" s="10">
        <v>4</v>
      </c>
      <c r="L760" s="10">
        <v>4</v>
      </c>
      <c r="M760" s="53"/>
      <c r="N760" s="10">
        <v>1108.4000000000001</v>
      </c>
      <c r="P760" s="10">
        <v>438</v>
      </c>
      <c r="R760" s="10">
        <v>99</v>
      </c>
      <c r="W760" s="10">
        <v>1285.5999999999999</v>
      </c>
      <c r="Y760" s="10">
        <v>75</v>
      </c>
      <c r="AA760" s="10">
        <v>9.6</v>
      </c>
      <c r="AD760" s="14">
        <f t="shared" si="94"/>
        <v>1.1598700830025259</v>
      </c>
      <c r="AE760" s="39">
        <f t="shared" si="95"/>
        <v>0.17123287671232876</v>
      </c>
      <c r="AF760" s="39">
        <f t="shared" si="97"/>
        <v>9.696969696969697E-2</v>
      </c>
      <c r="AI760" s="14">
        <f t="shared" si="96"/>
        <v>1.4280726566845516</v>
      </c>
      <c r="AM760"/>
      <c r="AU760" s="10" t="s">
        <v>2</v>
      </c>
      <c r="AV760" s="10" t="s">
        <v>3</v>
      </c>
    </row>
    <row r="761" spans="1:49" x14ac:dyDescent="0.3">
      <c r="A761" s="26" t="s">
        <v>1503</v>
      </c>
      <c r="B761" s="10" t="s">
        <v>29</v>
      </c>
      <c r="C761" s="10" t="s">
        <v>1529</v>
      </c>
      <c r="D761" s="10" t="s">
        <v>1530</v>
      </c>
      <c r="E761" s="10">
        <v>1975</v>
      </c>
      <c r="F761" t="s">
        <v>2661</v>
      </c>
      <c r="G761" s="16" t="s">
        <v>34</v>
      </c>
      <c r="H761" s="10" t="s">
        <v>217</v>
      </c>
      <c r="I761" s="10" t="s">
        <v>1534</v>
      </c>
      <c r="J761" s="10" t="s">
        <v>1332</v>
      </c>
      <c r="K761" s="10">
        <v>4</v>
      </c>
      <c r="L761" s="10">
        <v>4</v>
      </c>
      <c r="N761" s="10">
        <v>3.88</v>
      </c>
      <c r="O761" s="10"/>
      <c r="P761" s="10">
        <v>2.77</v>
      </c>
      <c r="Q761" s="10"/>
      <c r="R761" s="10"/>
      <c r="S761" s="10"/>
      <c r="T761" s="10"/>
      <c r="U761" s="10"/>
      <c r="V761" s="10"/>
      <c r="W761" s="10">
        <v>4.01</v>
      </c>
      <c r="X761" s="10"/>
      <c r="Y761" s="10">
        <v>1.1399999999999999</v>
      </c>
      <c r="Z761" s="10"/>
      <c r="AA761" s="10"/>
      <c r="AB761" s="10"/>
      <c r="AC761" s="10"/>
      <c r="AD761" s="14">
        <f t="shared" si="94"/>
        <v>1.0335051546391751</v>
      </c>
      <c r="AE761" s="39">
        <f t="shared" si="95"/>
        <v>0.41155234657039708</v>
      </c>
      <c r="AF761" s="10"/>
      <c r="AG761" s="10"/>
      <c r="AH761" s="10"/>
      <c r="AI761" s="14">
        <f>AD761+AE761</f>
        <v>1.4450575012095723</v>
      </c>
      <c r="AJ761" s="10"/>
      <c r="AK761" s="10"/>
      <c r="AL761" s="10"/>
      <c r="AN761" s="10"/>
      <c r="AO761" s="10"/>
      <c r="AP761" s="10"/>
      <c r="AQ761" s="10">
        <v>0</v>
      </c>
      <c r="AR761" s="10"/>
      <c r="AS761" s="10" t="s">
        <v>3</v>
      </c>
      <c r="AT761" s="10"/>
      <c r="AU761" s="10" t="s">
        <v>2</v>
      </c>
      <c r="AV761" s="10" t="s">
        <v>3</v>
      </c>
      <c r="AW761" s="10"/>
    </row>
    <row r="762" spans="1:49" x14ac:dyDescent="0.3">
      <c r="A762" s="26" t="s">
        <v>1503</v>
      </c>
      <c r="B762" s="10" t="s">
        <v>29</v>
      </c>
      <c r="C762" s="10" t="s">
        <v>1529</v>
      </c>
      <c r="D762" s="10" t="s">
        <v>1530</v>
      </c>
      <c r="E762" s="10">
        <v>1975</v>
      </c>
      <c r="F762" t="s">
        <v>2661</v>
      </c>
      <c r="G762" s="16" t="s">
        <v>34</v>
      </c>
      <c r="H762" s="10" t="s">
        <v>217</v>
      </c>
      <c r="I762" s="10" t="s">
        <v>1535</v>
      </c>
      <c r="J762" s="10" t="s">
        <v>1332</v>
      </c>
      <c r="K762" s="10">
        <v>4</v>
      </c>
      <c r="L762" s="10">
        <v>4</v>
      </c>
      <c r="N762" s="10">
        <v>7.62</v>
      </c>
      <c r="O762" s="10"/>
      <c r="P762" s="10">
        <v>2.92</v>
      </c>
      <c r="Q762" s="10"/>
      <c r="R762" s="10"/>
      <c r="S762" s="10"/>
      <c r="T762" s="10"/>
      <c r="U762" s="10"/>
      <c r="V762" s="10"/>
      <c r="W762" s="10">
        <v>7.18</v>
      </c>
      <c r="X762" s="10"/>
      <c r="Y762" s="10">
        <v>0.64</v>
      </c>
      <c r="Z762" s="10"/>
      <c r="AA762" s="10"/>
      <c r="AB762" s="10"/>
      <c r="AC762" s="10"/>
      <c r="AD762" s="14">
        <f t="shared" si="94"/>
        <v>0.94225721784776895</v>
      </c>
      <c r="AE762" s="39">
        <f t="shared" si="95"/>
        <v>0.21917808219178084</v>
      </c>
      <c r="AF762" s="10"/>
      <c r="AG762" s="10"/>
      <c r="AH762" s="10"/>
      <c r="AI762" s="14">
        <f>AD762+AE762</f>
        <v>1.1614353000395499</v>
      </c>
      <c r="AJ762" s="10"/>
      <c r="AK762" s="10"/>
      <c r="AL762" s="10"/>
      <c r="AN762" s="10"/>
      <c r="AO762" s="10"/>
      <c r="AP762" s="10"/>
      <c r="AQ762" s="10">
        <v>168</v>
      </c>
      <c r="AR762" s="10"/>
      <c r="AS762" s="10" t="s">
        <v>3</v>
      </c>
      <c r="AT762" s="10"/>
      <c r="AU762" s="10" t="s">
        <v>2</v>
      </c>
      <c r="AV762" s="10" t="s">
        <v>3</v>
      </c>
      <c r="AW762" s="10"/>
    </row>
    <row r="763" spans="1:49" x14ac:dyDescent="0.3">
      <c r="A763" s="26" t="s">
        <v>1503</v>
      </c>
      <c r="B763" s="10" t="s">
        <v>29</v>
      </c>
      <c r="C763" s="10" t="s">
        <v>1529</v>
      </c>
      <c r="D763" s="10" t="s">
        <v>1531</v>
      </c>
      <c r="E763" s="10">
        <v>1975</v>
      </c>
      <c r="F763" t="s">
        <v>2661</v>
      </c>
      <c r="G763" s="16" t="s">
        <v>34</v>
      </c>
      <c r="H763" s="10" t="s">
        <v>217</v>
      </c>
      <c r="I763" s="10" t="s">
        <v>1534</v>
      </c>
      <c r="J763" s="10" t="s">
        <v>1533</v>
      </c>
      <c r="K763" s="10">
        <v>4</v>
      </c>
      <c r="L763" s="10">
        <v>4</v>
      </c>
      <c r="N763" s="10">
        <v>2.82</v>
      </c>
      <c r="O763" s="10"/>
      <c r="P763" s="10">
        <v>28.76</v>
      </c>
      <c r="Q763" s="10"/>
      <c r="R763" s="10"/>
      <c r="S763" s="10"/>
      <c r="T763" s="10"/>
      <c r="U763" s="10"/>
      <c r="V763" s="10"/>
      <c r="W763" s="10">
        <v>2.86</v>
      </c>
      <c r="X763" s="10"/>
      <c r="Y763" s="10">
        <v>2.2799999999999998</v>
      </c>
      <c r="Z763" s="10"/>
      <c r="AA763" s="10"/>
      <c r="AB763" s="10"/>
      <c r="AC763" s="10"/>
      <c r="AD763" s="14">
        <f t="shared" si="94"/>
        <v>1.0141843971631206</v>
      </c>
      <c r="AE763" s="39">
        <f t="shared" si="95"/>
        <v>7.9276773296244774E-2</v>
      </c>
      <c r="AF763" s="10"/>
      <c r="AG763" s="10"/>
      <c r="AH763" s="10"/>
      <c r="AI763" s="14">
        <f t="shared" ref="AI763:AI767" si="98">AD763+AE763</f>
        <v>1.0934611704593653</v>
      </c>
      <c r="AJ763" s="10"/>
      <c r="AK763" s="10"/>
      <c r="AL763" s="10"/>
      <c r="AN763" s="10"/>
      <c r="AO763" s="10"/>
      <c r="AP763" s="10"/>
      <c r="AQ763" s="10">
        <v>0</v>
      </c>
      <c r="AR763" s="10"/>
      <c r="AS763" s="10" t="s">
        <v>3</v>
      </c>
      <c r="AT763" s="10"/>
      <c r="AU763" s="10" t="s">
        <v>2</v>
      </c>
      <c r="AV763" s="10" t="s">
        <v>3</v>
      </c>
      <c r="AW763" s="10"/>
    </row>
    <row r="764" spans="1:49" x14ac:dyDescent="0.3">
      <c r="A764" s="26" t="s">
        <v>1503</v>
      </c>
      <c r="B764" s="10" t="s">
        <v>29</v>
      </c>
      <c r="C764" s="10" t="s">
        <v>1529</v>
      </c>
      <c r="D764" s="10" t="s">
        <v>1531</v>
      </c>
      <c r="E764" s="10">
        <v>1975</v>
      </c>
      <c r="F764" t="s">
        <v>2661</v>
      </c>
      <c r="G764" s="16" t="s">
        <v>34</v>
      </c>
      <c r="H764" s="10" t="s">
        <v>217</v>
      </c>
      <c r="I764" s="10" t="s">
        <v>1536</v>
      </c>
      <c r="J764" s="10" t="s">
        <v>1533</v>
      </c>
      <c r="K764" s="10">
        <v>4</v>
      </c>
      <c r="L764" s="10">
        <v>4</v>
      </c>
      <c r="N764" s="10">
        <v>8</v>
      </c>
      <c r="O764" s="10"/>
      <c r="P764" s="10">
        <v>27.99</v>
      </c>
      <c r="Q764" s="10"/>
      <c r="R764" s="10"/>
      <c r="S764" s="10"/>
      <c r="T764" s="10"/>
      <c r="U764" s="10"/>
      <c r="V764" s="10"/>
      <c r="W764" s="10">
        <v>7.71</v>
      </c>
      <c r="X764" s="10"/>
      <c r="Y764" s="10">
        <v>2.21</v>
      </c>
      <c r="Z764" s="10"/>
      <c r="AA764" s="10"/>
      <c r="AB764" s="10"/>
      <c r="AC764" s="10"/>
      <c r="AD764" s="14">
        <f t="shared" si="94"/>
        <v>0.96375</v>
      </c>
      <c r="AE764" s="39">
        <f t="shared" si="95"/>
        <v>7.8956770275098259E-2</v>
      </c>
      <c r="AF764" s="10"/>
      <c r="AG764" s="10"/>
      <c r="AH764" s="10"/>
      <c r="AI764" s="14">
        <f t="shared" si="98"/>
        <v>1.0427067702750983</v>
      </c>
      <c r="AJ764" s="10"/>
      <c r="AK764" s="10"/>
      <c r="AL764" s="10"/>
      <c r="AN764" s="10"/>
      <c r="AO764" s="10"/>
      <c r="AP764" s="10"/>
      <c r="AQ764" s="10">
        <v>90</v>
      </c>
      <c r="AR764" s="10"/>
      <c r="AS764" s="10" t="s">
        <v>3</v>
      </c>
      <c r="AT764" s="10"/>
      <c r="AU764" s="10" t="s">
        <v>2</v>
      </c>
      <c r="AV764" s="10" t="s">
        <v>3</v>
      </c>
      <c r="AW764" s="10"/>
    </row>
    <row r="765" spans="1:49" x14ac:dyDescent="0.3">
      <c r="A765" s="26" t="s">
        <v>1503</v>
      </c>
      <c r="B765" s="10" t="s">
        <v>29</v>
      </c>
      <c r="C765" s="10" t="s">
        <v>1529</v>
      </c>
      <c r="D765" s="10" t="s">
        <v>1531</v>
      </c>
      <c r="E765" s="10">
        <v>1975</v>
      </c>
      <c r="F765" t="s">
        <v>2661</v>
      </c>
      <c r="G765" s="16" t="s">
        <v>34</v>
      </c>
      <c r="H765" s="10" t="s">
        <v>217</v>
      </c>
      <c r="I765" s="10" t="s">
        <v>1537</v>
      </c>
      <c r="J765" s="10" t="s">
        <v>1533</v>
      </c>
      <c r="K765" s="10">
        <v>4</v>
      </c>
      <c r="L765" s="10">
        <v>4</v>
      </c>
      <c r="N765" s="10">
        <v>8.41</v>
      </c>
      <c r="O765" s="10"/>
      <c r="P765" s="10">
        <v>26.06</v>
      </c>
      <c r="Q765" s="10"/>
      <c r="R765" s="10"/>
      <c r="S765" s="10"/>
      <c r="T765" s="10"/>
      <c r="U765" s="10"/>
      <c r="V765" s="10"/>
      <c r="W765" s="10">
        <v>8.1300000000000008</v>
      </c>
      <c r="X765" s="10"/>
      <c r="Y765" s="10">
        <v>1.73</v>
      </c>
      <c r="Z765" s="10"/>
      <c r="AA765" s="10"/>
      <c r="AB765" s="10"/>
      <c r="AC765" s="10"/>
      <c r="AD765" s="14">
        <f t="shared" si="94"/>
        <v>0.96670630202140317</v>
      </c>
      <c r="AE765" s="39">
        <f t="shared" si="95"/>
        <v>6.6385264773599392E-2</v>
      </c>
      <c r="AF765" s="10"/>
      <c r="AG765" s="10"/>
      <c r="AH765" s="10"/>
      <c r="AI765" s="14">
        <f t="shared" si="98"/>
        <v>1.0330915667950025</v>
      </c>
      <c r="AJ765" s="10"/>
      <c r="AK765" s="10"/>
      <c r="AL765" s="10"/>
      <c r="AN765" s="10"/>
      <c r="AO765" s="10"/>
      <c r="AP765" s="10"/>
      <c r="AQ765" s="10">
        <v>135</v>
      </c>
      <c r="AR765" s="10"/>
      <c r="AS765" s="10" t="s">
        <v>3</v>
      </c>
      <c r="AT765" s="10"/>
      <c r="AU765" s="10" t="s">
        <v>2</v>
      </c>
      <c r="AV765" s="10" t="s">
        <v>3</v>
      </c>
      <c r="AW765" s="10"/>
    </row>
    <row r="766" spans="1:49" x14ac:dyDescent="0.3">
      <c r="A766" s="26" t="s">
        <v>1503</v>
      </c>
      <c r="B766" s="10" t="s">
        <v>29</v>
      </c>
      <c r="C766" s="10" t="s">
        <v>1529</v>
      </c>
      <c r="D766" s="10" t="s">
        <v>1531</v>
      </c>
      <c r="E766" s="10">
        <v>1975</v>
      </c>
      <c r="F766" t="s">
        <v>2661</v>
      </c>
      <c r="G766" s="16" t="s">
        <v>34</v>
      </c>
      <c r="H766" s="10" t="s">
        <v>217</v>
      </c>
      <c r="I766" s="10" t="s">
        <v>1538</v>
      </c>
      <c r="J766" s="10" t="s">
        <v>1533</v>
      </c>
      <c r="K766" s="10">
        <v>4</v>
      </c>
      <c r="L766" s="10">
        <v>4</v>
      </c>
      <c r="N766" s="10">
        <v>8.58</v>
      </c>
      <c r="O766" s="10"/>
      <c r="P766" s="10">
        <v>29.24</v>
      </c>
      <c r="Q766" s="10"/>
      <c r="R766" s="10"/>
      <c r="S766" s="10"/>
      <c r="T766" s="10"/>
      <c r="U766" s="10"/>
      <c r="V766" s="10"/>
      <c r="W766" s="10">
        <v>8.5500000000000007</v>
      </c>
      <c r="X766" s="10"/>
      <c r="Y766" s="10">
        <v>4.17</v>
      </c>
      <c r="Z766" s="10"/>
      <c r="AA766" s="10"/>
      <c r="AB766" s="10"/>
      <c r="AC766" s="10"/>
      <c r="AD766" s="14">
        <f t="shared" si="94"/>
        <v>0.99650349650349657</v>
      </c>
      <c r="AE766" s="39">
        <f t="shared" si="95"/>
        <v>0.14261285909712723</v>
      </c>
      <c r="AF766" s="10"/>
      <c r="AG766" s="10"/>
      <c r="AH766" s="10"/>
      <c r="AI766" s="14">
        <f t="shared" si="98"/>
        <v>1.1391163556006239</v>
      </c>
      <c r="AJ766" s="10"/>
      <c r="AK766" s="10"/>
      <c r="AL766" s="10"/>
      <c r="AN766" s="10"/>
      <c r="AO766" s="10"/>
      <c r="AP766" s="10"/>
      <c r="AQ766" s="10">
        <v>180</v>
      </c>
      <c r="AR766" s="10"/>
      <c r="AS766" s="10" t="s">
        <v>3</v>
      </c>
      <c r="AT766" s="10"/>
      <c r="AU766" s="10" t="s">
        <v>2</v>
      </c>
      <c r="AV766" s="10" t="s">
        <v>3</v>
      </c>
      <c r="AW766" s="10"/>
    </row>
    <row r="767" spans="1:49" x14ac:dyDescent="0.3">
      <c r="A767" s="26" t="s">
        <v>1503</v>
      </c>
      <c r="B767" s="10" t="s">
        <v>29</v>
      </c>
      <c r="C767" s="10" t="s">
        <v>1529</v>
      </c>
      <c r="D767" s="10" t="s">
        <v>1530</v>
      </c>
      <c r="E767" s="10">
        <v>1976</v>
      </c>
      <c r="F767" t="s">
        <v>2661</v>
      </c>
      <c r="G767" s="16" t="s">
        <v>34</v>
      </c>
      <c r="H767" s="10" t="s">
        <v>217</v>
      </c>
      <c r="I767" s="10" t="s">
        <v>1539</v>
      </c>
      <c r="J767" s="10" t="s">
        <v>1332</v>
      </c>
      <c r="K767" s="10">
        <v>3</v>
      </c>
      <c r="L767" s="10">
        <v>3</v>
      </c>
      <c r="N767" s="10">
        <v>5.66</v>
      </c>
      <c r="O767" s="10"/>
      <c r="P767" s="10">
        <v>2.84</v>
      </c>
      <c r="Q767" s="10"/>
      <c r="R767" s="10"/>
      <c r="S767" s="10"/>
      <c r="T767" s="10"/>
      <c r="U767" s="10"/>
      <c r="V767" s="10"/>
      <c r="W767" s="10">
        <v>4.5999999999999996</v>
      </c>
      <c r="X767" s="10"/>
      <c r="Y767" s="10">
        <v>1.21</v>
      </c>
      <c r="Z767" s="10"/>
      <c r="AA767" s="10"/>
      <c r="AB767" s="10"/>
      <c r="AC767" s="10"/>
      <c r="AD767" s="14">
        <f t="shared" si="94"/>
        <v>0.81272084805653699</v>
      </c>
      <c r="AE767" s="39">
        <f t="shared" si="95"/>
        <v>0.426056338028169</v>
      </c>
      <c r="AF767" s="10"/>
      <c r="AG767" s="10"/>
      <c r="AH767" s="10"/>
      <c r="AI767" s="14">
        <f t="shared" si="98"/>
        <v>1.2387771860847061</v>
      </c>
      <c r="AJ767" s="10"/>
      <c r="AK767" s="10"/>
      <c r="AL767" s="10"/>
      <c r="AN767" s="10"/>
      <c r="AO767" s="10"/>
      <c r="AP767" s="10"/>
      <c r="AQ767" s="10">
        <v>0</v>
      </c>
      <c r="AR767" s="10"/>
      <c r="AS767" s="10" t="s">
        <v>3</v>
      </c>
      <c r="AT767" s="10"/>
      <c r="AU767" s="10" t="s">
        <v>2</v>
      </c>
      <c r="AV767" s="10" t="s">
        <v>3</v>
      </c>
      <c r="AW767" s="10"/>
    </row>
    <row r="768" spans="1:49" s="12" customFormat="1" x14ac:dyDescent="0.3">
      <c r="A768" s="26" t="s">
        <v>1503</v>
      </c>
      <c r="B768" s="10" t="s">
        <v>29</v>
      </c>
      <c r="C768" s="10" t="s">
        <v>1529</v>
      </c>
      <c r="D768" s="10" t="s">
        <v>1530</v>
      </c>
      <c r="E768" s="10">
        <v>1976</v>
      </c>
      <c r="F768" t="s">
        <v>2661</v>
      </c>
      <c r="G768" s="16" t="s">
        <v>34</v>
      </c>
      <c r="H768" s="10" t="s">
        <v>217</v>
      </c>
      <c r="I768" s="10" t="s">
        <v>1542</v>
      </c>
      <c r="J768" s="10" t="s">
        <v>1332</v>
      </c>
      <c r="K768" s="10">
        <v>3</v>
      </c>
      <c r="L768" s="10">
        <v>3</v>
      </c>
      <c r="M768" s="53"/>
      <c r="N768" s="10">
        <v>9.0500000000000007</v>
      </c>
      <c r="O768" s="10"/>
      <c r="P768" s="10"/>
      <c r="Q768" s="10"/>
      <c r="R768" s="10"/>
      <c r="S768" s="10"/>
      <c r="T768" s="10"/>
      <c r="U768" s="10"/>
      <c r="V768" s="10"/>
      <c r="W768" s="10">
        <v>9.86</v>
      </c>
      <c r="X768" s="10"/>
      <c r="Y768" s="10">
        <v>0.81</v>
      </c>
      <c r="Z768" s="10"/>
      <c r="AA768" s="10"/>
      <c r="AB768" s="10"/>
      <c r="AC768" s="10"/>
      <c r="AD768" s="14">
        <f t="shared" si="94"/>
        <v>1.089502762430939</v>
      </c>
      <c r="AE768" s="39"/>
      <c r="AF768" s="10"/>
      <c r="AG768" s="10"/>
      <c r="AH768" s="10"/>
      <c r="AI768" s="14">
        <f t="shared" ref="AI768:AI778" si="99">AD768+AE768</f>
        <v>1.089502762430939</v>
      </c>
      <c r="AJ768" s="10"/>
      <c r="AK768" s="10"/>
      <c r="AL768" s="10"/>
      <c r="AM768"/>
      <c r="AN768" s="10"/>
      <c r="AO768" s="10"/>
      <c r="AP768" s="10"/>
      <c r="AQ768" s="10">
        <v>270</v>
      </c>
      <c r="AR768" s="10"/>
      <c r="AS768" s="10" t="s">
        <v>3</v>
      </c>
      <c r="AT768" s="10"/>
      <c r="AU768" s="10" t="s">
        <v>2</v>
      </c>
      <c r="AV768" s="10" t="s">
        <v>2</v>
      </c>
      <c r="AW768" s="10"/>
    </row>
    <row r="769" spans="1:49" x14ac:dyDescent="0.3">
      <c r="A769" s="26" t="s">
        <v>1503</v>
      </c>
      <c r="B769" s="10" t="s">
        <v>29</v>
      </c>
      <c r="C769" s="10" t="s">
        <v>1529</v>
      </c>
      <c r="D769" s="10" t="s">
        <v>1530</v>
      </c>
      <c r="E769" s="10">
        <v>1976</v>
      </c>
      <c r="F769" t="s">
        <v>2661</v>
      </c>
      <c r="G769" s="16" t="s">
        <v>34</v>
      </c>
      <c r="H769" s="10" t="s">
        <v>217</v>
      </c>
      <c r="I769" s="10" t="s">
        <v>1543</v>
      </c>
      <c r="J769" s="10" t="s">
        <v>1332</v>
      </c>
      <c r="K769" s="10">
        <v>3</v>
      </c>
      <c r="L769" s="10">
        <v>3</v>
      </c>
      <c r="N769" s="10">
        <v>5.21</v>
      </c>
      <c r="O769" s="10"/>
      <c r="P769" s="10">
        <v>2.84</v>
      </c>
      <c r="Q769" s="10"/>
      <c r="R769" s="10"/>
      <c r="S769" s="10"/>
      <c r="T769" s="10"/>
      <c r="U769" s="10"/>
      <c r="V769" s="10"/>
      <c r="W769" s="10">
        <v>4.8600000000000003</v>
      </c>
      <c r="X769" s="10"/>
      <c r="Y769" s="10">
        <v>1.04</v>
      </c>
      <c r="Z769" s="10"/>
      <c r="AA769" s="10"/>
      <c r="AB769" s="10"/>
      <c r="AC769" s="10"/>
      <c r="AD769" s="14">
        <f t="shared" si="94"/>
        <v>0.93282149712092133</v>
      </c>
      <c r="AE769" s="39">
        <f>Y769/P769</f>
        <v>0.36619718309859156</v>
      </c>
      <c r="AF769" s="10"/>
      <c r="AG769" s="10"/>
      <c r="AH769" s="10"/>
      <c r="AI769" s="14">
        <f t="shared" si="99"/>
        <v>1.2990186802195129</v>
      </c>
      <c r="AJ769" s="10"/>
      <c r="AK769" s="10"/>
      <c r="AL769" s="10"/>
      <c r="AN769" s="10"/>
      <c r="AO769" s="10"/>
      <c r="AP769" s="10"/>
      <c r="AQ769" s="10">
        <v>0</v>
      </c>
      <c r="AR769" s="10"/>
      <c r="AS769" s="10" t="s">
        <v>3</v>
      </c>
      <c r="AT769" s="10"/>
      <c r="AU769" s="10" t="s">
        <v>2</v>
      </c>
      <c r="AV769" s="10" t="s">
        <v>3</v>
      </c>
      <c r="AW769" s="10"/>
    </row>
    <row r="770" spans="1:49" s="12" customFormat="1" x14ac:dyDescent="0.3">
      <c r="A770" s="26" t="s">
        <v>1503</v>
      </c>
      <c r="B770" s="10" t="s">
        <v>29</v>
      </c>
      <c r="C770" s="10" t="s">
        <v>1529</v>
      </c>
      <c r="D770" s="10" t="s">
        <v>1530</v>
      </c>
      <c r="E770" s="10">
        <v>1976</v>
      </c>
      <c r="F770" t="s">
        <v>2661</v>
      </c>
      <c r="G770" s="16" t="s">
        <v>34</v>
      </c>
      <c r="H770" s="10" t="s">
        <v>217</v>
      </c>
      <c r="I770" s="10" t="s">
        <v>1545</v>
      </c>
      <c r="J770" s="10" t="s">
        <v>1332</v>
      </c>
      <c r="K770" s="10">
        <v>3</v>
      </c>
      <c r="L770" s="10">
        <v>3</v>
      </c>
      <c r="M770" s="53"/>
      <c r="N770" s="10">
        <v>9.14</v>
      </c>
      <c r="O770" s="10"/>
      <c r="P770" s="10"/>
      <c r="Q770" s="10"/>
      <c r="R770" s="10"/>
      <c r="S770" s="10"/>
      <c r="T770" s="10"/>
      <c r="U770" s="10"/>
      <c r="V770" s="10"/>
      <c r="W770" s="10">
        <v>10.62</v>
      </c>
      <c r="X770" s="10"/>
      <c r="Y770" s="10">
        <v>0.63</v>
      </c>
      <c r="Z770" s="10"/>
      <c r="AA770" s="10"/>
      <c r="AB770" s="10"/>
      <c r="AC770" s="10"/>
      <c r="AD770" s="14">
        <f t="shared" si="94"/>
        <v>1.1619256017505468</v>
      </c>
      <c r="AE770" s="39"/>
      <c r="AF770" s="10"/>
      <c r="AG770" s="10"/>
      <c r="AH770" s="10"/>
      <c r="AI770" s="14">
        <f t="shared" si="99"/>
        <v>1.1619256017505468</v>
      </c>
      <c r="AJ770" s="10"/>
      <c r="AK770" s="10"/>
      <c r="AL770" s="10"/>
      <c r="AM770"/>
      <c r="AN770" s="10"/>
      <c r="AO770" s="10"/>
      <c r="AP770" s="10"/>
      <c r="AQ770" s="10">
        <v>180</v>
      </c>
      <c r="AR770" s="10"/>
      <c r="AS770" s="10" t="s">
        <v>3</v>
      </c>
      <c r="AT770" s="10"/>
      <c r="AU770" s="10" t="s">
        <v>2</v>
      </c>
      <c r="AV770" s="10" t="s">
        <v>2</v>
      </c>
      <c r="AW770" s="10"/>
    </row>
    <row r="771" spans="1:49" x14ac:dyDescent="0.3">
      <c r="A771" s="26" t="s">
        <v>1503</v>
      </c>
      <c r="B771" s="10" t="s">
        <v>29</v>
      </c>
      <c r="C771" s="10" t="s">
        <v>1529</v>
      </c>
      <c r="D771" s="10" t="s">
        <v>1530</v>
      </c>
      <c r="E771" s="10">
        <v>1976</v>
      </c>
      <c r="F771" t="s">
        <v>2661</v>
      </c>
      <c r="G771" s="16" t="s">
        <v>34</v>
      </c>
      <c r="H771" s="10" t="s">
        <v>217</v>
      </c>
      <c r="I771" s="10" t="s">
        <v>1539</v>
      </c>
      <c r="J771" s="10" t="s">
        <v>1532</v>
      </c>
      <c r="K771" s="10">
        <v>3</v>
      </c>
      <c r="L771" s="10">
        <v>3</v>
      </c>
      <c r="N771" s="10">
        <v>5.66</v>
      </c>
      <c r="O771" s="10"/>
      <c r="P771" s="10">
        <v>1.05</v>
      </c>
      <c r="Q771" s="10"/>
      <c r="R771" s="10"/>
      <c r="S771" s="10"/>
      <c r="T771" s="10"/>
      <c r="U771" s="10"/>
      <c r="V771" s="10"/>
      <c r="W771" s="10">
        <v>3.6</v>
      </c>
      <c r="X771" s="10"/>
      <c r="Y771" s="10">
        <v>0.48</v>
      </c>
      <c r="Z771" s="10"/>
      <c r="AA771" s="10"/>
      <c r="AB771" s="10"/>
      <c r="AC771" s="10"/>
      <c r="AD771" s="14">
        <f t="shared" si="94"/>
        <v>0.63604240282685509</v>
      </c>
      <c r="AE771" s="39">
        <f t="shared" ref="AE771:AE781" si="100">Y771/P771</f>
        <v>0.45714285714285713</v>
      </c>
      <c r="AF771" s="10"/>
      <c r="AG771" s="10"/>
      <c r="AH771" s="10"/>
      <c r="AI771" s="14">
        <f t="shared" si="99"/>
        <v>1.0931852599697123</v>
      </c>
      <c r="AJ771" s="10"/>
      <c r="AK771" s="10"/>
      <c r="AL771" s="10"/>
      <c r="AN771" s="10"/>
      <c r="AO771" s="10"/>
      <c r="AP771" s="10"/>
      <c r="AQ771" s="10">
        <v>0</v>
      </c>
      <c r="AR771" s="10"/>
      <c r="AS771" s="10" t="s">
        <v>3</v>
      </c>
      <c r="AT771" s="10"/>
      <c r="AU771" s="10" t="s">
        <v>2</v>
      </c>
      <c r="AV771" s="10" t="s">
        <v>3</v>
      </c>
      <c r="AW771" s="10"/>
    </row>
    <row r="772" spans="1:49" x14ac:dyDescent="0.3">
      <c r="A772" s="26" t="s">
        <v>1503</v>
      </c>
      <c r="B772" s="10" t="s">
        <v>29</v>
      </c>
      <c r="C772" s="10" t="s">
        <v>1529</v>
      </c>
      <c r="D772" s="10" t="s">
        <v>1530</v>
      </c>
      <c r="E772" s="10">
        <v>1976</v>
      </c>
      <c r="F772" t="s">
        <v>2661</v>
      </c>
      <c r="G772" s="16" t="s">
        <v>34</v>
      </c>
      <c r="H772" s="10" t="s">
        <v>217</v>
      </c>
      <c r="I772" s="10" t="s">
        <v>1540</v>
      </c>
      <c r="J772" s="10" t="s">
        <v>1532</v>
      </c>
      <c r="K772" s="10">
        <v>3</v>
      </c>
      <c r="L772" s="10">
        <v>3</v>
      </c>
      <c r="N772" s="10">
        <v>8.82</v>
      </c>
      <c r="O772" s="10"/>
      <c r="P772" s="10">
        <v>2.0299999999999998</v>
      </c>
      <c r="Q772" s="10"/>
      <c r="R772" s="10"/>
      <c r="S772" s="10"/>
      <c r="T772" s="10"/>
      <c r="U772" s="10"/>
      <c r="V772" s="10"/>
      <c r="W772" s="10">
        <v>7.47</v>
      </c>
      <c r="X772" s="10"/>
      <c r="Y772" s="10">
        <v>0.62</v>
      </c>
      <c r="Z772" s="10"/>
      <c r="AA772" s="10"/>
      <c r="AB772" s="10"/>
      <c r="AC772" s="10"/>
      <c r="AD772" s="14">
        <f t="shared" si="94"/>
        <v>0.84693877551020402</v>
      </c>
      <c r="AE772" s="39">
        <f t="shared" si="100"/>
        <v>0.30541871921182268</v>
      </c>
      <c r="AF772" s="10"/>
      <c r="AG772" s="10"/>
      <c r="AH772" s="10"/>
      <c r="AI772" s="14">
        <f t="shared" si="99"/>
        <v>1.1523574947220268</v>
      </c>
      <c r="AJ772" s="10"/>
      <c r="AK772" s="10"/>
      <c r="AL772" s="10"/>
      <c r="AN772" s="10"/>
      <c r="AO772" s="10"/>
      <c r="AP772" s="10"/>
      <c r="AQ772" s="10">
        <v>90</v>
      </c>
      <c r="AR772" s="10"/>
      <c r="AS772" s="10" t="s">
        <v>3</v>
      </c>
      <c r="AT772" s="10"/>
      <c r="AU772" s="10" t="s">
        <v>2</v>
      </c>
      <c r="AV772" s="10" t="s">
        <v>3</v>
      </c>
      <c r="AW772" s="10"/>
    </row>
    <row r="773" spans="1:49" x14ac:dyDescent="0.3">
      <c r="A773" s="26" t="s">
        <v>1503</v>
      </c>
      <c r="B773" s="10" t="s">
        <v>29</v>
      </c>
      <c r="C773" s="10" t="s">
        <v>1529</v>
      </c>
      <c r="D773" s="10" t="s">
        <v>1530</v>
      </c>
      <c r="E773" s="10">
        <v>1976</v>
      </c>
      <c r="F773" t="s">
        <v>2661</v>
      </c>
      <c r="G773" s="16" t="s">
        <v>34</v>
      </c>
      <c r="H773" s="10" t="s">
        <v>217</v>
      </c>
      <c r="I773" s="10" t="s">
        <v>1541</v>
      </c>
      <c r="J773" s="10" t="s">
        <v>1532</v>
      </c>
      <c r="K773" s="10">
        <v>3</v>
      </c>
      <c r="L773" s="10">
        <v>3</v>
      </c>
      <c r="N773" s="10">
        <v>10.06</v>
      </c>
      <c r="O773" s="10"/>
      <c r="P773" s="10">
        <v>1.52</v>
      </c>
      <c r="Q773" s="10"/>
      <c r="R773" s="10"/>
      <c r="S773" s="10"/>
      <c r="T773" s="10"/>
      <c r="U773" s="10"/>
      <c r="V773" s="10"/>
      <c r="W773" s="10">
        <v>8.99</v>
      </c>
      <c r="X773" s="10"/>
      <c r="Y773" s="10">
        <v>0.63</v>
      </c>
      <c r="Z773" s="10"/>
      <c r="AA773" s="10"/>
      <c r="AB773" s="10"/>
      <c r="AC773" s="10"/>
      <c r="AD773" s="14">
        <f t="shared" si="94"/>
        <v>0.8936381709741551</v>
      </c>
      <c r="AE773" s="39">
        <f t="shared" si="100"/>
        <v>0.41447368421052633</v>
      </c>
      <c r="AF773" s="10"/>
      <c r="AG773" s="10"/>
      <c r="AH773" s="10"/>
      <c r="AI773" s="14">
        <f t="shared" si="99"/>
        <v>1.3081118551846815</v>
      </c>
      <c r="AJ773" s="10"/>
      <c r="AK773" s="10"/>
      <c r="AL773" s="10"/>
      <c r="AN773" s="10"/>
      <c r="AO773" s="10"/>
      <c r="AP773" s="10"/>
      <c r="AQ773" s="10">
        <v>180</v>
      </c>
      <c r="AR773" s="10"/>
      <c r="AS773" s="10" t="s">
        <v>3</v>
      </c>
      <c r="AT773" s="10"/>
      <c r="AU773" s="10" t="s">
        <v>2</v>
      </c>
      <c r="AV773" s="10" t="s">
        <v>3</v>
      </c>
      <c r="AW773" s="10"/>
    </row>
    <row r="774" spans="1:49" x14ac:dyDescent="0.3">
      <c r="A774" s="26" t="s">
        <v>1503</v>
      </c>
      <c r="B774" s="10" t="s">
        <v>29</v>
      </c>
      <c r="C774" s="10" t="s">
        <v>1529</v>
      </c>
      <c r="D774" s="10" t="s">
        <v>1530</v>
      </c>
      <c r="E774" s="10">
        <v>1976</v>
      </c>
      <c r="F774" t="s">
        <v>2661</v>
      </c>
      <c r="G774" s="16" t="s">
        <v>34</v>
      </c>
      <c r="H774" s="10" t="s">
        <v>217</v>
      </c>
      <c r="I774" s="10" t="s">
        <v>1542</v>
      </c>
      <c r="J774" s="10" t="s">
        <v>1532</v>
      </c>
      <c r="K774" s="10">
        <v>3</v>
      </c>
      <c r="L774" s="10">
        <v>3</v>
      </c>
      <c r="N774" s="10">
        <v>9.0500000000000007</v>
      </c>
      <c r="O774" s="10"/>
      <c r="P774" s="10">
        <v>1.87</v>
      </c>
      <c r="Q774" s="10"/>
      <c r="R774" s="10"/>
      <c r="S774" s="10"/>
      <c r="T774" s="10"/>
      <c r="U774" s="10"/>
      <c r="V774" s="10"/>
      <c r="W774" s="10">
        <v>10.07</v>
      </c>
      <c r="X774" s="10"/>
      <c r="Y774" s="10">
        <v>0.88</v>
      </c>
      <c r="Z774" s="10"/>
      <c r="AA774" s="10"/>
      <c r="AB774" s="10"/>
      <c r="AC774" s="10"/>
      <c r="AD774" s="14">
        <f t="shared" si="94"/>
        <v>1.112707182320442</v>
      </c>
      <c r="AE774" s="39">
        <f t="shared" si="100"/>
        <v>0.47058823529411764</v>
      </c>
      <c r="AF774" s="10"/>
      <c r="AG774" s="10"/>
      <c r="AH774" s="10"/>
      <c r="AI774" s="14">
        <f t="shared" si="99"/>
        <v>1.5832954176145595</v>
      </c>
      <c r="AJ774" s="10"/>
      <c r="AK774" s="10"/>
      <c r="AL774" s="10"/>
      <c r="AN774" s="10"/>
      <c r="AO774" s="10"/>
      <c r="AP774" s="10"/>
      <c r="AQ774" s="10">
        <v>270</v>
      </c>
      <c r="AR774" s="10"/>
      <c r="AS774" s="10" t="s">
        <v>3</v>
      </c>
      <c r="AT774" s="10"/>
      <c r="AU774" s="10" t="s">
        <v>2</v>
      </c>
      <c r="AV774" s="10" t="s">
        <v>3</v>
      </c>
      <c r="AW774" s="10"/>
    </row>
    <row r="775" spans="1:49" x14ac:dyDescent="0.3">
      <c r="A775" s="26" t="s">
        <v>1503</v>
      </c>
      <c r="B775" s="10" t="s">
        <v>29</v>
      </c>
      <c r="C775" s="10" t="s">
        <v>1529</v>
      </c>
      <c r="D775" s="10" t="s">
        <v>1530</v>
      </c>
      <c r="E775" s="10">
        <v>1976</v>
      </c>
      <c r="F775" t="s">
        <v>2661</v>
      </c>
      <c r="G775" s="16" t="s">
        <v>34</v>
      </c>
      <c r="H775" s="10" t="s">
        <v>217</v>
      </c>
      <c r="I775" s="10" t="s">
        <v>1543</v>
      </c>
      <c r="J775" s="10" t="s">
        <v>1532</v>
      </c>
      <c r="K775" s="10">
        <v>3</v>
      </c>
      <c r="L775" s="10">
        <v>3</v>
      </c>
      <c r="N775" s="10">
        <v>5.21</v>
      </c>
      <c r="O775" s="10"/>
      <c r="P775" s="10">
        <v>1.05</v>
      </c>
      <c r="Q775" s="10"/>
      <c r="R775" s="10"/>
      <c r="S775" s="10"/>
      <c r="T775" s="10"/>
      <c r="U775" s="10"/>
      <c r="V775" s="10"/>
      <c r="W775" s="10">
        <v>2.74</v>
      </c>
      <c r="X775" s="10"/>
      <c r="Y775" s="10">
        <v>0.28999999999999998</v>
      </c>
      <c r="Z775" s="10"/>
      <c r="AA775" s="10"/>
      <c r="AB775" s="10"/>
      <c r="AC775" s="10"/>
      <c r="AD775" s="14">
        <f t="shared" si="94"/>
        <v>0.52591170825335898</v>
      </c>
      <c r="AE775" s="39">
        <f t="shared" si="100"/>
        <v>0.27619047619047615</v>
      </c>
      <c r="AF775" s="10"/>
      <c r="AG775" s="10"/>
      <c r="AH775" s="10"/>
      <c r="AI775" s="14">
        <f t="shared" si="99"/>
        <v>0.80210218444383519</v>
      </c>
      <c r="AJ775" s="10"/>
      <c r="AK775" s="10"/>
      <c r="AL775" s="10"/>
      <c r="AN775" s="10"/>
      <c r="AO775" s="10"/>
      <c r="AP775" s="10"/>
      <c r="AQ775" s="10">
        <v>0</v>
      </c>
      <c r="AR775" s="10"/>
      <c r="AS775" s="10" t="s">
        <v>3</v>
      </c>
      <c r="AT775" s="10"/>
      <c r="AU775" s="10" t="s">
        <v>2</v>
      </c>
      <c r="AV775" s="10" t="s">
        <v>3</v>
      </c>
      <c r="AW775" s="10"/>
    </row>
    <row r="776" spans="1:49" x14ac:dyDescent="0.3">
      <c r="A776" s="26" t="s">
        <v>1503</v>
      </c>
      <c r="B776" s="10" t="s">
        <v>29</v>
      </c>
      <c r="C776" s="10" t="s">
        <v>1529</v>
      </c>
      <c r="D776" s="10" t="s">
        <v>1530</v>
      </c>
      <c r="E776" s="10">
        <v>1976</v>
      </c>
      <c r="F776" t="s">
        <v>2661</v>
      </c>
      <c r="G776" s="16" t="s">
        <v>34</v>
      </c>
      <c r="H776" s="10" t="s">
        <v>217</v>
      </c>
      <c r="I776" s="10" t="s">
        <v>1544</v>
      </c>
      <c r="J776" s="10" t="s">
        <v>1532</v>
      </c>
      <c r="K776" s="10">
        <v>3</v>
      </c>
      <c r="L776" s="10">
        <v>3</v>
      </c>
      <c r="N776" s="10">
        <v>7.69</v>
      </c>
      <c r="O776" s="10"/>
      <c r="P776" s="10">
        <v>2.0299999999999998</v>
      </c>
      <c r="Q776" s="10"/>
      <c r="R776" s="10"/>
      <c r="S776" s="10"/>
      <c r="T776" s="10"/>
      <c r="U776" s="10"/>
      <c r="V776" s="10"/>
      <c r="W776" s="10">
        <v>7.09</v>
      </c>
      <c r="X776" s="10"/>
      <c r="Y776" s="10">
        <v>0.5</v>
      </c>
      <c r="Z776" s="10"/>
      <c r="AA776" s="10"/>
      <c r="AB776" s="10"/>
      <c r="AC776" s="10"/>
      <c r="AD776" s="14">
        <f t="shared" si="94"/>
        <v>0.92197659297789325</v>
      </c>
      <c r="AE776" s="39">
        <f t="shared" si="100"/>
        <v>0.24630541871921185</v>
      </c>
      <c r="AF776" s="10"/>
      <c r="AG776" s="10"/>
      <c r="AH776" s="10"/>
      <c r="AI776" s="14">
        <f t="shared" si="99"/>
        <v>1.1682820116971051</v>
      </c>
      <c r="AJ776" s="10"/>
      <c r="AK776" s="10"/>
      <c r="AL776" s="10"/>
      <c r="AN776" s="10"/>
      <c r="AO776" s="10"/>
      <c r="AP776" s="10"/>
      <c r="AQ776" s="10">
        <v>90</v>
      </c>
      <c r="AR776" s="10"/>
      <c r="AS776" s="10" t="s">
        <v>3</v>
      </c>
      <c r="AT776" s="10"/>
      <c r="AU776" s="10" t="s">
        <v>2</v>
      </c>
      <c r="AV776" s="10" t="s">
        <v>3</v>
      </c>
      <c r="AW776" s="10"/>
    </row>
    <row r="777" spans="1:49" x14ac:dyDescent="0.3">
      <c r="A777" s="26" t="s">
        <v>1503</v>
      </c>
      <c r="B777" s="10" t="s">
        <v>29</v>
      </c>
      <c r="C777" s="10" t="s">
        <v>1529</v>
      </c>
      <c r="D777" s="10" t="s">
        <v>1530</v>
      </c>
      <c r="E777" s="10">
        <v>1976</v>
      </c>
      <c r="F777" t="s">
        <v>2661</v>
      </c>
      <c r="G777" s="16" t="s">
        <v>34</v>
      </c>
      <c r="H777" s="10" t="s">
        <v>217</v>
      </c>
      <c r="I777" s="10" t="s">
        <v>1545</v>
      </c>
      <c r="J777" s="10" t="s">
        <v>1532</v>
      </c>
      <c r="K777" s="10">
        <v>3</v>
      </c>
      <c r="L777" s="10">
        <v>3</v>
      </c>
      <c r="N777" s="10">
        <v>9.14</v>
      </c>
      <c r="O777" s="10"/>
      <c r="P777" s="10">
        <v>1.52</v>
      </c>
      <c r="Q777" s="10"/>
      <c r="R777" s="10"/>
      <c r="S777" s="10"/>
      <c r="T777" s="10"/>
      <c r="U777" s="10"/>
      <c r="V777" s="10"/>
      <c r="W777" s="10">
        <v>7.84</v>
      </c>
      <c r="X777" s="10"/>
      <c r="Y777" s="10">
        <v>0.6</v>
      </c>
      <c r="Z777" s="10"/>
      <c r="AA777" s="10"/>
      <c r="AB777" s="10"/>
      <c r="AC777" s="10"/>
      <c r="AD777" s="14">
        <f t="shared" si="94"/>
        <v>0.85776805251641131</v>
      </c>
      <c r="AE777" s="39">
        <f t="shared" si="100"/>
        <v>0.39473684210526316</v>
      </c>
      <c r="AF777" s="10"/>
      <c r="AG777" s="10"/>
      <c r="AH777" s="10"/>
      <c r="AI777" s="14">
        <f t="shared" si="99"/>
        <v>1.2525048946216746</v>
      </c>
      <c r="AJ777" s="10"/>
      <c r="AK777" s="10"/>
      <c r="AL777" s="10"/>
      <c r="AN777" s="10"/>
      <c r="AO777" s="10"/>
      <c r="AP777" s="10"/>
      <c r="AQ777" s="10">
        <v>180</v>
      </c>
      <c r="AR777" s="10"/>
      <c r="AS777" s="10" t="s">
        <v>3</v>
      </c>
      <c r="AT777" s="10"/>
      <c r="AU777" s="10" t="s">
        <v>2</v>
      </c>
      <c r="AV777" s="10" t="s">
        <v>3</v>
      </c>
      <c r="AW777" s="10"/>
    </row>
    <row r="778" spans="1:49" x14ac:dyDescent="0.3">
      <c r="A778" s="26" t="s">
        <v>1503</v>
      </c>
      <c r="B778" s="10" t="s">
        <v>29</v>
      </c>
      <c r="C778" s="10" t="s">
        <v>1529</v>
      </c>
      <c r="D778" s="10" t="s">
        <v>1530</v>
      </c>
      <c r="E778" s="10">
        <v>1976</v>
      </c>
      <c r="F778" t="s">
        <v>2661</v>
      </c>
      <c r="G778" s="16" t="s">
        <v>34</v>
      </c>
      <c r="H778" s="10" t="s">
        <v>217</v>
      </c>
      <c r="I778" s="10" t="s">
        <v>1546</v>
      </c>
      <c r="J778" s="10" t="s">
        <v>1532</v>
      </c>
      <c r="K778" s="10">
        <v>3</v>
      </c>
      <c r="L778" s="10">
        <v>3</v>
      </c>
      <c r="N778" s="10">
        <v>9.8800000000000008</v>
      </c>
      <c r="O778" s="10"/>
      <c r="P778" s="10">
        <v>1.87</v>
      </c>
      <c r="Q778" s="10"/>
      <c r="R778" s="10"/>
      <c r="S778" s="10"/>
      <c r="T778" s="10"/>
      <c r="U778" s="10"/>
      <c r="V778" s="10"/>
      <c r="W778" s="10">
        <v>9</v>
      </c>
      <c r="X778" s="10"/>
      <c r="Y778" s="10">
        <v>0.54</v>
      </c>
      <c r="Z778" s="10"/>
      <c r="AA778" s="10"/>
      <c r="AB778" s="10"/>
      <c r="AC778" s="10"/>
      <c r="AD778" s="14">
        <f t="shared" si="94"/>
        <v>0.91093117408906876</v>
      </c>
      <c r="AE778" s="39">
        <f t="shared" si="100"/>
        <v>0.28877005347593582</v>
      </c>
      <c r="AF778" s="10"/>
      <c r="AG778" s="10"/>
      <c r="AH778" s="10"/>
      <c r="AI778" s="14">
        <f t="shared" si="99"/>
        <v>1.1997012275650045</v>
      </c>
      <c r="AJ778" s="10"/>
      <c r="AK778" s="10"/>
      <c r="AL778" s="10"/>
      <c r="AN778" s="10"/>
      <c r="AO778" s="10"/>
      <c r="AP778" s="10"/>
      <c r="AQ778" s="10">
        <v>270</v>
      </c>
      <c r="AR778" s="10"/>
      <c r="AS778" s="10" t="s">
        <v>3</v>
      </c>
      <c r="AT778" s="10"/>
      <c r="AU778" s="10" t="s">
        <v>2</v>
      </c>
      <c r="AV778" s="10" t="s">
        <v>3</v>
      </c>
      <c r="AW778" s="10"/>
    </row>
    <row r="779" spans="1:49" x14ac:dyDescent="0.3">
      <c r="A779" s="26" t="s">
        <v>1503</v>
      </c>
      <c r="B779" s="10" t="s">
        <v>29</v>
      </c>
      <c r="C779" s="10" t="s">
        <v>1529</v>
      </c>
      <c r="D779" s="10" t="s">
        <v>1531</v>
      </c>
      <c r="E779" s="10">
        <v>1975</v>
      </c>
      <c r="F779" t="s">
        <v>2661</v>
      </c>
      <c r="G779" s="16" t="s">
        <v>34</v>
      </c>
      <c r="H779" s="10" t="s">
        <v>217</v>
      </c>
      <c r="I779" s="10" t="s">
        <v>1540</v>
      </c>
      <c r="J779" s="10" t="s">
        <v>1532</v>
      </c>
      <c r="K779" s="10">
        <v>6</v>
      </c>
      <c r="L779" s="10">
        <v>6</v>
      </c>
      <c r="N779" s="10">
        <v>8.9600000000000009</v>
      </c>
      <c r="O779" s="10"/>
      <c r="P779" s="10">
        <v>2.09</v>
      </c>
      <c r="Q779" s="10"/>
      <c r="R779" s="10"/>
      <c r="S779" s="10"/>
      <c r="T779" s="10"/>
      <c r="U779" s="10"/>
      <c r="V779" s="10"/>
      <c r="W779" s="10">
        <v>7.31</v>
      </c>
      <c r="X779" s="10"/>
      <c r="Y779" s="10">
        <v>0.65</v>
      </c>
      <c r="Z779" s="10"/>
      <c r="AA779" s="10"/>
      <c r="AB779" s="10"/>
      <c r="AC779" s="10"/>
      <c r="AD779" s="14">
        <f t="shared" si="94"/>
        <v>0.81584821428571419</v>
      </c>
      <c r="AE779" s="39">
        <f t="shared" si="100"/>
        <v>0.31100478468899523</v>
      </c>
      <c r="AF779" s="10"/>
      <c r="AG779" s="10"/>
      <c r="AH779" s="10"/>
      <c r="AI779" s="14">
        <f t="shared" ref="AI779:AI781" si="101">AD779+AE779</f>
        <v>1.1268529989747094</v>
      </c>
      <c r="AJ779" s="10"/>
      <c r="AK779" s="10"/>
      <c r="AL779" s="10"/>
      <c r="AN779" s="10"/>
      <c r="AO779" s="10"/>
      <c r="AP779" s="10"/>
      <c r="AQ779" s="10">
        <v>90</v>
      </c>
      <c r="AR779" s="10"/>
      <c r="AS779" s="10" t="s">
        <v>3</v>
      </c>
      <c r="AT779" s="10"/>
      <c r="AU779" s="10" t="s">
        <v>2</v>
      </c>
      <c r="AV779" s="10" t="s">
        <v>3</v>
      </c>
      <c r="AW779" s="10"/>
    </row>
    <row r="780" spans="1:49" x14ac:dyDescent="0.3">
      <c r="A780" s="26" t="s">
        <v>1503</v>
      </c>
      <c r="B780" s="10" t="s">
        <v>29</v>
      </c>
      <c r="C780" s="10" t="s">
        <v>1529</v>
      </c>
      <c r="D780" s="10" t="s">
        <v>1531</v>
      </c>
      <c r="E780" s="10">
        <v>1975</v>
      </c>
      <c r="F780" t="s">
        <v>2661</v>
      </c>
      <c r="G780" s="16" t="s">
        <v>34</v>
      </c>
      <c r="H780" s="10" t="s">
        <v>217</v>
      </c>
      <c r="I780" s="10" t="s">
        <v>1541</v>
      </c>
      <c r="J780" s="10" t="s">
        <v>1532</v>
      </c>
      <c r="K780" s="10">
        <v>6</v>
      </c>
      <c r="L780" s="10">
        <v>6</v>
      </c>
      <c r="N780" s="10">
        <v>8.36</v>
      </c>
      <c r="O780" s="10"/>
      <c r="P780" s="10">
        <v>2.4</v>
      </c>
      <c r="Q780" s="10"/>
      <c r="R780" s="10"/>
      <c r="S780" s="10"/>
      <c r="T780" s="10"/>
      <c r="U780" s="10"/>
      <c r="V780" s="10"/>
      <c r="W780" s="10">
        <v>7</v>
      </c>
      <c r="X780" s="10"/>
      <c r="Y780" s="10">
        <v>0.71</v>
      </c>
      <c r="Z780" s="10"/>
      <c r="AA780" s="10"/>
      <c r="AB780" s="10"/>
      <c r="AC780" s="10"/>
      <c r="AD780" s="14">
        <f t="shared" si="94"/>
        <v>0.83732057416267947</v>
      </c>
      <c r="AE780" s="39">
        <f t="shared" si="100"/>
        <v>0.29583333333333334</v>
      </c>
      <c r="AF780" s="10"/>
      <c r="AG780" s="10"/>
      <c r="AH780" s="10"/>
      <c r="AI780" s="14">
        <f t="shared" si="101"/>
        <v>1.1331539074960129</v>
      </c>
      <c r="AJ780" s="10"/>
      <c r="AK780" s="10"/>
      <c r="AL780" s="10"/>
      <c r="AN780" s="10"/>
      <c r="AO780" s="10"/>
      <c r="AP780" s="10"/>
      <c r="AQ780" s="10">
        <v>180</v>
      </c>
      <c r="AR780" s="10"/>
      <c r="AS780" s="10" t="s">
        <v>3</v>
      </c>
      <c r="AT780" s="10"/>
      <c r="AU780" s="10" t="s">
        <v>2</v>
      </c>
      <c r="AV780" s="10" t="s">
        <v>3</v>
      </c>
      <c r="AW780" s="10"/>
    </row>
    <row r="781" spans="1:49" x14ac:dyDescent="0.3">
      <c r="A781" s="26" t="s">
        <v>1503</v>
      </c>
      <c r="B781" s="10" t="s">
        <v>29</v>
      </c>
      <c r="C781" s="10" t="s">
        <v>1529</v>
      </c>
      <c r="D781" s="10" t="s">
        <v>1531</v>
      </c>
      <c r="E781" s="10">
        <v>1975</v>
      </c>
      <c r="F781" t="s">
        <v>2661</v>
      </c>
      <c r="G781" s="16" t="s">
        <v>34</v>
      </c>
      <c r="H781" s="10" t="s">
        <v>217</v>
      </c>
      <c r="I781" s="10" t="s">
        <v>1542</v>
      </c>
      <c r="J781" s="10" t="s">
        <v>1532</v>
      </c>
      <c r="K781" s="10">
        <v>6</v>
      </c>
      <c r="L781" s="10">
        <v>6</v>
      </c>
      <c r="N781" s="10">
        <v>8.2200000000000006</v>
      </c>
      <c r="O781" s="10"/>
      <c r="P781" s="10">
        <v>2.48</v>
      </c>
      <c r="Q781" s="10"/>
      <c r="R781" s="10"/>
      <c r="S781" s="10"/>
      <c r="T781" s="10"/>
      <c r="U781" s="10"/>
      <c r="V781" s="10"/>
      <c r="W781" s="10">
        <v>7.79</v>
      </c>
      <c r="X781" s="10"/>
      <c r="Y781" s="10">
        <v>0.71</v>
      </c>
      <c r="Z781" s="10"/>
      <c r="AA781" s="10"/>
      <c r="AB781" s="10"/>
      <c r="AC781" s="10"/>
      <c r="AD781" s="14">
        <f t="shared" si="94"/>
        <v>0.94768856447688554</v>
      </c>
      <c r="AE781" s="39">
        <f t="shared" si="100"/>
        <v>0.28629032258064513</v>
      </c>
      <c r="AF781" s="10"/>
      <c r="AG781" s="10"/>
      <c r="AH781" s="10"/>
      <c r="AI781" s="14">
        <f t="shared" si="101"/>
        <v>1.2339788870575306</v>
      </c>
      <c r="AJ781" s="10"/>
      <c r="AK781" s="10"/>
      <c r="AL781" s="10"/>
      <c r="AN781" s="10"/>
      <c r="AO781" s="10"/>
      <c r="AP781" s="10"/>
      <c r="AQ781" s="10">
        <v>270</v>
      </c>
      <c r="AR781" s="10"/>
      <c r="AS781" s="10" t="s">
        <v>3</v>
      </c>
      <c r="AT781" s="10"/>
      <c r="AU781" s="10" t="s">
        <v>2</v>
      </c>
      <c r="AV781" s="10" t="s">
        <v>3</v>
      </c>
      <c r="AW781" s="10"/>
    </row>
    <row r="782" spans="1:49" x14ac:dyDescent="0.3">
      <c r="A782" s="26" t="s">
        <v>1504</v>
      </c>
      <c r="B782" s="10" t="s">
        <v>1549</v>
      </c>
      <c r="C782" s="10" t="s">
        <v>1550</v>
      </c>
      <c r="D782" s="10" t="s">
        <v>1551</v>
      </c>
      <c r="E782" s="10">
        <v>1976</v>
      </c>
      <c r="F782" t="s">
        <v>2661</v>
      </c>
      <c r="G782" s="16" t="s">
        <v>34</v>
      </c>
      <c r="H782" s="10" t="s">
        <v>217</v>
      </c>
      <c r="I782" s="10" t="s">
        <v>1553</v>
      </c>
      <c r="J782" s="10" t="s">
        <v>1552</v>
      </c>
      <c r="K782" s="10">
        <v>4</v>
      </c>
      <c r="L782" s="10">
        <v>4</v>
      </c>
      <c r="N782" s="10"/>
      <c r="O782" s="10"/>
      <c r="P782" s="10"/>
      <c r="Q782" s="10"/>
      <c r="R782" s="10"/>
      <c r="S782" s="10"/>
      <c r="T782" s="10"/>
      <c r="U782" s="10"/>
      <c r="V782" s="10"/>
      <c r="W782" s="10"/>
      <c r="X782" s="10"/>
      <c r="Y782" s="10"/>
      <c r="Z782" s="10"/>
      <c r="AA782" s="10"/>
      <c r="AB782" s="10"/>
      <c r="AC782" s="10"/>
      <c r="AD782" s="10"/>
      <c r="AE782" s="10"/>
      <c r="AF782" s="10"/>
      <c r="AG782" s="10"/>
      <c r="AH782" s="10"/>
      <c r="AI782" s="10">
        <v>1.32</v>
      </c>
      <c r="AJ782" s="10"/>
      <c r="AK782" s="10"/>
      <c r="AL782" s="10"/>
      <c r="AN782" s="10"/>
      <c r="AO782" s="10"/>
      <c r="AP782" s="10"/>
      <c r="AQ782" s="10">
        <f>45+92</f>
        <v>137</v>
      </c>
      <c r="AR782" s="10" t="s">
        <v>14</v>
      </c>
      <c r="AS782" s="10" t="s">
        <v>3</v>
      </c>
      <c r="AT782" s="10" t="s">
        <v>3</v>
      </c>
      <c r="AU782" s="10" t="s">
        <v>2</v>
      </c>
      <c r="AV782" s="10" t="s">
        <v>3</v>
      </c>
      <c r="AW782" s="10"/>
    </row>
    <row r="783" spans="1:49" x14ac:dyDescent="0.3">
      <c r="A783" s="26" t="s">
        <v>1504</v>
      </c>
      <c r="B783" s="10" t="s">
        <v>1549</v>
      </c>
      <c r="C783" s="10" t="s">
        <v>1550</v>
      </c>
      <c r="D783" s="10" t="s">
        <v>1551</v>
      </c>
      <c r="E783" s="10">
        <v>1976</v>
      </c>
      <c r="F783" t="s">
        <v>2661</v>
      </c>
      <c r="G783" s="16" t="s">
        <v>34</v>
      </c>
      <c r="H783" s="10" t="s">
        <v>217</v>
      </c>
      <c r="I783" s="10" t="s">
        <v>1554</v>
      </c>
      <c r="J783" s="10" t="s">
        <v>1552</v>
      </c>
      <c r="K783" s="10">
        <v>4</v>
      </c>
      <c r="L783" s="10">
        <v>4</v>
      </c>
      <c r="N783" s="10"/>
      <c r="O783" s="10"/>
      <c r="P783" s="10"/>
      <c r="Q783" s="10"/>
      <c r="R783" s="10"/>
      <c r="S783" s="10"/>
      <c r="T783" s="10"/>
      <c r="U783" s="10"/>
      <c r="V783" s="10"/>
      <c r="W783" s="10"/>
      <c r="X783" s="10"/>
      <c r="Y783" s="10"/>
      <c r="Z783" s="10"/>
      <c r="AA783" s="10"/>
      <c r="AB783" s="10"/>
      <c r="AC783" s="10"/>
      <c r="AD783" s="10"/>
      <c r="AE783" s="10"/>
      <c r="AF783" s="10"/>
      <c r="AG783" s="10"/>
      <c r="AH783" s="10"/>
      <c r="AI783" s="10">
        <v>1.1399999999999999</v>
      </c>
      <c r="AJ783" s="10"/>
      <c r="AK783" s="10"/>
      <c r="AL783" s="10"/>
      <c r="AN783" s="10"/>
      <c r="AO783" s="10"/>
      <c r="AP783" s="10"/>
      <c r="AQ783" s="10">
        <f t="shared" ref="AQ783:AQ785" si="102">45+92</f>
        <v>137</v>
      </c>
      <c r="AR783" s="10" t="s">
        <v>14</v>
      </c>
      <c r="AS783" s="10" t="s">
        <v>3</v>
      </c>
      <c r="AT783" s="10" t="s">
        <v>3</v>
      </c>
      <c r="AU783" s="10" t="s">
        <v>2</v>
      </c>
      <c r="AV783" s="10" t="s">
        <v>3</v>
      </c>
      <c r="AW783" s="10"/>
    </row>
    <row r="784" spans="1:49" x14ac:dyDescent="0.3">
      <c r="A784" s="26" t="s">
        <v>1504</v>
      </c>
      <c r="B784" s="10" t="s">
        <v>1549</v>
      </c>
      <c r="C784" s="10" t="s">
        <v>1550</v>
      </c>
      <c r="D784" s="10" t="s">
        <v>1551</v>
      </c>
      <c r="E784" s="10">
        <v>1976</v>
      </c>
      <c r="F784" t="s">
        <v>2661</v>
      </c>
      <c r="G784" s="16" t="s">
        <v>34</v>
      </c>
      <c r="H784" s="10" t="s">
        <v>217</v>
      </c>
      <c r="I784" s="10" t="s">
        <v>1555</v>
      </c>
      <c r="J784" s="10" t="s">
        <v>1552</v>
      </c>
      <c r="K784" s="10">
        <v>4</v>
      </c>
      <c r="L784" s="10">
        <v>4</v>
      </c>
      <c r="N784" s="10"/>
      <c r="O784" s="10"/>
      <c r="P784" s="10"/>
      <c r="Q784" s="10"/>
      <c r="R784" s="10"/>
      <c r="S784" s="10"/>
      <c r="T784" s="10"/>
      <c r="U784" s="10"/>
      <c r="V784" s="10"/>
      <c r="W784" s="10"/>
      <c r="X784" s="10"/>
      <c r="Y784" s="10"/>
      <c r="Z784" s="10"/>
      <c r="AA784" s="10"/>
      <c r="AB784" s="10"/>
      <c r="AC784" s="10"/>
      <c r="AD784" s="10"/>
      <c r="AE784" s="10"/>
      <c r="AF784" s="10"/>
      <c r="AG784" s="10"/>
      <c r="AH784" s="10"/>
      <c r="AI784" s="10">
        <v>1.21</v>
      </c>
      <c r="AJ784" s="10"/>
      <c r="AK784" s="10"/>
      <c r="AL784" s="10"/>
      <c r="AN784" s="10"/>
      <c r="AO784" s="10"/>
      <c r="AP784" s="10"/>
      <c r="AQ784" s="10">
        <f t="shared" si="102"/>
        <v>137</v>
      </c>
      <c r="AR784" s="10" t="s">
        <v>14</v>
      </c>
      <c r="AS784" s="10" t="s">
        <v>3</v>
      </c>
      <c r="AT784" s="10" t="s">
        <v>3</v>
      </c>
      <c r="AU784" s="10" t="s">
        <v>2</v>
      </c>
      <c r="AV784" s="10" t="s">
        <v>3</v>
      </c>
      <c r="AW784" s="10"/>
    </row>
    <row r="785" spans="1:49" x14ac:dyDescent="0.3">
      <c r="A785" s="26" t="s">
        <v>1504</v>
      </c>
      <c r="B785" s="10" t="s">
        <v>1549</v>
      </c>
      <c r="C785" s="10" t="s">
        <v>1550</v>
      </c>
      <c r="D785" s="10" t="s">
        <v>1551</v>
      </c>
      <c r="E785" s="10">
        <v>1976</v>
      </c>
      <c r="F785" t="s">
        <v>2661</v>
      </c>
      <c r="G785" s="16" t="s">
        <v>34</v>
      </c>
      <c r="H785" s="10" t="s">
        <v>217</v>
      </c>
      <c r="I785" s="10" t="s">
        <v>1556</v>
      </c>
      <c r="J785" s="10" t="s">
        <v>1552</v>
      </c>
      <c r="K785" s="10">
        <v>4</v>
      </c>
      <c r="L785" s="10">
        <v>4</v>
      </c>
      <c r="N785" s="10"/>
      <c r="O785" s="10"/>
      <c r="P785" s="10"/>
      <c r="Q785" s="10"/>
      <c r="R785" s="10"/>
      <c r="S785" s="10"/>
      <c r="T785" s="10"/>
      <c r="U785" s="10"/>
      <c r="V785" s="10"/>
      <c r="W785" s="10"/>
      <c r="X785" s="10"/>
      <c r="Y785" s="10"/>
      <c r="Z785" s="10"/>
      <c r="AA785" s="10"/>
      <c r="AB785" s="10"/>
      <c r="AC785" s="10"/>
      <c r="AD785" s="10"/>
      <c r="AE785" s="10"/>
      <c r="AF785" s="10"/>
      <c r="AG785" s="10"/>
      <c r="AH785" s="10"/>
      <c r="AI785" s="10">
        <v>1.18</v>
      </c>
      <c r="AJ785" s="10"/>
      <c r="AK785" s="10"/>
      <c r="AL785" s="10"/>
      <c r="AN785" s="10"/>
      <c r="AO785" s="10"/>
      <c r="AP785" s="10"/>
      <c r="AQ785" s="10">
        <f t="shared" si="102"/>
        <v>137</v>
      </c>
      <c r="AR785" s="10" t="s">
        <v>14</v>
      </c>
      <c r="AS785" s="10" t="s">
        <v>3</v>
      </c>
      <c r="AT785" s="10" t="s">
        <v>3</v>
      </c>
      <c r="AU785" s="10" t="s">
        <v>2</v>
      </c>
      <c r="AV785" s="10" t="s">
        <v>3</v>
      </c>
      <c r="AW785" s="10"/>
    </row>
    <row r="786" spans="1:49" x14ac:dyDescent="0.3">
      <c r="A786" s="26" t="s">
        <v>1504</v>
      </c>
      <c r="B786" s="10" t="s">
        <v>1549</v>
      </c>
      <c r="C786" s="10" t="s">
        <v>1550</v>
      </c>
      <c r="D786" s="10" t="s">
        <v>1551</v>
      </c>
      <c r="E786" s="10">
        <v>1976</v>
      </c>
      <c r="F786" t="s">
        <v>2661</v>
      </c>
      <c r="G786" s="16" t="s">
        <v>34</v>
      </c>
      <c r="H786" s="10" t="s">
        <v>217</v>
      </c>
      <c r="I786" s="10" t="s">
        <v>1557</v>
      </c>
      <c r="J786" s="10" t="s">
        <v>1552</v>
      </c>
      <c r="K786" s="10">
        <v>4</v>
      </c>
      <c r="L786" s="10">
        <v>4</v>
      </c>
      <c r="N786" s="10"/>
      <c r="O786" s="10"/>
      <c r="P786" s="10"/>
      <c r="Q786" s="10"/>
      <c r="R786" s="10"/>
      <c r="S786" s="10"/>
      <c r="T786" s="10"/>
      <c r="U786" s="10"/>
      <c r="V786" s="10"/>
      <c r="W786" s="10"/>
      <c r="X786" s="10"/>
      <c r="Y786" s="10"/>
      <c r="Z786" s="10"/>
      <c r="AA786" s="10"/>
      <c r="AB786" s="10"/>
      <c r="AC786" s="10"/>
      <c r="AD786" s="10"/>
      <c r="AE786" s="10"/>
      <c r="AF786" s="10"/>
      <c r="AG786" s="10"/>
      <c r="AH786" s="10"/>
      <c r="AI786" s="10">
        <v>1.5</v>
      </c>
      <c r="AJ786" s="10"/>
      <c r="AK786" s="10"/>
      <c r="AL786" s="10"/>
      <c r="AN786" s="10"/>
      <c r="AO786" s="10"/>
      <c r="AP786" s="10"/>
      <c r="AQ786" s="10">
        <f t="shared" ref="AQ786:AQ793" si="103">45+92</f>
        <v>137</v>
      </c>
      <c r="AR786" s="10" t="s">
        <v>14</v>
      </c>
      <c r="AS786" s="10" t="s">
        <v>3</v>
      </c>
      <c r="AT786" s="10" t="s">
        <v>3</v>
      </c>
      <c r="AU786" s="10" t="s">
        <v>2</v>
      </c>
      <c r="AV786" s="10" t="s">
        <v>3</v>
      </c>
      <c r="AW786" s="10"/>
    </row>
    <row r="787" spans="1:49" x14ac:dyDescent="0.3">
      <c r="A787" s="26" t="s">
        <v>1504</v>
      </c>
      <c r="B787" s="10" t="s">
        <v>1549</v>
      </c>
      <c r="C787" s="10" t="s">
        <v>1550</v>
      </c>
      <c r="D787" s="10" t="s">
        <v>1551</v>
      </c>
      <c r="E787" s="10">
        <v>1976</v>
      </c>
      <c r="F787" t="s">
        <v>2661</v>
      </c>
      <c r="G787" s="16" t="s">
        <v>34</v>
      </c>
      <c r="H787" s="10" t="s">
        <v>217</v>
      </c>
      <c r="I787" s="10" t="s">
        <v>1558</v>
      </c>
      <c r="J787" s="10" t="s">
        <v>1552</v>
      </c>
      <c r="K787" s="10">
        <v>4</v>
      </c>
      <c r="L787" s="10">
        <v>4</v>
      </c>
      <c r="N787" s="10"/>
      <c r="O787" s="10"/>
      <c r="P787" s="10"/>
      <c r="Q787" s="10"/>
      <c r="R787" s="10"/>
      <c r="S787" s="10"/>
      <c r="T787" s="10"/>
      <c r="U787" s="10"/>
      <c r="V787" s="10"/>
      <c r="W787" s="10"/>
      <c r="X787" s="10"/>
      <c r="Y787" s="10"/>
      <c r="Z787" s="10"/>
      <c r="AA787" s="10"/>
      <c r="AB787" s="10"/>
      <c r="AC787" s="10"/>
      <c r="AD787" s="10"/>
      <c r="AE787" s="10"/>
      <c r="AF787" s="10"/>
      <c r="AG787" s="10"/>
      <c r="AH787" s="10"/>
      <c r="AI787" s="10">
        <v>1.65</v>
      </c>
      <c r="AJ787" s="10"/>
      <c r="AK787" s="10"/>
      <c r="AL787" s="10"/>
      <c r="AN787" s="10"/>
      <c r="AO787" s="10"/>
      <c r="AP787" s="10"/>
      <c r="AQ787" s="10">
        <f t="shared" si="103"/>
        <v>137</v>
      </c>
      <c r="AR787" s="10" t="s">
        <v>14</v>
      </c>
      <c r="AS787" s="10" t="s">
        <v>3</v>
      </c>
      <c r="AT787" s="10" t="s">
        <v>3</v>
      </c>
      <c r="AU787" s="10" t="s">
        <v>2</v>
      </c>
      <c r="AV787" s="10" t="s">
        <v>3</v>
      </c>
      <c r="AW787" s="10"/>
    </row>
    <row r="788" spans="1:49" x14ac:dyDescent="0.3">
      <c r="A788" s="26" t="s">
        <v>1504</v>
      </c>
      <c r="B788" s="10" t="s">
        <v>1549</v>
      </c>
      <c r="C788" s="10" t="s">
        <v>1550</v>
      </c>
      <c r="D788" s="10" t="s">
        <v>1551</v>
      </c>
      <c r="E788" s="10">
        <v>1976</v>
      </c>
      <c r="F788" t="s">
        <v>2661</v>
      </c>
      <c r="G788" s="16" t="s">
        <v>34</v>
      </c>
      <c r="H788" s="10" t="s">
        <v>217</v>
      </c>
      <c r="I788" s="10" t="s">
        <v>1559</v>
      </c>
      <c r="J788" s="10" t="s">
        <v>1552</v>
      </c>
      <c r="K788" s="10">
        <v>4</v>
      </c>
      <c r="L788" s="10">
        <v>4</v>
      </c>
      <c r="N788" s="10"/>
      <c r="O788" s="10"/>
      <c r="P788" s="10"/>
      <c r="Q788" s="10"/>
      <c r="R788" s="10"/>
      <c r="S788" s="10"/>
      <c r="T788" s="10"/>
      <c r="U788" s="10"/>
      <c r="V788" s="10"/>
      <c r="W788" s="10"/>
      <c r="X788" s="10"/>
      <c r="Y788" s="10"/>
      <c r="Z788" s="10"/>
      <c r="AA788" s="10"/>
      <c r="AB788" s="10"/>
      <c r="AC788" s="10"/>
      <c r="AD788" s="10"/>
      <c r="AE788" s="10"/>
      <c r="AF788" s="10"/>
      <c r="AG788" s="10"/>
      <c r="AH788" s="10"/>
      <c r="AI788" s="10">
        <v>1.57</v>
      </c>
      <c r="AJ788" s="10"/>
      <c r="AK788" s="10"/>
      <c r="AL788" s="10"/>
      <c r="AN788" s="10"/>
      <c r="AO788" s="10"/>
      <c r="AP788" s="10"/>
      <c r="AQ788" s="10">
        <f t="shared" si="103"/>
        <v>137</v>
      </c>
      <c r="AR788" s="10" t="s">
        <v>14</v>
      </c>
      <c r="AS788" s="10" t="s">
        <v>3</v>
      </c>
      <c r="AT788" s="10" t="s">
        <v>3</v>
      </c>
      <c r="AU788" s="10" t="s">
        <v>2</v>
      </c>
      <c r="AV788" s="10" t="s">
        <v>3</v>
      </c>
      <c r="AW788" s="10"/>
    </row>
    <row r="789" spans="1:49" x14ac:dyDescent="0.3">
      <c r="A789" s="26" t="s">
        <v>1504</v>
      </c>
      <c r="B789" s="10" t="s">
        <v>1549</v>
      </c>
      <c r="C789" s="10" t="s">
        <v>1550</v>
      </c>
      <c r="D789" s="10" t="s">
        <v>1551</v>
      </c>
      <c r="E789" s="10">
        <v>1976</v>
      </c>
      <c r="F789" t="s">
        <v>2661</v>
      </c>
      <c r="G789" s="16" t="s">
        <v>34</v>
      </c>
      <c r="H789" s="10" t="s">
        <v>217</v>
      </c>
      <c r="I789" s="10" t="s">
        <v>1560</v>
      </c>
      <c r="J789" s="10" t="s">
        <v>1552</v>
      </c>
      <c r="K789" s="10">
        <v>4</v>
      </c>
      <c r="L789" s="10">
        <v>4</v>
      </c>
      <c r="N789" s="10"/>
      <c r="O789" s="10"/>
      <c r="P789" s="10"/>
      <c r="Q789" s="10"/>
      <c r="R789" s="10"/>
      <c r="S789" s="10"/>
      <c r="T789" s="10"/>
      <c r="U789" s="10"/>
      <c r="V789" s="10"/>
      <c r="W789" s="10"/>
      <c r="X789" s="10"/>
      <c r="Y789" s="10"/>
      <c r="Z789" s="10"/>
      <c r="AA789" s="10"/>
      <c r="AB789" s="10"/>
      <c r="AC789" s="10"/>
      <c r="AD789" s="10"/>
      <c r="AE789" s="10"/>
      <c r="AF789" s="10"/>
      <c r="AG789" s="10"/>
      <c r="AH789" s="10"/>
      <c r="AI789" s="10">
        <v>1.6</v>
      </c>
      <c r="AJ789" s="10"/>
      <c r="AK789" s="10"/>
      <c r="AL789" s="10"/>
      <c r="AN789" s="10"/>
      <c r="AO789" s="10"/>
      <c r="AP789" s="10"/>
      <c r="AQ789" s="10">
        <f t="shared" si="103"/>
        <v>137</v>
      </c>
      <c r="AR789" s="10" t="s">
        <v>14</v>
      </c>
      <c r="AS789" s="10" t="s">
        <v>3</v>
      </c>
      <c r="AT789" s="10" t="s">
        <v>3</v>
      </c>
      <c r="AU789" s="10" t="s">
        <v>2</v>
      </c>
      <c r="AV789" s="10" t="s">
        <v>3</v>
      </c>
      <c r="AW789" s="10"/>
    </row>
    <row r="790" spans="1:49" x14ac:dyDescent="0.3">
      <c r="A790" s="26" t="s">
        <v>1504</v>
      </c>
      <c r="B790" s="10" t="s">
        <v>1549</v>
      </c>
      <c r="C790" s="10" t="s">
        <v>1550</v>
      </c>
      <c r="D790" s="10" t="s">
        <v>1551</v>
      </c>
      <c r="E790" s="10">
        <v>1976</v>
      </c>
      <c r="F790" t="s">
        <v>2661</v>
      </c>
      <c r="G790" s="16" t="s">
        <v>34</v>
      </c>
      <c r="H790" s="10" t="s">
        <v>217</v>
      </c>
      <c r="I790" s="10" t="s">
        <v>1561</v>
      </c>
      <c r="J790" s="10" t="s">
        <v>1552</v>
      </c>
      <c r="K790" s="10">
        <v>4</v>
      </c>
      <c r="L790" s="10">
        <v>4</v>
      </c>
      <c r="N790" s="10"/>
      <c r="O790" s="10"/>
      <c r="P790" s="10"/>
      <c r="Q790" s="10"/>
      <c r="R790" s="10"/>
      <c r="S790" s="10"/>
      <c r="T790" s="10"/>
      <c r="U790" s="10"/>
      <c r="V790" s="10"/>
      <c r="W790" s="10"/>
      <c r="X790" s="10"/>
      <c r="Y790" s="10"/>
      <c r="Z790" s="10"/>
      <c r="AA790" s="10"/>
      <c r="AB790" s="10"/>
      <c r="AC790" s="10"/>
      <c r="AD790" s="10"/>
      <c r="AE790" s="10"/>
      <c r="AF790" s="10"/>
      <c r="AG790" s="10"/>
      <c r="AH790" s="10"/>
      <c r="AI790" s="10">
        <v>1.04</v>
      </c>
      <c r="AJ790" s="10"/>
      <c r="AK790" s="10"/>
      <c r="AL790" s="10"/>
      <c r="AN790" s="10"/>
      <c r="AO790" s="10"/>
      <c r="AP790" s="10"/>
      <c r="AQ790" s="10">
        <f t="shared" si="103"/>
        <v>137</v>
      </c>
      <c r="AR790" s="10" t="s">
        <v>14</v>
      </c>
      <c r="AS790" s="10" t="s">
        <v>3</v>
      </c>
      <c r="AT790" s="10" t="s">
        <v>3</v>
      </c>
      <c r="AU790" s="10" t="s">
        <v>2</v>
      </c>
      <c r="AV790" s="10" t="s">
        <v>3</v>
      </c>
      <c r="AW790" s="10"/>
    </row>
    <row r="791" spans="1:49" x14ac:dyDescent="0.3">
      <c r="A791" s="26" t="s">
        <v>1504</v>
      </c>
      <c r="B791" s="10" t="s">
        <v>1549</v>
      </c>
      <c r="C791" s="10" t="s">
        <v>1550</v>
      </c>
      <c r="D791" s="10" t="s">
        <v>1551</v>
      </c>
      <c r="E791" s="10">
        <v>1976</v>
      </c>
      <c r="F791" t="s">
        <v>2661</v>
      </c>
      <c r="G791" s="16" t="s">
        <v>34</v>
      </c>
      <c r="H791" s="10" t="s">
        <v>217</v>
      </c>
      <c r="I791" s="10" t="s">
        <v>1562</v>
      </c>
      <c r="J791" s="10" t="s">
        <v>1552</v>
      </c>
      <c r="K791" s="10">
        <v>4</v>
      </c>
      <c r="L791" s="10">
        <v>4</v>
      </c>
      <c r="N791" s="10"/>
      <c r="O791" s="10"/>
      <c r="P791" s="10"/>
      <c r="Q791" s="10"/>
      <c r="R791" s="10"/>
      <c r="S791" s="10"/>
      <c r="T791" s="10"/>
      <c r="U791" s="10"/>
      <c r="V791" s="10"/>
      <c r="W791" s="10"/>
      <c r="X791" s="10"/>
      <c r="Y791" s="10"/>
      <c r="Z791" s="10"/>
      <c r="AA791" s="10"/>
      <c r="AB791" s="10"/>
      <c r="AC791" s="10"/>
      <c r="AD791" s="10"/>
      <c r="AE791" s="10"/>
      <c r="AF791" s="10"/>
      <c r="AG791" s="10"/>
      <c r="AH791" s="10"/>
      <c r="AI791" s="10">
        <v>1.07</v>
      </c>
      <c r="AJ791" s="10"/>
      <c r="AK791" s="10"/>
      <c r="AL791" s="10"/>
      <c r="AN791" s="10"/>
      <c r="AO791" s="10"/>
      <c r="AP791" s="10"/>
      <c r="AQ791" s="10">
        <f t="shared" si="103"/>
        <v>137</v>
      </c>
      <c r="AR791" s="10" t="s">
        <v>14</v>
      </c>
      <c r="AS791" s="10" t="s">
        <v>3</v>
      </c>
      <c r="AT791" s="10" t="s">
        <v>3</v>
      </c>
      <c r="AU791" s="10" t="s">
        <v>2</v>
      </c>
      <c r="AV791" s="10" t="s">
        <v>3</v>
      </c>
      <c r="AW791" s="10"/>
    </row>
    <row r="792" spans="1:49" x14ac:dyDescent="0.3">
      <c r="A792" s="26" t="s">
        <v>1504</v>
      </c>
      <c r="B792" s="10" t="s">
        <v>1549</v>
      </c>
      <c r="C792" s="10" t="s">
        <v>1550</v>
      </c>
      <c r="D792" s="10" t="s">
        <v>1551</v>
      </c>
      <c r="E792" s="10">
        <v>1976</v>
      </c>
      <c r="F792" t="s">
        <v>2661</v>
      </c>
      <c r="G792" s="16" t="s">
        <v>34</v>
      </c>
      <c r="H792" s="10" t="s">
        <v>217</v>
      </c>
      <c r="I792" s="10" t="s">
        <v>1563</v>
      </c>
      <c r="J792" s="10" t="s">
        <v>1552</v>
      </c>
      <c r="K792" s="10">
        <v>4</v>
      </c>
      <c r="L792" s="10">
        <v>4</v>
      </c>
      <c r="N792" s="10"/>
      <c r="O792" s="10"/>
      <c r="P792" s="10"/>
      <c r="Q792" s="10"/>
      <c r="R792" s="10"/>
      <c r="S792" s="10"/>
      <c r="T792" s="10"/>
      <c r="U792" s="10"/>
      <c r="V792" s="10"/>
      <c r="W792" s="10"/>
      <c r="X792" s="10"/>
      <c r="Y792" s="10"/>
      <c r="Z792" s="10"/>
      <c r="AA792" s="10"/>
      <c r="AB792" s="10"/>
      <c r="AC792" s="10"/>
      <c r="AD792" s="10"/>
      <c r="AE792" s="10"/>
      <c r="AF792" s="10"/>
      <c r="AG792" s="10"/>
      <c r="AH792" s="10"/>
      <c r="AI792" s="10">
        <v>1.0900000000000001</v>
      </c>
      <c r="AJ792" s="10"/>
      <c r="AK792" s="10"/>
      <c r="AL792" s="10"/>
      <c r="AN792" s="10"/>
      <c r="AO792" s="10"/>
      <c r="AP792" s="10"/>
      <c r="AQ792" s="10">
        <f t="shared" si="103"/>
        <v>137</v>
      </c>
      <c r="AR792" s="10" t="s">
        <v>14</v>
      </c>
      <c r="AS792" s="10" t="s">
        <v>3</v>
      </c>
      <c r="AT792" s="10" t="s">
        <v>3</v>
      </c>
      <c r="AU792" s="10" t="s">
        <v>2</v>
      </c>
      <c r="AV792" s="10" t="s">
        <v>3</v>
      </c>
      <c r="AW792" s="10"/>
    </row>
    <row r="793" spans="1:49" x14ac:dyDescent="0.3">
      <c r="A793" s="26" t="s">
        <v>1504</v>
      </c>
      <c r="B793" s="10" t="s">
        <v>1549</v>
      </c>
      <c r="C793" s="10" t="s">
        <v>1550</v>
      </c>
      <c r="D793" s="10" t="s">
        <v>1551</v>
      </c>
      <c r="E793" s="10">
        <v>1976</v>
      </c>
      <c r="F793" t="s">
        <v>2661</v>
      </c>
      <c r="G793" s="16" t="s">
        <v>34</v>
      </c>
      <c r="H793" s="10" t="s">
        <v>217</v>
      </c>
      <c r="I793" s="10" t="s">
        <v>1564</v>
      </c>
      <c r="J793" s="10" t="s">
        <v>1552</v>
      </c>
      <c r="K793" s="10">
        <v>4</v>
      </c>
      <c r="L793" s="10">
        <v>4</v>
      </c>
      <c r="N793" s="10"/>
      <c r="O793" s="10"/>
      <c r="P793" s="10"/>
      <c r="Q793" s="10"/>
      <c r="R793" s="10"/>
      <c r="S793" s="10"/>
      <c r="T793" s="10"/>
      <c r="U793" s="10"/>
      <c r="V793" s="10"/>
      <c r="W793" s="10"/>
      <c r="X793" s="10"/>
      <c r="Y793" s="10"/>
      <c r="Z793" s="10"/>
      <c r="AA793" s="10"/>
      <c r="AB793" s="10"/>
      <c r="AC793" s="10"/>
      <c r="AD793" s="10"/>
      <c r="AE793" s="10"/>
      <c r="AF793" s="10"/>
      <c r="AG793" s="10"/>
      <c r="AH793" s="10"/>
      <c r="AI793" s="10">
        <v>1.0900000000000001</v>
      </c>
      <c r="AJ793" s="10"/>
      <c r="AK793" s="10"/>
      <c r="AL793" s="10"/>
      <c r="AN793" s="10"/>
      <c r="AO793" s="10"/>
      <c r="AP793" s="10"/>
      <c r="AQ793" s="10">
        <f t="shared" si="103"/>
        <v>137</v>
      </c>
      <c r="AR793" s="10" t="s">
        <v>14</v>
      </c>
      <c r="AS793" s="10" t="s">
        <v>3</v>
      </c>
      <c r="AT793" s="10" t="s">
        <v>3</v>
      </c>
      <c r="AU793" s="10" t="s">
        <v>2</v>
      </c>
      <c r="AV793" s="10" t="s">
        <v>3</v>
      </c>
      <c r="AW793" s="10"/>
    </row>
    <row r="794" spans="1:49" x14ac:dyDescent="0.3">
      <c r="A794" s="26" t="s">
        <v>1504</v>
      </c>
      <c r="B794" s="10" t="s">
        <v>1549</v>
      </c>
      <c r="C794" s="10" t="s">
        <v>1550</v>
      </c>
      <c r="D794" s="10" t="s">
        <v>1551</v>
      </c>
      <c r="E794" s="10">
        <v>1976</v>
      </c>
      <c r="F794" t="s">
        <v>2661</v>
      </c>
      <c r="G794" s="16" t="s">
        <v>34</v>
      </c>
      <c r="H794" s="10" t="s">
        <v>217</v>
      </c>
      <c r="I794" s="10" t="s">
        <v>1565</v>
      </c>
      <c r="J794" s="10" t="s">
        <v>1552</v>
      </c>
      <c r="K794" s="10">
        <v>4</v>
      </c>
      <c r="L794" s="10">
        <v>4</v>
      </c>
      <c r="N794" s="10"/>
      <c r="O794" s="10"/>
      <c r="P794" s="10"/>
      <c r="Q794" s="10"/>
      <c r="R794" s="10"/>
      <c r="S794" s="10"/>
      <c r="T794" s="10"/>
      <c r="U794" s="10"/>
      <c r="V794" s="10"/>
      <c r="W794" s="10"/>
      <c r="X794" s="10"/>
      <c r="Y794" s="10"/>
      <c r="Z794" s="10"/>
      <c r="AA794" s="10"/>
      <c r="AB794" s="10"/>
      <c r="AC794" s="10"/>
      <c r="AD794" s="10"/>
      <c r="AE794" s="10"/>
      <c r="AF794" s="10"/>
      <c r="AG794" s="10"/>
      <c r="AH794" s="10"/>
      <c r="AI794" s="10">
        <v>0.89</v>
      </c>
      <c r="AJ794" s="10"/>
      <c r="AK794" s="10"/>
      <c r="AL794" s="10"/>
      <c r="AN794" s="10"/>
      <c r="AO794" s="10"/>
      <c r="AP794" s="10"/>
      <c r="AQ794" s="10">
        <f>45+92</f>
        <v>137</v>
      </c>
      <c r="AR794" s="10" t="s">
        <v>14</v>
      </c>
      <c r="AS794" s="10" t="s">
        <v>3</v>
      </c>
      <c r="AT794" s="10" t="s">
        <v>3</v>
      </c>
      <c r="AU794" s="10" t="s">
        <v>2</v>
      </c>
      <c r="AV794" s="10" t="s">
        <v>3</v>
      </c>
      <c r="AW794" s="10"/>
    </row>
    <row r="795" spans="1:49" x14ac:dyDescent="0.3">
      <c r="A795" s="26" t="s">
        <v>1504</v>
      </c>
      <c r="B795" s="10" t="s">
        <v>1549</v>
      </c>
      <c r="C795" s="10" t="s">
        <v>1550</v>
      </c>
      <c r="D795" s="10" t="s">
        <v>1551</v>
      </c>
      <c r="E795" s="10">
        <v>1976</v>
      </c>
      <c r="F795" t="s">
        <v>2661</v>
      </c>
      <c r="G795" s="16" t="s">
        <v>34</v>
      </c>
      <c r="H795" s="10" t="s">
        <v>217</v>
      </c>
      <c r="I795" s="10" t="s">
        <v>1566</v>
      </c>
      <c r="J795" s="10" t="s">
        <v>1552</v>
      </c>
      <c r="K795" s="10">
        <v>4</v>
      </c>
      <c r="L795" s="10">
        <v>4</v>
      </c>
      <c r="N795" s="10"/>
      <c r="O795" s="10"/>
      <c r="P795" s="10"/>
      <c r="Q795" s="10"/>
      <c r="R795" s="10"/>
      <c r="S795" s="10"/>
      <c r="T795" s="10"/>
      <c r="U795" s="10"/>
      <c r="V795" s="10"/>
      <c r="W795" s="10"/>
      <c r="X795" s="10"/>
      <c r="Y795" s="10"/>
      <c r="Z795" s="10"/>
      <c r="AA795" s="10"/>
      <c r="AB795" s="10"/>
      <c r="AC795" s="10"/>
      <c r="AD795" s="10"/>
      <c r="AE795" s="10"/>
      <c r="AF795" s="10"/>
      <c r="AG795" s="10"/>
      <c r="AH795" s="10"/>
      <c r="AI795" s="10">
        <v>0.86</v>
      </c>
      <c r="AJ795" s="10"/>
      <c r="AK795" s="10"/>
      <c r="AL795" s="10"/>
      <c r="AN795" s="10"/>
      <c r="AO795" s="10"/>
      <c r="AP795" s="10"/>
      <c r="AQ795" s="10">
        <f t="shared" ref="AQ795:AQ813" si="104">45+92</f>
        <v>137</v>
      </c>
      <c r="AR795" s="10" t="s">
        <v>14</v>
      </c>
      <c r="AS795" s="10" t="s">
        <v>3</v>
      </c>
      <c r="AT795" s="10" t="s">
        <v>3</v>
      </c>
      <c r="AU795" s="10" t="s">
        <v>2</v>
      </c>
      <c r="AV795" s="10" t="s">
        <v>3</v>
      </c>
      <c r="AW795" s="10"/>
    </row>
    <row r="796" spans="1:49" x14ac:dyDescent="0.3">
      <c r="A796" s="26" t="s">
        <v>1504</v>
      </c>
      <c r="B796" s="10" t="s">
        <v>1549</v>
      </c>
      <c r="C796" s="10" t="s">
        <v>1550</v>
      </c>
      <c r="D796" s="10" t="s">
        <v>1551</v>
      </c>
      <c r="E796" s="10">
        <v>1976</v>
      </c>
      <c r="F796" t="s">
        <v>2661</v>
      </c>
      <c r="G796" s="16" t="s">
        <v>34</v>
      </c>
      <c r="H796" s="10" t="s">
        <v>217</v>
      </c>
      <c r="I796" s="10" t="s">
        <v>1567</v>
      </c>
      <c r="J796" s="10" t="s">
        <v>1552</v>
      </c>
      <c r="K796" s="10">
        <v>4</v>
      </c>
      <c r="L796" s="10">
        <v>4</v>
      </c>
      <c r="N796" s="10"/>
      <c r="O796" s="10"/>
      <c r="P796" s="10"/>
      <c r="Q796" s="10"/>
      <c r="R796" s="10"/>
      <c r="S796" s="10"/>
      <c r="T796" s="10"/>
      <c r="U796" s="10"/>
      <c r="V796" s="10"/>
      <c r="W796" s="10"/>
      <c r="X796" s="10"/>
      <c r="Y796" s="10"/>
      <c r="Z796" s="10"/>
      <c r="AA796" s="10"/>
      <c r="AB796" s="10"/>
      <c r="AC796" s="10"/>
      <c r="AD796" s="10"/>
      <c r="AE796" s="10"/>
      <c r="AF796" s="10"/>
      <c r="AG796" s="10"/>
      <c r="AH796" s="10"/>
      <c r="AI796" s="10">
        <v>0.74</v>
      </c>
      <c r="AJ796" s="10"/>
      <c r="AK796" s="10"/>
      <c r="AL796" s="10"/>
      <c r="AN796" s="10"/>
      <c r="AO796" s="10"/>
      <c r="AP796" s="10"/>
      <c r="AQ796" s="10">
        <f t="shared" si="104"/>
        <v>137</v>
      </c>
      <c r="AR796" s="10" t="s">
        <v>14</v>
      </c>
      <c r="AS796" s="10" t="s">
        <v>3</v>
      </c>
      <c r="AT796" s="10" t="s">
        <v>3</v>
      </c>
      <c r="AU796" s="10" t="s">
        <v>2</v>
      </c>
      <c r="AV796" s="10" t="s">
        <v>3</v>
      </c>
      <c r="AW796" s="10"/>
    </row>
    <row r="797" spans="1:49" x14ac:dyDescent="0.3">
      <c r="A797" s="26" t="s">
        <v>1504</v>
      </c>
      <c r="B797" s="10" t="s">
        <v>1549</v>
      </c>
      <c r="C797" t="s">
        <v>1550</v>
      </c>
      <c r="D797" t="s">
        <v>1551</v>
      </c>
      <c r="E797">
        <v>1976</v>
      </c>
      <c r="F797" t="s">
        <v>2661</v>
      </c>
      <c r="G797" s="16" t="s">
        <v>34</v>
      </c>
      <c r="H797" s="10" t="s">
        <v>217</v>
      </c>
      <c r="I797" s="10" t="s">
        <v>1568</v>
      </c>
      <c r="J797" s="10" t="s">
        <v>1552</v>
      </c>
      <c r="K797" s="10">
        <v>4</v>
      </c>
      <c r="L797" s="10">
        <v>4</v>
      </c>
      <c r="AI797">
        <v>0.97</v>
      </c>
      <c r="AQ797">
        <f t="shared" si="104"/>
        <v>137</v>
      </c>
      <c r="AR797" t="s">
        <v>14</v>
      </c>
      <c r="AS797" t="s">
        <v>3</v>
      </c>
      <c r="AT797" t="s">
        <v>3</v>
      </c>
      <c r="AU797" s="10" t="s">
        <v>2</v>
      </c>
      <c r="AV797" s="10" t="s">
        <v>3</v>
      </c>
    </row>
    <row r="798" spans="1:49" x14ac:dyDescent="0.3">
      <c r="A798" s="26" t="s">
        <v>1504</v>
      </c>
      <c r="B798" s="10" t="s">
        <v>1549</v>
      </c>
      <c r="C798" t="s">
        <v>1550</v>
      </c>
      <c r="D798" t="s">
        <v>1551</v>
      </c>
      <c r="E798">
        <v>1977</v>
      </c>
      <c r="F798" t="s">
        <v>2661</v>
      </c>
      <c r="G798" s="16" t="s">
        <v>34</v>
      </c>
      <c r="H798" s="10" t="s">
        <v>217</v>
      </c>
      <c r="I798" s="10" t="s">
        <v>1557</v>
      </c>
      <c r="J798" s="10" t="s">
        <v>1552</v>
      </c>
      <c r="K798" s="10">
        <v>4</v>
      </c>
      <c r="L798" s="10">
        <v>4</v>
      </c>
      <c r="AI798">
        <v>1.1399999999999999</v>
      </c>
      <c r="AQ798">
        <f t="shared" si="104"/>
        <v>137</v>
      </c>
      <c r="AR798" t="s">
        <v>14</v>
      </c>
      <c r="AS798" t="s">
        <v>3</v>
      </c>
      <c r="AT798" t="s">
        <v>3</v>
      </c>
      <c r="AU798" s="10" t="s">
        <v>2</v>
      </c>
      <c r="AV798" s="10" t="s">
        <v>3</v>
      </c>
    </row>
    <row r="799" spans="1:49" x14ac:dyDescent="0.3">
      <c r="A799" s="26" t="s">
        <v>1504</v>
      </c>
      <c r="B799" s="10" t="s">
        <v>1549</v>
      </c>
      <c r="C799" t="s">
        <v>1550</v>
      </c>
      <c r="D799" t="s">
        <v>1551</v>
      </c>
      <c r="E799">
        <v>1977</v>
      </c>
      <c r="F799" t="s">
        <v>2661</v>
      </c>
      <c r="G799" s="16" t="s">
        <v>34</v>
      </c>
      <c r="H799" s="10" t="s">
        <v>217</v>
      </c>
      <c r="I799" s="10" t="s">
        <v>1558</v>
      </c>
      <c r="J799" s="10" t="s">
        <v>1552</v>
      </c>
      <c r="K799" s="10">
        <v>4</v>
      </c>
      <c r="L799" s="10">
        <v>4</v>
      </c>
      <c r="AI799">
        <v>1.2</v>
      </c>
      <c r="AQ799">
        <f t="shared" si="104"/>
        <v>137</v>
      </c>
      <c r="AR799" t="s">
        <v>14</v>
      </c>
      <c r="AS799" t="s">
        <v>3</v>
      </c>
      <c r="AT799" t="s">
        <v>3</v>
      </c>
      <c r="AU799" s="10" t="s">
        <v>2</v>
      </c>
      <c r="AV799" s="10" t="s">
        <v>3</v>
      </c>
    </row>
    <row r="800" spans="1:49" x14ac:dyDescent="0.3">
      <c r="A800" s="26" t="s">
        <v>1504</v>
      </c>
      <c r="B800" s="10" t="s">
        <v>1549</v>
      </c>
      <c r="C800" t="s">
        <v>1550</v>
      </c>
      <c r="D800" t="s">
        <v>1551</v>
      </c>
      <c r="E800">
        <v>1977</v>
      </c>
      <c r="F800" t="s">
        <v>2661</v>
      </c>
      <c r="G800" s="16" t="s">
        <v>34</v>
      </c>
      <c r="H800" s="10" t="s">
        <v>217</v>
      </c>
      <c r="I800" s="10" t="s">
        <v>1559</v>
      </c>
      <c r="J800" s="10" t="s">
        <v>1552</v>
      </c>
      <c r="K800" s="10">
        <v>4</v>
      </c>
      <c r="L800" s="10">
        <v>4</v>
      </c>
      <c r="AI800">
        <v>1.18</v>
      </c>
      <c r="AQ800">
        <f t="shared" si="104"/>
        <v>137</v>
      </c>
      <c r="AR800" t="s">
        <v>14</v>
      </c>
      <c r="AS800" t="s">
        <v>3</v>
      </c>
      <c r="AT800" t="s">
        <v>3</v>
      </c>
      <c r="AU800" s="10" t="s">
        <v>2</v>
      </c>
      <c r="AV800" s="10" t="s">
        <v>3</v>
      </c>
    </row>
    <row r="801" spans="1:48" x14ac:dyDescent="0.3">
      <c r="A801" s="26" t="s">
        <v>1504</v>
      </c>
      <c r="B801" s="10" t="s">
        <v>1549</v>
      </c>
      <c r="C801" t="s">
        <v>1550</v>
      </c>
      <c r="D801" t="s">
        <v>1551</v>
      </c>
      <c r="E801">
        <v>1977</v>
      </c>
      <c r="F801" t="s">
        <v>2661</v>
      </c>
      <c r="G801" s="16" t="s">
        <v>34</v>
      </c>
      <c r="H801" s="10" t="s">
        <v>217</v>
      </c>
      <c r="I801" s="10" t="s">
        <v>1569</v>
      </c>
      <c r="J801" s="10" t="s">
        <v>1552</v>
      </c>
      <c r="K801" s="10">
        <v>4</v>
      </c>
      <c r="L801" s="10">
        <v>4</v>
      </c>
      <c r="AI801">
        <v>1.18</v>
      </c>
      <c r="AQ801">
        <f t="shared" si="104"/>
        <v>137</v>
      </c>
      <c r="AR801" t="s">
        <v>14</v>
      </c>
      <c r="AS801" t="s">
        <v>3</v>
      </c>
      <c r="AT801" t="s">
        <v>3</v>
      </c>
      <c r="AU801" s="10" t="s">
        <v>2</v>
      </c>
      <c r="AV801" s="10" t="s">
        <v>3</v>
      </c>
    </row>
    <row r="802" spans="1:48" x14ac:dyDescent="0.3">
      <c r="A802" s="26" t="s">
        <v>1504</v>
      </c>
      <c r="B802" s="10" t="s">
        <v>1549</v>
      </c>
      <c r="C802" t="s">
        <v>1550</v>
      </c>
      <c r="D802" t="s">
        <v>1551</v>
      </c>
      <c r="E802">
        <v>1977</v>
      </c>
      <c r="F802" t="s">
        <v>2661</v>
      </c>
      <c r="G802" s="16" t="s">
        <v>34</v>
      </c>
      <c r="H802" s="10" t="s">
        <v>217</v>
      </c>
      <c r="I802" s="10" t="s">
        <v>1570</v>
      </c>
      <c r="J802" s="10" t="s">
        <v>1552</v>
      </c>
      <c r="K802" s="10">
        <v>4</v>
      </c>
      <c r="L802" s="10">
        <v>4</v>
      </c>
      <c r="AI802">
        <v>1.17</v>
      </c>
      <c r="AQ802">
        <f t="shared" si="104"/>
        <v>137</v>
      </c>
      <c r="AR802" t="s">
        <v>14</v>
      </c>
      <c r="AS802" t="s">
        <v>3</v>
      </c>
      <c r="AT802" t="s">
        <v>3</v>
      </c>
      <c r="AU802" s="10" t="s">
        <v>2</v>
      </c>
      <c r="AV802" s="10" t="s">
        <v>3</v>
      </c>
    </row>
    <row r="803" spans="1:48" x14ac:dyDescent="0.3">
      <c r="A803" s="26" t="s">
        <v>1504</v>
      </c>
      <c r="B803" s="10" t="s">
        <v>1549</v>
      </c>
      <c r="C803" t="s">
        <v>1550</v>
      </c>
      <c r="D803" t="s">
        <v>1551</v>
      </c>
      <c r="E803">
        <v>1977</v>
      </c>
      <c r="F803" t="s">
        <v>2661</v>
      </c>
      <c r="G803" s="16" t="s">
        <v>34</v>
      </c>
      <c r="H803" s="10" t="s">
        <v>217</v>
      </c>
      <c r="I803" s="10" t="s">
        <v>1571</v>
      </c>
      <c r="J803" s="10" t="s">
        <v>1552</v>
      </c>
      <c r="K803" s="10">
        <v>4</v>
      </c>
      <c r="L803" s="10">
        <v>4</v>
      </c>
      <c r="AI803">
        <v>1.21</v>
      </c>
      <c r="AQ803">
        <f t="shared" si="104"/>
        <v>137</v>
      </c>
      <c r="AR803" t="s">
        <v>14</v>
      </c>
      <c r="AS803" t="s">
        <v>3</v>
      </c>
      <c r="AT803" t="s">
        <v>3</v>
      </c>
      <c r="AU803" s="10" t="s">
        <v>2</v>
      </c>
      <c r="AV803" s="10" t="s">
        <v>3</v>
      </c>
    </row>
    <row r="804" spans="1:48" x14ac:dyDescent="0.3">
      <c r="A804" s="26" t="s">
        <v>1504</v>
      </c>
      <c r="B804" s="10" t="s">
        <v>1549</v>
      </c>
      <c r="C804" t="s">
        <v>1550</v>
      </c>
      <c r="D804" t="s">
        <v>1551</v>
      </c>
      <c r="E804">
        <v>1977</v>
      </c>
      <c r="F804" t="s">
        <v>2661</v>
      </c>
      <c r="G804" s="16" t="s">
        <v>34</v>
      </c>
      <c r="H804" s="10" t="s">
        <v>217</v>
      </c>
      <c r="I804" s="10" t="s">
        <v>1572</v>
      </c>
      <c r="J804" s="10" t="s">
        <v>1552</v>
      </c>
      <c r="K804" s="10">
        <v>4</v>
      </c>
      <c r="L804" s="10">
        <v>4</v>
      </c>
      <c r="AI804">
        <v>1.24</v>
      </c>
      <c r="AQ804">
        <f t="shared" si="104"/>
        <v>137</v>
      </c>
      <c r="AR804" t="s">
        <v>14</v>
      </c>
      <c r="AS804" t="s">
        <v>3</v>
      </c>
      <c r="AT804" t="s">
        <v>3</v>
      </c>
      <c r="AU804" s="10" t="s">
        <v>2</v>
      </c>
      <c r="AV804" s="10" t="s">
        <v>3</v>
      </c>
    </row>
    <row r="805" spans="1:48" x14ac:dyDescent="0.3">
      <c r="A805" s="26" t="s">
        <v>1504</v>
      </c>
      <c r="B805" s="10" t="s">
        <v>1549</v>
      </c>
      <c r="C805" t="s">
        <v>1550</v>
      </c>
      <c r="D805" t="s">
        <v>1551</v>
      </c>
      <c r="E805">
        <v>1977</v>
      </c>
      <c r="F805" t="s">
        <v>2661</v>
      </c>
      <c r="G805" s="16" t="s">
        <v>34</v>
      </c>
      <c r="H805" s="10" t="s">
        <v>217</v>
      </c>
      <c r="I805" s="10" t="s">
        <v>1573</v>
      </c>
      <c r="J805" s="10" t="s">
        <v>1552</v>
      </c>
      <c r="K805" s="10">
        <v>4</v>
      </c>
      <c r="L805" s="10">
        <v>4</v>
      </c>
      <c r="AI805">
        <v>1.25</v>
      </c>
      <c r="AQ805">
        <f t="shared" si="104"/>
        <v>137</v>
      </c>
      <c r="AR805" t="s">
        <v>14</v>
      </c>
      <c r="AS805" t="s">
        <v>3</v>
      </c>
      <c r="AT805" t="s">
        <v>3</v>
      </c>
      <c r="AU805" s="10" t="s">
        <v>2</v>
      </c>
      <c r="AV805" s="10" t="s">
        <v>3</v>
      </c>
    </row>
    <row r="806" spans="1:48" x14ac:dyDescent="0.3">
      <c r="A806" s="26" t="s">
        <v>1504</v>
      </c>
      <c r="B806" s="10" t="s">
        <v>1549</v>
      </c>
      <c r="C806" t="s">
        <v>1550</v>
      </c>
      <c r="D806" t="s">
        <v>1551</v>
      </c>
      <c r="E806">
        <v>1977</v>
      </c>
      <c r="F806" t="s">
        <v>2661</v>
      </c>
      <c r="G806" s="16" t="s">
        <v>34</v>
      </c>
      <c r="H806" s="10" t="s">
        <v>217</v>
      </c>
      <c r="I806" s="10" t="s">
        <v>1574</v>
      </c>
      <c r="J806" s="10" t="s">
        <v>1552</v>
      </c>
      <c r="K806" s="10">
        <v>4</v>
      </c>
      <c r="L806" s="10">
        <v>4</v>
      </c>
      <c r="AI806">
        <v>1.1000000000000001</v>
      </c>
      <c r="AQ806">
        <f t="shared" si="104"/>
        <v>137</v>
      </c>
      <c r="AR806" t="s">
        <v>14</v>
      </c>
      <c r="AS806" t="s">
        <v>3</v>
      </c>
      <c r="AT806" t="s">
        <v>3</v>
      </c>
      <c r="AU806" s="10" t="s">
        <v>2</v>
      </c>
      <c r="AV806" s="10" t="s">
        <v>3</v>
      </c>
    </row>
    <row r="807" spans="1:48" x14ac:dyDescent="0.3">
      <c r="A807" s="26" t="s">
        <v>1504</v>
      </c>
      <c r="B807" s="10" t="s">
        <v>1549</v>
      </c>
      <c r="C807" t="s">
        <v>1550</v>
      </c>
      <c r="D807" t="s">
        <v>1551</v>
      </c>
      <c r="E807">
        <v>1977</v>
      </c>
      <c r="F807" t="s">
        <v>2661</v>
      </c>
      <c r="G807" s="16" t="s">
        <v>34</v>
      </c>
      <c r="H807" s="10" t="s">
        <v>217</v>
      </c>
      <c r="I807" s="10" t="s">
        <v>1575</v>
      </c>
      <c r="J807" s="10" t="s">
        <v>1552</v>
      </c>
      <c r="K807" s="10">
        <v>4</v>
      </c>
      <c r="L807" s="10">
        <v>4</v>
      </c>
      <c r="AI807">
        <v>1.18</v>
      </c>
      <c r="AQ807">
        <f t="shared" si="104"/>
        <v>137</v>
      </c>
      <c r="AR807" t="s">
        <v>14</v>
      </c>
      <c r="AS807" t="s">
        <v>3</v>
      </c>
      <c r="AT807" t="s">
        <v>3</v>
      </c>
      <c r="AU807" s="10" t="s">
        <v>2</v>
      </c>
      <c r="AV807" s="10" t="s">
        <v>3</v>
      </c>
    </row>
    <row r="808" spans="1:48" x14ac:dyDescent="0.3">
      <c r="A808" s="26" t="s">
        <v>1504</v>
      </c>
      <c r="B808" s="10" t="s">
        <v>1549</v>
      </c>
      <c r="C808" t="s">
        <v>1550</v>
      </c>
      <c r="D808" t="s">
        <v>1551</v>
      </c>
      <c r="E808">
        <v>1977</v>
      </c>
      <c r="F808" t="s">
        <v>2661</v>
      </c>
      <c r="G808" s="16" t="s">
        <v>34</v>
      </c>
      <c r="H808" s="10" t="s">
        <v>217</v>
      </c>
      <c r="I808" s="10" t="s">
        <v>1576</v>
      </c>
      <c r="J808" s="10" t="s">
        <v>1552</v>
      </c>
      <c r="K808" s="10">
        <v>4</v>
      </c>
      <c r="L808" s="10">
        <v>4</v>
      </c>
      <c r="AI808">
        <v>1.07</v>
      </c>
      <c r="AQ808">
        <f t="shared" si="104"/>
        <v>137</v>
      </c>
      <c r="AR808" t="s">
        <v>14</v>
      </c>
      <c r="AS808" t="s">
        <v>3</v>
      </c>
      <c r="AT808" t="s">
        <v>3</v>
      </c>
      <c r="AU808" s="10" t="s">
        <v>2</v>
      </c>
      <c r="AV808" s="10" t="s">
        <v>3</v>
      </c>
    </row>
    <row r="809" spans="1:48" x14ac:dyDescent="0.3">
      <c r="A809" s="26" t="s">
        <v>1504</v>
      </c>
      <c r="B809" s="10" t="s">
        <v>1549</v>
      </c>
      <c r="C809" t="s">
        <v>1550</v>
      </c>
      <c r="D809" t="s">
        <v>1551</v>
      </c>
      <c r="E809">
        <v>1977</v>
      </c>
      <c r="F809" t="s">
        <v>2661</v>
      </c>
      <c r="G809" s="16" t="s">
        <v>34</v>
      </c>
      <c r="H809" s="10" t="s">
        <v>217</v>
      </c>
      <c r="I809" s="10" t="s">
        <v>1577</v>
      </c>
      <c r="J809" s="10" t="s">
        <v>1552</v>
      </c>
      <c r="K809" s="10">
        <v>4</v>
      </c>
      <c r="L809" s="10">
        <v>4</v>
      </c>
      <c r="AI809">
        <v>1.1499999999999999</v>
      </c>
      <c r="AQ809">
        <f t="shared" si="104"/>
        <v>137</v>
      </c>
      <c r="AR809" t="s">
        <v>14</v>
      </c>
      <c r="AS809" t="s">
        <v>3</v>
      </c>
      <c r="AT809" t="s">
        <v>3</v>
      </c>
      <c r="AU809" s="10" t="s">
        <v>2</v>
      </c>
      <c r="AV809" s="10" t="s">
        <v>3</v>
      </c>
    </row>
    <row r="810" spans="1:48" x14ac:dyDescent="0.3">
      <c r="A810" s="26" t="s">
        <v>1504</v>
      </c>
      <c r="B810" s="10" t="s">
        <v>1549</v>
      </c>
      <c r="C810" t="s">
        <v>1550</v>
      </c>
      <c r="D810" t="s">
        <v>1551</v>
      </c>
      <c r="E810">
        <v>1977</v>
      </c>
      <c r="F810" t="s">
        <v>2661</v>
      </c>
      <c r="G810" s="16" t="s">
        <v>34</v>
      </c>
      <c r="H810" s="10" t="s">
        <v>217</v>
      </c>
      <c r="I810" s="10" t="s">
        <v>1561</v>
      </c>
      <c r="J810" s="10" t="s">
        <v>1552</v>
      </c>
      <c r="K810" s="10">
        <v>4</v>
      </c>
      <c r="L810" s="10">
        <v>4</v>
      </c>
      <c r="AI810">
        <v>0.98</v>
      </c>
      <c r="AQ810">
        <f t="shared" si="104"/>
        <v>137</v>
      </c>
      <c r="AR810" t="s">
        <v>14</v>
      </c>
      <c r="AS810" t="s">
        <v>3</v>
      </c>
      <c r="AT810" t="s">
        <v>3</v>
      </c>
      <c r="AU810" s="10" t="s">
        <v>2</v>
      </c>
      <c r="AV810" s="10" t="s">
        <v>3</v>
      </c>
    </row>
    <row r="811" spans="1:48" x14ac:dyDescent="0.3">
      <c r="A811" s="26" t="s">
        <v>1504</v>
      </c>
      <c r="B811" s="10" t="s">
        <v>1549</v>
      </c>
      <c r="C811" t="s">
        <v>1550</v>
      </c>
      <c r="D811" t="s">
        <v>1551</v>
      </c>
      <c r="E811">
        <v>1977</v>
      </c>
      <c r="F811" t="s">
        <v>2661</v>
      </c>
      <c r="G811" s="16" t="s">
        <v>34</v>
      </c>
      <c r="H811" s="10" t="s">
        <v>217</v>
      </c>
      <c r="I811" s="10" t="s">
        <v>1562</v>
      </c>
      <c r="J811" s="10" t="s">
        <v>1552</v>
      </c>
      <c r="K811" s="10">
        <v>4</v>
      </c>
      <c r="L811" s="10">
        <v>4</v>
      </c>
      <c r="AI811">
        <v>1.07</v>
      </c>
      <c r="AQ811">
        <f t="shared" si="104"/>
        <v>137</v>
      </c>
      <c r="AR811" t="s">
        <v>14</v>
      </c>
      <c r="AS811" t="s">
        <v>3</v>
      </c>
      <c r="AT811" t="s">
        <v>3</v>
      </c>
      <c r="AU811" s="10" t="s">
        <v>2</v>
      </c>
      <c r="AV811" s="10" t="s">
        <v>3</v>
      </c>
    </row>
    <row r="812" spans="1:48" x14ac:dyDescent="0.3">
      <c r="A812" s="26" t="s">
        <v>1504</v>
      </c>
      <c r="B812" s="10" t="s">
        <v>1549</v>
      </c>
      <c r="C812" t="s">
        <v>1550</v>
      </c>
      <c r="D812" t="s">
        <v>1551</v>
      </c>
      <c r="E812">
        <v>1977</v>
      </c>
      <c r="F812" t="s">
        <v>2661</v>
      </c>
      <c r="G812" s="16" t="s">
        <v>34</v>
      </c>
      <c r="H812" s="10" t="s">
        <v>217</v>
      </c>
      <c r="I812" s="10" t="s">
        <v>1563</v>
      </c>
      <c r="J812" s="10" t="s">
        <v>1552</v>
      </c>
      <c r="K812" s="10">
        <v>4</v>
      </c>
      <c r="L812" s="10">
        <v>4</v>
      </c>
      <c r="AI812">
        <v>1.28</v>
      </c>
      <c r="AQ812">
        <f t="shared" si="104"/>
        <v>137</v>
      </c>
      <c r="AR812" t="s">
        <v>14</v>
      </c>
      <c r="AS812" t="s">
        <v>3</v>
      </c>
      <c r="AT812" t="s">
        <v>3</v>
      </c>
      <c r="AU812" s="10" t="s">
        <v>2</v>
      </c>
      <c r="AV812" s="10" t="s">
        <v>3</v>
      </c>
    </row>
    <row r="813" spans="1:48" x14ac:dyDescent="0.3">
      <c r="A813" s="26" t="s">
        <v>1504</v>
      </c>
      <c r="B813" s="10" t="s">
        <v>1549</v>
      </c>
      <c r="C813" t="s">
        <v>1550</v>
      </c>
      <c r="D813" t="s">
        <v>1551</v>
      </c>
      <c r="E813">
        <v>1977</v>
      </c>
      <c r="F813" t="s">
        <v>2661</v>
      </c>
      <c r="G813" s="16" t="s">
        <v>34</v>
      </c>
      <c r="H813" s="10" t="s">
        <v>217</v>
      </c>
      <c r="I813" s="10" t="s">
        <v>1578</v>
      </c>
      <c r="J813" s="10" t="s">
        <v>1552</v>
      </c>
      <c r="K813" s="10">
        <v>4</v>
      </c>
      <c r="L813" s="10">
        <v>4</v>
      </c>
      <c r="AI813">
        <v>1.27</v>
      </c>
      <c r="AQ813">
        <f t="shared" si="104"/>
        <v>137</v>
      </c>
      <c r="AR813" t="s">
        <v>14</v>
      </c>
      <c r="AS813" t="s">
        <v>3</v>
      </c>
      <c r="AT813" t="s">
        <v>3</v>
      </c>
      <c r="AU813" s="10" t="s">
        <v>2</v>
      </c>
      <c r="AV813" s="10" t="s">
        <v>3</v>
      </c>
    </row>
    <row r="814" spans="1:48" x14ac:dyDescent="0.3">
      <c r="A814" s="26" t="s">
        <v>1505</v>
      </c>
      <c r="B814" s="10" t="s">
        <v>50</v>
      </c>
      <c r="C814" t="s">
        <v>51</v>
      </c>
      <c r="D814" s="4" t="s">
        <v>1579</v>
      </c>
      <c r="E814">
        <v>1977</v>
      </c>
      <c r="F814" t="s">
        <v>2661</v>
      </c>
      <c r="G814" s="16" t="s">
        <v>34</v>
      </c>
      <c r="H814" s="10" t="s">
        <v>217</v>
      </c>
      <c r="I814" s="10" t="s">
        <v>1581</v>
      </c>
      <c r="J814" s="10" t="s">
        <v>1586</v>
      </c>
      <c r="K814" s="10">
        <v>3</v>
      </c>
      <c r="L814" s="10">
        <v>3</v>
      </c>
      <c r="N814">
        <v>4467</v>
      </c>
      <c r="P814">
        <v>1017</v>
      </c>
      <c r="R814">
        <v>4382</v>
      </c>
      <c r="W814">
        <v>4133</v>
      </c>
      <c r="Y814">
        <v>748</v>
      </c>
      <c r="AA814">
        <v>1705</v>
      </c>
      <c r="AD814" s="3">
        <f t="shared" ref="AD814:AD877" si="105">W814/N814</f>
        <v>0.92522946048802324</v>
      </c>
      <c r="AE814" s="3">
        <f t="shared" ref="AE814:AE839" si="106">Y814/P814</f>
        <v>0.73549655850540807</v>
      </c>
      <c r="AF814" s="3">
        <f t="shared" ref="AF814:AF819" si="107">AA814/R814</f>
        <v>0.3890917389319945</v>
      </c>
      <c r="AI814" s="3">
        <f t="shared" ref="AI814:AI819" si="108">AD814+AE814</f>
        <v>1.6607260189934312</v>
      </c>
      <c r="AQ814" t="s">
        <v>1580</v>
      </c>
      <c r="AR814" t="s">
        <v>14</v>
      </c>
      <c r="AT814" t="s">
        <v>2</v>
      </c>
      <c r="AU814" s="10" t="s">
        <v>2</v>
      </c>
      <c r="AV814" s="10" t="s">
        <v>3</v>
      </c>
    </row>
    <row r="815" spans="1:48" x14ac:dyDescent="0.3">
      <c r="A815" s="26" t="s">
        <v>1505</v>
      </c>
      <c r="B815" s="10" t="s">
        <v>50</v>
      </c>
      <c r="C815" t="s">
        <v>51</v>
      </c>
      <c r="D815" s="4" t="s">
        <v>1579</v>
      </c>
      <c r="E815">
        <v>1977</v>
      </c>
      <c r="F815" t="s">
        <v>2661</v>
      </c>
      <c r="G815" s="16" t="s">
        <v>34</v>
      </c>
      <c r="H815" s="10" t="s">
        <v>217</v>
      </c>
      <c r="I815" s="10" t="s">
        <v>1583</v>
      </c>
      <c r="J815" s="10" t="s">
        <v>1586</v>
      </c>
      <c r="K815" s="10">
        <v>3</v>
      </c>
      <c r="L815" s="10">
        <v>3</v>
      </c>
      <c r="N815">
        <v>4467</v>
      </c>
      <c r="P815">
        <v>1017</v>
      </c>
      <c r="R815">
        <v>4382</v>
      </c>
      <c r="W815">
        <v>4314</v>
      </c>
      <c r="Y815">
        <v>671</v>
      </c>
      <c r="AA815">
        <v>1376</v>
      </c>
      <c r="AD815" s="3">
        <f t="shared" si="105"/>
        <v>0.96574882471457357</v>
      </c>
      <c r="AE815" s="3">
        <f t="shared" si="106"/>
        <v>0.65978367748279254</v>
      </c>
      <c r="AF815" s="3">
        <f t="shared" si="107"/>
        <v>0.31401186672752168</v>
      </c>
      <c r="AI815" s="3">
        <f t="shared" si="108"/>
        <v>1.6255325021973661</v>
      </c>
      <c r="AQ815" t="s">
        <v>1580</v>
      </c>
      <c r="AR815" t="s">
        <v>14</v>
      </c>
      <c r="AT815" t="s">
        <v>2</v>
      </c>
      <c r="AU815" s="10" t="s">
        <v>2</v>
      </c>
      <c r="AV815" s="10" t="s">
        <v>3</v>
      </c>
    </row>
    <row r="816" spans="1:48" x14ac:dyDescent="0.3">
      <c r="A816" s="26" t="s">
        <v>1505</v>
      </c>
      <c r="B816" s="10" t="s">
        <v>50</v>
      </c>
      <c r="C816" t="s">
        <v>51</v>
      </c>
      <c r="D816" s="4" t="s">
        <v>1579</v>
      </c>
      <c r="E816">
        <v>1977</v>
      </c>
      <c r="F816" t="s">
        <v>2661</v>
      </c>
      <c r="G816" s="16" t="s">
        <v>34</v>
      </c>
      <c r="H816" s="10" t="s">
        <v>217</v>
      </c>
      <c r="I816" s="10" t="s">
        <v>1585</v>
      </c>
      <c r="J816" s="10" t="s">
        <v>1586</v>
      </c>
      <c r="K816" s="10">
        <v>3</v>
      </c>
      <c r="L816" s="10">
        <v>3</v>
      </c>
      <c r="N816">
        <v>4467</v>
      </c>
      <c r="P816">
        <v>1017</v>
      </c>
      <c r="R816">
        <v>4382</v>
      </c>
      <c r="W816">
        <v>4121</v>
      </c>
      <c r="Y816">
        <v>650</v>
      </c>
      <c r="AA816">
        <v>1331</v>
      </c>
      <c r="AD816" s="3">
        <f t="shared" si="105"/>
        <v>0.92254309379897026</v>
      </c>
      <c r="AE816" s="3">
        <f t="shared" si="106"/>
        <v>0.63913470993117005</v>
      </c>
      <c r="AF816" s="3">
        <f t="shared" si="107"/>
        <v>0.30374258329529896</v>
      </c>
      <c r="AI816" s="3">
        <f t="shared" si="108"/>
        <v>1.5616778037301402</v>
      </c>
      <c r="AQ816" t="s">
        <v>1580</v>
      </c>
      <c r="AR816" t="s">
        <v>14</v>
      </c>
      <c r="AT816" t="s">
        <v>2</v>
      </c>
      <c r="AU816" s="10" t="s">
        <v>2</v>
      </c>
      <c r="AV816" s="10" t="s">
        <v>3</v>
      </c>
    </row>
    <row r="817" spans="1:49" x14ac:dyDescent="0.3">
      <c r="A817" s="26" t="s">
        <v>1505</v>
      </c>
      <c r="B817" s="10" t="s">
        <v>50</v>
      </c>
      <c r="C817" t="s">
        <v>51</v>
      </c>
      <c r="D817" s="4" t="s">
        <v>1579</v>
      </c>
      <c r="E817">
        <v>1977</v>
      </c>
      <c r="F817" t="s">
        <v>2661</v>
      </c>
      <c r="G817" s="16" t="s">
        <v>34</v>
      </c>
      <c r="H817" s="10" t="s">
        <v>217</v>
      </c>
      <c r="I817" s="10" t="s">
        <v>1582</v>
      </c>
      <c r="J817" s="10" t="s">
        <v>1586</v>
      </c>
      <c r="K817" s="10">
        <v>3</v>
      </c>
      <c r="L817" s="10">
        <v>3</v>
      </c>
      <c r="N817">
        <v>4467</v>
      </c>
      <c r="P817">
        <v>1017</v>
      </c>
      <c r="R817">
        <v>4382</v>
      </c>
      <c r="W817">
        <v>4323</v>
      </c>
      <c r="Y817">
        <v>630</v>
      </c>
      <c r="AA817">
        <v>1212</v>
      </c>
      <c r="AD817" s="3">
        <f t="shared" si="105"/>
        <v>0.96776359973136328</v>
      </c>
      <c r="AE817" s="3">
        <f t="shared" si="106"/>
        <v>0.61946902654867253</v>
      </c>
      <c r="AF817" s="3">
        <f t="shared" si="107"/>
        <v>0.27658603377453217</v>
      </c>
      <c r="AI817" s="3">
        <f t="shared" si="108"/>
        <v>1.5872326262800358</v>
      </c>
      <c r="AQ817" t="s">
        <v>1580</v>
      </c>
      <c r="AR817" t="s">
        <v>14</v>
      </c>
      <c r="AT817" t="s">
        <v>2</v>
      </c>
      <c r="AU817" s="10" t="s">
        <v>2</v>
      </c>
      <c r="AV817" s="10" t="s">
        <v>3</v>
      </c>
    </row>
    <row r="818" spans="1:49" x14ac:dyDescent="0.3">
      <c r="A818" s="26" t="s">
        <v>1505</v>
      </c>
      <c r="B818" s="10" t="s">
        <v>50</v>
      </c>
      <c r="C818" t="s">
        <v>51</v>
      </c>
      <c r="D818" s="4" t="s">
        <v>1579</v>
      </c>
      <c r="E818">
        <v>1977</v>
      </c>
      <c r="F818" t="s">
        <v>2661</v>
      </c>
      <c r="G818" s="16" t="s">
        <v>34</v>
      </c>
      <c r="H818" s="10" t="s">
        <v>217</v>
      </c>
      <c r="I818" s="10" t="s">
        <v>1583</v>
      </c>
      <c r="J818" s="10" t="s">
        <v>1586</v>
      </c>
      <c r="K818" s="10">
        <v>3</v>
      </c>
      <c r="L818" s="10">
        <v>3</v>
      </c>
      <c r="N818">
        <v>4467</v>
      </c>
      <c r="P818">
        <v>1017</v>
      </c>
      <c r="R818">
        <v>4382</v>
      </c>
      <c r="W818">
        <v>4016</v>
      </c>
      <c r="Y818">
        <v>709</v>
      </c>
      <c r="AA818">
        <v>1529</v>
      </c>
      <c r="AD818" s="3">
        <f t="shared" si="105"/>
        <v>0.89903738526975596</v>
      </c>
      <c r="AE818" s="3">
        <f t="shared" si="106"/>
        <v>0.69714847590953788</v>
      </c>
      <c r="AF818" s="3">
        <f t="shared" si="107"/>
        <v>0.34892743039707896</v>
      </c>
      <c r="AI818" s="3">
        <f t="shared" si="108"/>
        <v>1.5961858611792938</v>
      </c>
      <c r="AQ818" t="s">
        <v>1580</v>
      </c>
      <c r="AR818" t="s">
        <v>14</v>
      </c>
      <c r="AT818" t="s">
        <v>2</v>
      </c>
      <c r="AU818" s="10" t="s">
        <v>2</v>
      </c>
      <c r="AV818" s="10" t="s">
        <v>3</v>
      </c>
    </row>
    <row r="819" spans="1:49" x14ac:dyDescent="0.3">
      <c r="A819" s="26" t="s">
        <v>1505</v>
      </c>
      <c r="B819" s="10" t="s">
        <v>50</v>
      </c>
      <c r="C819" t="s">
        <v>51</v>
      </c>
      <c r="D819" s="4" t="s">
        <v>1579</v>
      </c>
      <c r="E819">
        <v>1977</v>
      </c>
      <c r="F819" t="s">
        <v>2661</v>
      </c>
      <c r="G819" s="16" t="s">
        <v>34</v>
      </c>
      <c r="H819" s="10" t="s">
        <v>217</v>
      </c>
      <c r="I819" s="10" t="s">
        <v>1584</v>
      </c>
      <c r="J819" s="10" t="s">
        <v>1586</v>
      </c>
      <c r="K819" s="10">
        <v>3</v>
      </c>
      <c r="L819" s="10">
        <v>3</v>
      </c>
      <c r="N819">
        <v>4467</v>
      </c>
      <c r="P819">
        <v>1017</v>
      </c>
      <c r="R819">
        <v>4382</v>
      </c>
      <c r="W819">
        <v>4228</v>
      </c>
      <c r="Y819">
        <v>732</v>
      </c>
      <c r="AA819">
        <v>1673</v>
      </c>
      <c r="AD819" s="3">
        <f t="shared" si="105"/>
        <v>0.94649653010969326</v>
      </c>
      <c r="AE819" s="3">
        <f t="shared" si="106"/>
        <v>0.71976401179941008</v>
      </c>
      <c r="AF819" s="3">
        <f t="shared" si="107"/>
        <v>0.38178913738019171</v>
      </c>
      <c r="AI819" s="3">
        <f t="shared" si="108"/>
        <v>1.6662605419091032</v>
      </c>
      <c r="AQ819" t="s">
        <v>1580</v>
      </c>
      <c r="AR819" t="s">
        <v>14</v>
      </c>
      <c r="AT819" t="s">
        <v>2</v>
      </c>
      <c r="AU819" s="10" t="s">
        <v>2</v>
      </c>
      <c r="AV819" s="10" t="s">
        <v>3</v>
      </c>
    </row>
    <row r="820" spans="1:49" x14ac:dyDescent="0.3">
      <c r="A820" s="26" t="s">
        <v>1588</v>
      </c>
      <c r="B820" s="10" t="s">
        <v>65</v>
      </c>
      <c r="C820" t="s">
        <v>1612</v>
      </c>
      <c r="D820" s="4" t="s">
        <v>1613</v>
      </c>
      <c r="E820" t="s">
        <v>1224</v>
      </c>
      <c r="F820" t="s">
        <v>2661</v>
      </c>
      <c r="G820" s="16" t="s">
        <v>22</v>
      </c>
      <c r="H820" s="10" t="s">
        <v>217</v>
      </c>
      <c r="I820" s="10" t="s">
        <v>1616</v>
      </c>
      <c r="J820" s="10" t="s">
        <v>1615</v>
      </c>
      <c r="K820" s="10">
        <v>3</v>
      </c>
      <c r="L820" s="10">
        <v>3</v>
      </c>
      <c r="N820">
        <v>1988</v>
      </c>
      <c r="P820">
        <v>3189</v>
      </c>
      <c r="W820">
        <v>1849</v>
      </c>
      <c r="Y820">
        <v>766</v>
      </c>
      <c r="AD820" s="3">
        <f t="shared" si="105"/>
        <v>0.93008048289738432</v>
      </c>
      <c r="AE820" s="3">
        <f t="shared" si="106"/>
        <v>0.24020068987143306</v>
      </c>
      <c r="AI820" s="3">
        <v>1.2</v>
      </c>
      <c r="AT820" t="s">
        <v>2</v>
      </c>
      <c r="AU820" s="10" t="s">
        <v>2</v>
      </c>
      <c r="AV820" s="10" t="s">
        <v>3</v>
      </c>
    </row>
    <row r="821" spans="1:49" x14ac:dyDescent="0.3">
      <c r="A821" s="26" t="s">
        <v>1588</v>
      </c>
      <c r="B821" s="10" t="s">
        <v>65</v>
      </c>
      <c r="C821" t="s">
        <v>1612</v>
      </c>
      <c r="D821" s="4" t="s">
        <v>1613</v>
      </c>
      <c r="E821" t="s">
        <v>1224</v>
      </c>
      <c r="F821" t="s">
        <v>2661</v>
      </c>
      <c r="G821" s="16" t="s">
        <v>22</v>
      </c>
      <c r="H821" s="10" t="s">
        <v>217</v>
      </c>
      <c r="I821" s="10" t="s">
        <v>1617</v>
      </c>
      <c r="J821" s="10" t="s">
        <v>1615</v>
      </c>
      <c r="K821" s="10">
        <v>3</v>
      </c>
      <c r="L821" s="10">
        <v>3</v>
      </c>
      <c r="N821">
        <v>1988</v>
      </c>
      <c r="P821">
        <v>3189</v>
      </c>
      <c r="W821">
        <v>1650</v>
      </c>
      <c r="Y821">
        <v>1335</v>
      </c>
      <c r="AD821" s="3">
        <f t="shared" si="105"/>
        <v>0.82997987927565398</v>
      </c>
      <c r="AE821" s="3">
        <f t="shared" si="106"/>
        <v>0.41862652869238004</v>
      </c>
      <c r="AI821" s="3">
        <v>1.28</v>
      </c>
      <c r="AT821" t="s">
        <v>2</v>
      </c>
      <c r="AU821" s="10" t="s">
        <v>2</v>
      </c>
      <c r="AV821" s="10" t="s">
        <v>3</v>
      </c>
    </row>
    <row r="822" spans="1:49" x14ac:dyDescent="0.3">
      <c r="A822" s="26" t="s">
        <v>1588</v>
      </c>
      <c r="B822" s="10" t="s">
        <v>65</v>
      </c>
      <c r="C822" t="s">
        <v>1612</v>
      </c>
      <c r="D822" s="4" t="s">
        <v>1613</v>
      </c>
      <c r="E822" t="s">
        <v>1224</v>
      </c>
      <c r="F822" t="s">
        <v>2661</v>
      </c>
      <c r="G822" s="16" t="s">
        <v>22</v>
      </c>
      <c r="H822" s="10" t="s">
        <v>217</v>
      </c>
      <c r="I822" s="10" t="s">
        <v>1618</v>
      </c>
      <c r="J822" s="10" t="s">
        <v>1615</v>
      </c>
      <c r="K822" s="10">
        <v>3</v>
      </c>
      <c r="L822" s="10">
        <v>3</v>
      </c>
      <c r="N822">
        <v>1988</v>
      </c>
      <c r="P822">
        <v>3189</v>
      </c>
      <c r="W822">
        <v>1490</v>
      </c>
      <c r="Y822">
        <v>1444</v>
      </c>
      <c r="AD822" s="3">
        <f t="shared" si="105"/>
        <v>0.74949698189134806</v>
      </c>
      <c r="AE822" s="3">
        <f t="shared" si="106"/>
        <v>0.45280652242082159</v>
      </c>
      <c r="AI822" s="3">
        <v>1.21</v>
      </c>
      <c r="AT822" t="s">
        <v>2</v>
      </c>
      <c r="AU822" s="10" t="s">
        <v>2</v>
      </c>
      <c r="AV822" s="10" t="s">
        <v>3</v>
      </c>
    </row>
    <row r="823" spans="1:49" x14ac:dyDescent="0.3">
      <c r="A823" s="26" t="s">
        <v>1588</v>
      </c>
      <c r="B823" s="10" t="s">
        <v>65</v>
      </c>
      <c r="C823" t="s">
        <v>1612</v>
      </c>
      <c r="D823" s="4" t="s">
        <v>1613</v>
      </c>
      <c r="E823" t="s">
        <v>1224</v>
      </c>
      <c r="F823" t="s">
        <v>2661</v>
      </c>
      <c r="G823" s="16" t="s">
        <v>22</v>
      </c>
      <c r="H823" s="10" t="s">
        <v>217</v>
      </c>
      <c r="I823" s="10" t="s">
        <v>1619</v>
      </c>
      <c r="J823" s="10" t="s">
        <v>1615</v>
      </c>
      <c r="K823" s="10">
        <v>3</v>
      </c>
      <c r="L823" s="10">
        <v>3</v>
      </c>
      <c r="N823">
        <v>1988</v>
      </c>
      <c r="P823">
        <v>3189</v>
      </c>
      <c r="W823">
        <v>1366</v>
      </c>
      <c r="Y823">
        <v>1726</v>
      </c>
      <c r="AD823" s="3">
        <f t="shared" si="105"/>
        <v>0.68712273641851107</v>
      </c>
      <c r="AE823" s="3">
        <f t="shared" si="106"/>
        <v>0.5412354970210097</v>
      </c>
      <c r="AI823" s="3">
        <v>1.25</v>
      </c>
      <c r="AT823" t="s">
        <v>2</v>
      </c>
      <c r="AU823" s="10" t="s">
        <v>2</v>
      </c>
      <c r="AV823" s="10" t="s">
        <v>3</v>
      </c>
    </row>
    <row r="824" spans="1:49" x14ac:dyDescent="0.3">
      <c r="A824" s="26" t="s">
        <v>1588</v>
      </c>
      <c r="B824" s="10" t="s">
        <v>65</v>
      </c>
      <c r="C824" t="s">
        <v>1612</v>
      </c>
      <c r="D824" s="4" t="s">
        <v>1613</v>
      </c>
      <c r="E824" t="s">
        <v>1224</v>
      </c>
      <c r="F824" t="s">
        <v>2661</v>
      </c>
      <c r="G824" s="16" t="s">
        <v>22</v>
      </c>
      <c r="H824" s="10" t="s">
        <v>217</v>
      </c>
      <c r="I824" s="10" t="s">
        <v>1620</v>
      </c>
      <c r="J824" s="10" t="s">
        <v>1615</v>
      </c>
      <c r="K824" s="10">
        <v>3</v>
      </c>
      <c r="L824" s="10">
        <v>3</v>
      </c>
      <c r="N824">
        <v>1988</v>
      </c>
      <c r="P824">
        <v>3189</v>
      </c>
      <c r="W824">
        <v>1312</v>
      </c>
      <c r="Y824">
        <v>2213</v>
      </c>
      <c r="AD824" s="3">
        <f t="shared" si="105"/>
        <v>0.65995975855130784</v>
      </c>
      <c r="AE824" s="3">
        <f t="shared" si="106"/>
        <v>0.69394794606459709</v>
      </c>
      <c r="AI824" s="3">
        <v>1.39</v>
      </c>
      <c r="AT824" t="s">
        <v>2</v>
      </c>
      <c r="AU824" s="10" t="s">
        <v>2</v>
      </c>
      <c r="AV824" s="10" t="s">
        <v>3</v>
      </c>
    </row>
    <row r="825" spans="1:49" x14ac:dyDescent="0.3">
      <c r="A825" s="26" t="s">
        <v>1588</v>
      </c>
      <c r="B825" s="10" t="s">
        <v>65</v>
      </c>
      <c r="C825" t="s">
        <v>1612</v>
      </c>
      <c r="D825" s="4" t="s">
        <v>1614</v>
      </c>
      <c r="E825" t="s">
        <v>1224</v>
      </c>
      <c r="F825" t="s">
        <v>2661</v>
      </c>
      <c r="G825" s="16" t="s">
        <v>22</v>
      </c>
      <c r="H825" s="10" t="s">
        <v>217</v>
      </c>
      <c r="I825" s="10" t="s">
        <v>1616</v>
      </c>
      <c r="J825" s="10" t="s">
        <v>1615</v>
      </c>
      <c r="K825" s="10">
        <v>3</v>
      </c>
      <c r="L825" s="10">
        <v>3</v>
      </c>
      <c r="N825">
        <v>988</v>
      </c>
      <c r="P825">
        <v>757</v>
      </c>
      <c r="W825">
        <v>951</v>
      </c>
      <c r="Y825">
        <v>240</v>
      </c>
      <c r="AD825" s="3">
        <f t="shared" si="105"/>
        <v>0.96255060728744934</v>
      </c>
      <c r="AE825" s="3">
        <f t="shared" si="106"/>
        <v>0.31704095112285335</v>
      </c>
      <c r="AI825" s="3">
        <v>1.77</v>
      </c>
      <c r="AT825" t="s">
        <v>2</v>
      </c>
      <c r="AU825" s="10" t="s">
        <v>2</v>
      </c>
      <c r="AV825" s="10" t="s">
        <v>3</v>
      </c>
    </row>
    <row r="826" spans="1:49" x14ac:dyDescent="0.3">
      <c r="A826" s="26" t="s">
        <v>1588</v>
      </c>
      <c r="B826" s="10" t="s">
        <v>65</v>
      </c>
      <c r="C826" t="s">
        <v>1612</v>
      </c>
      <c r="D826" s="4" t="s">
        <v>1614</v>
      </c>
      <c r="E826" t="s">
        <v>1224</v>
      </c>
      <c r="F826" t="s">
        <v>2661</v>
      </c>
      <c r="G826" s="16" t="s">
        <v>22</v>
      </c>
      <c r="H826" s="10" t="s">
        <v>217</v>
      </c>
      <c r="I826" s="10" t="s">
        <v>1617</v>
      </c>
      <c r="J826" s="10" t="s">
        <v>1615</v>
      </c>
      <c r="K826" s="10">
        <v>3</v>
      </c>
      <c r="L826" s="10">
        <v>3</v>
      </c>
      <c r="N826">
        <v>988</v>
      </c>
      <c r="P826">
        <v>757</v>
      </c>
      <c r="W826">
        <v>751</v>
      </c>
      <c r="Y826">
        <v>445</v>
      </c>
      <c r="AD826" s="3">
        <f t="shared" si="105"/>
        <v>0.76012145748987858</v>
      </c>
      <c r="AE826" s="3">
        <f t="shared" si="106"/>
        <v>0.58784676354029064</v>
      </c>
      <c r="AI826" s="3">
        <v>1.63</v>
      </c>
      <c r="AT826" t="s">
        <v>2</v>
      </c>
      <c r="AU826" s="10" t="s">
        <v>2</v>
      </c>
      <c r="AV826" s="10" t="s">
        <v>3</v>
      </c>
    </row>
    <row r="827" spans="1:49" x14ac:dyDescent="0.3">
      <c r="A827" s="26" t="s">
        <v>1588</v>
      </c>
      <c r="B827" s="10" t="s">
        <v>65</v>
      </c>
      <c r="C827" t="s">
        <v>1612</v>
      </c>
      <c r="D827" s="4" t="s">
        <v>1614</v>
      </c>
      <c r="E827" t="s">
        <v>1224</v>
      </c>
      <c r="F827" t="s">
        <v>2661</v>
      </c>
      <c r="G827" s="16" t="s">
        <v>22</v>
      </c>
      <c r="H827" s="10" t="s">
        <v>217</v>
      </c>
      <c r="I827" s="10" t="s">
        <v>1618</v>
      </c>
      <c r="J827" s="10" t="s">
        <v>1615</v>
      </c>
      <c r="K827" s="10">
        <v>3</v>
      </c>
      <c r="L827" s="10">
        <v>3</v>
      </c>
      <c r="N827">
        <v>988</v>
      </c>
      <c r="P827">
        <v>757</v>
      </c>
      <c r="W827">
        <v>623</v>
      </c>
      <c r="Y827">
        <v>450</v>
      </c>
      <c r="AD827" s="3">
        <f t="shared" si="105"/>
        <v>0.63056680161943324</v>
      </c>
      <c r="AE827" s="3">
        <f t="shared" si="106"/>
        <v>0.59445178335535009</v>
      </c>
      <c r="AI827" s="3">
        <v>1.58</v>
      </c>
      <c r="AT827" t="s">
        <v>2</v>
      </c>
      <c r="AU827" s="10" t="s">
        <v>2</v>
      </c>
      <c r="AV827" s="10" t="s">
        <v>3</v>
      </c>
    </row>
    <row r="828" spans="1:49" x14ac:dyDescent="0.3">
      <c r="A828" s="26" t="s">
        <v>1588</v>
      </c>
      <c r="B828" s="10" t="s">
        <v>65</v>
      </c>
      <c r="C828" t="s">
        <v>1612</v>
      </c>
      <c r="D828" s="4" t="s">
        <v>1614</v>
      </c>
      <c r="E828" t="s">
        <v>1224</v>
      </c>
      <c r="F828" t="s">
        <v>2661</v>
      </c>
      <c r="G828" s="16" t="s">
        <v>22</v>
      </c>
      <c r="H828" s="10" t="s">
        <v>217</v>
      </c>
      <c r="I828" s="10" t="s">
        <v>1619</v>
      </c>
      <c r="J828" s="10" t="s">
        <v>1615</v>
      </c>
      <c r="K828" s="10">
        <v>3</v>
      </c>
      <c r="L828" s="10">
        <v>3</v>
      </c>
      <c r="N828">
        <v>988</v>
      </c>
      <c r="P828">
        <v>757</v>
      </c>
      <c r="W828">
        <v>649</v>
      </c>
      <c r="Y828">
        <v>517</v>
      </c>
      <c r="AD828" s="3">
        <f t="shared" si="105"/>
        <v>0.65688259109311742</v>
      </c>
      <c r="AE828" s="3">
        <f t="shared" si="106"/>
        <v>0.68295904887714665</v>
      </c>
      <c r="AI828" s="3">
        <v>1.59</v>
      </c>
      <c r="AT828" t="s">
        <v>2</v>
      </c>
      <c r="AU828" s="10" t="s">
        <v>2</v>
      </c>
      <c r="AV828" s="10" t="s">
        <v>3</v>
      </c>
    </row>
    <row r="829" spans="1:49" x14ac:dyDescent="0.3">
      <c r="A829" s="26" t="s">
        <v>1588</v>
      </c>
      <c r="B829" s="10" t="s">
        <v>65</v>
      </c>
      <c r="C829" t="s">
        <v>1612</v>
      </c>
      <c r="D829" s="4" t="s">
        <v>1614</v>
      </c>
      <c r="E829" t="s">
        <v>1224</v>
      </c>
      <c r="F829" t="s">
        <v>2661</v>
      </c>
      <c r="G829" s="16" t="s">
        <v>22</v>
      </c>
      <c r="H829" s="10" t="s">
        <v>217</v>
      </c>
      <c r="I829" s="10" t="s">
        <v>1620</v>
      </c>
      <c r="J829" s="10" t="s">
        <v>1615</v>
      </c>
      <c r="K829" s="10">
        <v>3</v>
      </c>
      <c r="L829" s="10">
        <v>3</v>
      </c>
      <c r="N829">
        <v>988</v>
      </c>
      <c r="P829">
        <v>757</v>
      </c>
      <c r="W829">
        <v>544</v>
      </c>
      <c r="Y829">
        <v>585</v>
      </c>
      <c r="AD829" s="3">
        <f t="shared" si="105"/>
        <v>0.55060728744939269</v>
      </c>
      <c r="AE829" s="3">
        <f t="shared" si="106"/>
        <v>0.77278731836195513</v>
      </c>
      <c r="AI829" s="3">
        <v>1.59</v>
      </c>
      <c r="AT829" t="s">
        <v>2</v>
      </c>
      <c r="AU829" s="10" t="s">
        <v>2</v>
      </c>
      <c r="AV829" s="10" t="s">
        <v>3</v>
      </c>
    </row>
    <row r="830" spans="1:49" x14ac:dyDescent="0.3">
      <c r="A830" s="26" t="s">
        <v>1590</v>
      </c>
      <c r="B830" s="10" t="s">
        <v>50</v>
      </c>
      <c r="C830" t="s">
        <v>1621</v>
      </c>
      <c r="D830" s="4" t="s">
        <v>1622</v>
      </c>
      <c r="E830">
        <v>2001</v>
      </c>
      <c r="F830" t="s">
        <v>2661</v>
      </c>
      <c r="G830" s="16" t="s">
        <v>34</v>
      </c>
      <c r="H830" s="10" t="s">
        <v>217</v>
      </c>
      <c r="I830" s="10" t="s">
        <v>1624</v>
      </c>
      <c r="J830" s="10" t="s">
        <v>1623</v>
      </c>
      <c r="K830" s="10">
        <v>3</v>
      </c>
      <c r="L830" s="10">
        <v>3</v>
      </c>
      <c r="N830">
        <v>1260</v>
      </c>
      <c r="P830">
        <v>1068</v>
      </c>
      <c r="W830">
        <v>945</v>
      </c>
      <c r="Y830">
        <v>649</v>
      </c>
      <c r="AD830" s="3">
        <f t="shared" si="105"/>
        <v>0.75</v>
      </c>
      <c r="AE830" s="3">
        <f t="shared" si="106"/>
        <v>0.60767790262172283</v>
      </c>
      <c r="AI830" s="3">
        <f>AD830+AE830</f>
        <v>1.3576779026217229</v>
      </c>
      <c r="AT830" t="s">
        <v>2</v>
      </c>
      <c r="AU830" s="10" t="s">
        <v>2</v>
      </c>
      <c r="AV830" s="10" t="s">
        <v>3</v>
      </c>
      <c r="AW830" t="s">
        <v>1627</v>
      </c>
    </row>
    <row r="831" spans="1:49" x14ac:dyDescent="0.3">
      <c r="A831" s="26" t="s">
        <v>1590</v>
      </c>
      <c r="B831" s="10" t="s">
        <v>50</v>
      </c>
      <c r="C831" t="s">
        <v>1621</v>
      </c>
      <c r="D831" s="4" t="s">
        <v>1622</v>
      </c>
      <c r="E831">
        <v>2001</v>
      </c>
      <c r="F831" t="s">
        <v>2661</v>
      </c>
      <c r="G831" s="16" t="s">
        <v>34</v>
      </c>
      <c r="H831" s="10" t="s">
        <v>217</v>
      </c>
      <c r="I831" s="10" t="s">
        <v>1625</v>
      </c>
      <c r="J831" s="10" t="s">
        <v>1623</v>
      </c>
      <c r="K831" s="10">
        <v>3</v>
      </c>
      <c r="L831" s="10">
        <v>3</v>
      </c>
      <c r="N831">
        <v>1294</v>
      </c>
      <c r="P831">
        <v>1091</v>
      </c>
      <c r="W831">
        <v>1090</v>
      </c>
      <c r="Y831">
        <v>790</v>
      </c>
      <c r="AD831" s="3">
        <f t="shared" si="105"/>
        <v>0.84234930448222567</v>
      </c>
      <c r="AE831" s="3">
        <f t="shared" si="106"/>
        <v>0.72410632447296064</v>
      </c>
      <c r="AI831" s="3">
        <f t="shared" ref="AI831:AI832" si="109">AD831+AE831</f>
        <v>1.5664556289551863</v>
      </c>
      <c r="AT831" t="s">
        <v>2</v>
      </c>
      <c r="AU831" s="10" t="s">
        <v>2</v>
      </c>
      <c r="AV831" s="10" t="s">
        <v>3</v>
      </c>
      <c r="AW831" t="s">
        <v>1627</v>
      </c>
    </row>
    <row r="832" spans="1:49" x14ac:dyDescent="0.3">
      <c r="A832" s="26" t="s">
        <v>1590</v>
      </c>
      <c r="B832" s="10" t="s">
        <v>50</v>
      </c>
      <c r="C832" t="s">
        <v>1621</v>
      </c>
      <c r="D832" s="4" t="s">
        <v>1622</v>
      </c>
      <c r="E832">
        <v>2001</v>
      </c>
      <c r="F832" t="s">
        <v>2661</v>
      </c>
      <c r="G832" s="16" t="s">
        <v>34</v>
      </c>
      <c r="H832" s="10" t="s">
        <v>217</v>
      </c>
      <c r="I832" s="10" t="s">
        <v>1626</v>
      </c>
      <c r="J832" s="10" t="s">
        <v>1623</v>
      </c>
      <c r="K832" s="10">
        <v>3</v>
      </c>
      <c r="L832" s="10">
        <v>3</v>
      </c>
      <c r="N832">
        <v>1465</v>
      </c>
      <c r="P832">
        <v>1230</v>
      </c>
      <c r="W832">
        <v>1150</v>
      </c>
      <c r="Y832">
        <v>866</v>
      </c>
      <c r="AD832" s="3">
        <f t="shared" si="105"/>
        <v>0.78498293515358364</v>
      </c>
      <c r="AE832" s="3">
        <f t="shared" si="106"/>
        <v>0.70406504065040654</v>
      </c>
      <c r="AI832" s="3">
        <f t="shared" si="109"/>
        <v>1.4890479758039903</v>
      </c>
      <c r="AT832" t="s">
        <v>2</v>
      </c>
      <c r="AU832" s="10" t="s">
        <v>2</v>
      </c>
      <c r="AV832" s="10" t="s">
        <v>3</v>
      </c>
      <c r="AW832" t="s">
        <v>1627</v>
      </c>
    </row>
    <row r="833" spans="1:49" x14ac:dyDescent="0.3">
      <c r="A833" s="26" t="s">
        <v>1590</v>
      </c>
      <c r="B833" s="10" t="s">
        <v>50</v>
      </c>
      <c r="C833" t="s">
        <v>1621</v>
      </c>
      <c r="D833" s="4" t="s">
        <v>1622</v>
      </c>
      <c r="E833">
        <v>2002</v>
      </c>
      <c r="F833" t="s">
        <v>2661</v>
      </c>
      <c r="G833" s="16" t="s">
        <v>34</v>
      </c>
      <c r="H833" s="10" t="s">
        <v>217</v>
      </c>
      <c r="I833" s="10" t="s">
        <v>1624</v>
      </c>
      <c r="J833" s="10" t="s">
        <v>1623</v>
      </c>
      <c r="K833" s="10">
        <v>3</v>
      </c>
      <c r="L833" s="10">
        <v>3</v>
      </c>
      <c r="N833">
        <v>1221</v>
      </c>
      <c r="P833">
        <v>996</v>
      </c>
      <c r="W833">
        <v>1070</v>
      </c>
      <c r="Y833">
        <v>797</v>
      </c>
      <c r="AD833" s="3">
        <f t="shared" si="105"/>
        <v>0.87633087633087636</v>
      </c>
      <c r="AE833" s="3">
        <f t="shared" si="106"/>
        <v>0.80020080321285136</v>
      </c>
      <c r="AI833" s="3">
        <f>AD833+AE833</f>
        <v>1.6765316795437277</v>
      </c>
      <c r="AT833" t="s">
        <v>2</v>
      </c>
      <c r="AU833" s="10" t="s">
        <v>2</v>
      </c>
      <c r="AV833" s="10" t="s">
        <v>3</v>
      </c>
      <c r="AW833" t="s">
        <v>1627</v>
      </c>
    </row>
    <row r="834" spans="1:49" x14ac:dyDescent="0.3">
      <c r="A834" s="26" t="s">
        <v>1590</v>
      </c>
      <c r="B834" s="10" t="s">
        <v>50</v>
      </c>
      <c r="C834" t="s">
        <v>1621</v>
      </c>
      <c r="D834" s="4" t="s">
        <v>1622</v>
      </c>
      <c r="E834">
        <v>2002</v>
      </c>
      <c r="F834" t="s">
        <v>2661</v>
      </c>
      <c r="G834" s="16" t="s">
        <v>34</v>
      </c>
      <c r="H834" s="10" t="s">
        <v>217</v>
      </c>
      <c r="I834" s="10" t="s">
        <v>1625</v>
      </c>
      <c r="J834" s="10" t="s">
        <v>1623</v>
      </c>
      <c r="K834" s="10">
        <v>3</v>
      </c>
      <c r="L834" s="10">
        <v>3</v>
      </c>
      <c r="N834">
        <v>1314</v>
      </c>
      <c r="P834">
        <v>1057</v>
      </c>
      <c r="W834">
        <v>1187</v>
      </c>
      <c r="Y834">
        <v>850</v>
      </c>
      <c r="AD834" s="3">
        <f t="shared" si="105"/>
        <v>0.90334855403348557</v>
      </c>
      <c r="AE834" s="3">
        <f t="shared" si="106"/>
        <v>0.80416272469252603</v>
      </c>
      <c r="AI834" s="3">
        <f t="shared" ref="AI834:AI848" si="110">AD834+AE834</f>
        <v>1.7075112787260116</v>
      </c>
      <c r="AT834" t="s">
        <v>2</v>
      </c>
      <c r="AU834" s="10" t="s">
        <v>2</v>
      </c>
      <c r="AV834" s="10" t="s">
        <v>3</v>
      </c>
      <c r="AW834" t="s">
        <v>1627</v>
      </c>
    </row>
    <row r="835" spans="1:49" x14ac:dyDescent="0.3">
      <c r="A835" s="26" t="s">
        <v>1590</v>
      </c>
      <c r="B835" s="10" t="s">
        <v>50</v>
      </c>
      <c r="C835" t="s">
        <v>1621</v>
      </c>
      <c r="D835" s="4" t="s">
        <v>1622</v>
      </c>
      <c r="E835">
        <v>2002</v>
      </c>
      <c r="F835" t="s">
        <v>2661</v>
      </c>
      <c r="G835" s="16" t="s">
        <v>34</v>
      </c>
      <c r="H835" s="10" t="s">
        <v>217</v>
      </c>
      <c r="I835" s="10" t="s">
        <v>1626</v>
      </c>
      <c r="J835" s="10" t="s">
        <v>1623</v>
      </c>
      <c r="K835" s="10">
        <v>3</v>
      </c>
      <c r="L835" s="10">
        <v>3</v>
      </c>
      <c r="N835">
        <v>1417</v>
      </c>
      <c r="P835">
        <v>1149</v>
      </c>
      <c r="W835">
        <v>1224</v>
      </c>
      <c r="Y835">
        <v>912</v>
      </c>
      <c r="AD835" s="3">
        <f t="shared" si="105"/>
        <v>0.86379675370501063</v>
      </c>
      <c r="AE835" s="3">
        <f t="shared" si="106"/>
        <v>0.79373368146214096</v>
      </c>
      <c r="AI835" s="3">
        <f t="shared" si="110"/>
        <v>1.6575304351671516</v>
      </c>
      <c r="AT835" t="s">
        <v>2</v>
      </c>
      <c r="AU835" s="10" t="s">
        <v>2</v>
      </c>
      <c r="AV835" s="10" t="s">
        <v>3</v>
      </c>
      <c r="AW835" t="s">
        <v>1627</v>
      </c>
    </row>
    <row r="836" spans="1:49" x14ac:dyDescent="0.3">
      <c r="A836" s="26" t="s">
        <v>1591</v>
      </c>
      <c r="B836" s="10" t="s">
        <v>1631</v>
      </c>
      <c r="C836" t="s">
        <v>1628</v>
      </c>
      <c r="D836" s="4" t="s">
        <v>1629</v>
      </c>
      <c r="E836" t="s">
        <v>1630</v>
      </c>
      <c r="F836" t="s">
        <v>2661</v>
      </c>
      <c r="G836" s="16" t="s">
        <v>34</v>
      </c>
      <c r="H836" s="10" t="s">
        <v>217</v>
      </c>
      <c r="I836" s="41" t="s">
        <v>1633</v>
      </c>
      <c r="J836" s="10" t="s">
        <v>1632</v>
      </c>
      <c r="K836" s="10">
        <v>4</v>
      </c>
      <c r="L836" s="10">
        <v>4</v>
      </c>
      <c r="N836">
        <v>10.99</v>
      </c>
      <c r="P836">
        <v>42.1</v>
      </c>
      <c r="W836">
        <v>8.7899999999999991</v>
      </c>
      <c r="Y836">
        <v>21.8</v>
      </c>
      <c r="AD836" s="3">
        <f t="shared" si="105"/>
        <v>0.79981801637852579</v>
      </c>
      <c r="AE836" s="3">
        <f t="shared" si="106"/>
        <v>0.51781472684085506</v>
      </c>
      <c r="AI836" s="3">
        <f t="shared" si="110"/>
        <v>1.3176327432193808</v>
      </c>
      <c r="AQ836">
        <v>50</v>
      </c>
      <c r="AR836" t="s">
        <v>14</v>
      </c>
      <c r="AU836" s="10" t="s">
        <v>2</v>
      </c>
      <c r="AV836" s="10" t="s">
        <v>3</v>
      </c>
    </row>
    <row r="837" spans="1:49" x14ac:dyDescent="0.3">
      <c r="A837" s="26" t="s">
        <v>1591</v>
      </c>
      <c r="B837" s="10" t="s">
        <v>1631</v>
      </c>
      <c r="C837" t="s">
        <v>1628</v>
      </c>
      <c r="D837" s="4" t="s">
        <v>1629</v>
      </c>
      <c r="E837" t="s">
        <v>1630</v>
      </c>
      <c r="F837" t="s">
        <v>2661</v>
      </c>
      <c r="G837" s="16" t="s">
        <v>34</v>
      </c>
      <c r="H837" s="10" t="s">
        <v>217</v>
      </c>
      <c r="I837" s="10" t="s">
        <v>1634</v>
      </c>
      <c r="J837" s="10" t="s">
        <v>1632</v>
      </c>
      <c r="K837" s="10">
        <v>4</v>
      </c>
      <c r="L837" s="10">
        <v>4</v>
      </c>
      <c r="N837">
        <v>10.99</v>
      </c>
      <c r="P837">
        <v>42.1</v>
      </c>
      <c r="W837">
        <v>7.96</v>
      </c>
      <c r="Y837">
        <v>23.96</v>
      </c>
      <c r="AD837" s="3">
        <f t="shared" si="105"/>
        <v>0.72429481346678792</v>
      </c>
      <c r="AE837" s="3">
        <f t="shared" si="106"/>
        <v>0.5691211401425178</v>
      </c>
      <c r="AI837" s="3">
        <f t="shared" si="110"/>
        <v>1.2934159536093057</v>
      </c>
      <c r="AQ837">
        <v>50</v>
      </c>
      <c r="AR837" t="s">
        <v>14</v>
      </c>
      <c r="AU837" s="10" t="s">
        <v>2</v>
      </c>
      <c r="AV837" s="10" t="s">
        <v>3</v>
      </c>
    </row>
    <row r="838" spans="1:49" x14ac:dyDescent="0.3">
      <c r="A838" s="26" t="s">
        <v>1591</v>
      </c>
      <c r="B838" s="10" t="s">
        <v>1631</v>
      </c>
      <c r="C838" t="s">
        <v>1628</v>
      </c>
      <c r="D838" s="4" t="s">
        <v>1629</v>
      </c>
      <c r="E838" t="s">
        <v>1630</v>
      </c>
      <c r="F838" t="s">
        <v>2661</v>
      </c>
      <c r="G838" s="16" t="s">
        <v>34</v>
      </c>
      <c r="H838" s="10" t="s">
        <v>217</v>
      </c>
      <c r="I838" s="10" t="s">
        <v>1635</v>
      </c>
      <c r="J838" s="10" t="s">
        <v>1632</v>
      </c>
      <c r="K838" s="10">
        <v>4</v>
      </c>
      <c r="L838" s="10">
        <v>4</v>
      </c>
      <c r="N838">
        <v>10.99</v>
      </c>
      <c r="P838">
        <v>42.1</v>
      </c>
      <c r="W838">
        <v>7.29</v>
      </c>
      <c r="Y838">
        <v>28.23</v>
      </c>
      <c r="AD838" s="3">
        <f t="shared" si="105"/>
        <v>0.66333030027297546</v>
      </c>
      <c r="AE838" s="3">
        <f t="shared" si="106"/>
        <v>0.67054631828978617</v>
      </c>
      <c r="AI838" s="3">
        <f t="shared" si="110"/>
        <v>1.3338766185627615</v>
      </c>
      <c r="AQ838">
        <v>50</v>
      </c>
      <c r="AR838" t="s">
        <v>14</v>
      </c>
      <c r="AU838" s="10" t="s">
        <v>2</v>
      </c>
      <c r="AV838" s="10" t="s">
        <v>3</v>
      </c>
    </row>
    <row r="839" spans="1:49" x14ac:dyDescent="0.3">
      <c r="A839" s="26" t="s">
        <v>1591</v>
      </c>
      <c r="B839" s="10" t="s">
        <v>1631</v>
      </c>
      <c r="C839" t="s">
        <v>1628</v>
      </c>
      <c r="D839" s="4" t="s">
        <v>1629</v>
      </c>
      <c r="E839" t="s">
        <v>1630</v>
      </c>
      <c r="F839" t="s">
        <v>2661</v>
      </c>
      <c r="G839" s="16" t="s">
        <v>34</v>
      </c>
      <c r="H839" s="10" t="s">
        <v>217</v>
      </c>
      <c r="I839" s="10" t="s">
        <v>1636</v>
      </c>
      <c r="J839" s="10" t="s">
        <v>1632</v>
      </c>
      <c r="K839" s="10">
        <v>4</v>
      </c>
      <c r="L839" s="10">
        <v>4</v>
      </c>
      <c r="N839">
        <v>10.99</v>
      </c>
      <c r="P839">
        <v>42.1</v>
      </c>
      <c r="W839">
        <v>5.49</v>
      </c>
      <c r="Y839">
        <v>35.049999999999997</v>
      </c>
      <c r="AD839" s="3">
        <f t="shared" si="105"/>
        <v>0.49954504094631486</v>
      </c>
      <c r="AE839" s="3">
        <f t="shared" si="106"/>
        <v>0.83254156769596188</v>
      </c>
      <c r="AI839" s="3">
        <f t="shared" si="110"/>
        <v>1.3320866086422767</v>
      </c>
      <c r="AQ839">
        <v>50</v>
      </c>
      <c r="AR839" t="s">
        <v>14</v>
      </c>
      <c r="AU839" s="10" t="s">
        <v>2</v>
      </c>
      <c r="AV839" s="10" t="s">
        <v>3</v>
      </c>
    </row>
    <row r="840" spans="1:49" s="12" customFormat="1" x14ac:dyDescent="0.3">
      <c r="A840" s="26" t="s">
        <v>1592</v>
      </c>
      <c r="B840" s="10" t="s">
        <v>1631</v>
      </c>
      <c r="C840" s="10"/>
      <c r="D840" s="16" t="s">
        <v>1637</v>
      </c>
      <c r="E840" s="10">
        <v>2011</v>
      </c>
      <c r="F840" t="s">
        <v>2661</v>
      </c>
      <c r="G840" s="16" t="s">
        <v>34</v>
      </c>
      <c r="H840" s="10" t="s">
        <v>17</v>
      </c>
      <c r="I840" s="10" t="s">
        <v>1638</v>
      </c>
      <c r="J840" s="10" t="s">
        <v>201</v>
      </c>
      <c r="K840" s="10">
        <v>3</v>
      </c>
      <c r="L840" s="10">
        <v>3</v>
      </c>
      <c r="M840" s="53"/>
      <c r="N840" s="10">
        <v>3073.33</v>
      </c>
      <c r="O840" s="10"/>
      <c r="P840" s="10"/>
      <c r="Q840" s="10"/>
      <c r="R840" s="10"/>
      <c r="S840" s="10"/>
      <c r="T840" s="10"/>
      <c r="U840" s="10"/>
      <c r="V840" s="10"/>
      <c r="W840" s="10">
        <v>4787.67</v>
      </c>
      <c r="X840" s="10"/>
      <c r="Y840" s="10"/>
      <c r="Z840" s="10"/>
      <c r="AA840" s="10"/>
      <c r="AB840" s="10"/>
      <c r="AC840" s="10"/>
      <c r="AD840" s="14">
        <f t="shared" si="105"/>
        <v>1.5578118848285085</v>
      </c>
      <c r="AE840" s="10"/>
      <c r="AF840" s="10"/>
      <c r="AG840" s="10"/>
      <c r="AH840" s="10"/>
      <c r="AI840" s="14">
        <f t="shared" si="110"/>
        <v>1.5578118848285085</v>
      </c>
      <c r="AJ840" s="10"/>
      <c r="AK840" s="10"/>
      <c r="AL840" s="10"/>
      <c r="AM840"/>
      <c r="AN840" s="10"/>
      <c r="AO840" s="10"/>
      <c r="AP840" s="10"/>
      <c r="AQ840" s="10">
        <v>100</v>
      </c>
      <c r="AR840" s="10"/>
      <c r="AS840" s="10"/>
      <c r="AT840" s="10" t="s">
        <v>3</v>
      </c>
      <c r="AU840" s="10" t="s">
        <v>2</v>
      </c>
      <c r="AV840" s="10" t="s">
        <v>2023</v>
      </c>
      <c r="AW840" s="10" t="s">
        <v>1642</v>
      </c>
    </row>
    <row r="841" spans="1:49" s="12" customFormat="1" x14ac:dyDescent="0.3">
      <c r="A841" s="26" t="s">
        <v>1592</v>
      </c>
      <c r="B841" s="10" t="s">
        <v>1631</v>
      </c>
      <c r="C841" s="10"/>
      <c r="D841" s="16" t="s">
        <v>1637</v>
      </c>
      <c r="E841" s="10">
        <v>2011</v>
      </c>
      <c r="F841" t="s">
        <v>2661</v>
      </c>
      <c r="G841" s="16" t="s">
        <v>34</v>
      </c>
      <c r="H841" s="10" t="s">
        <v>17</v>
      </c>
      <c r="I841" s="10" t="s">
        <v>1639</v>
      </c>
      <c r="J841" s="10" t="s">
        <v>201</v>
      </c>
      <c r="K841" s="10">
        <v>3</v>
      </c>
      <c r="L841" s="10">
        <v>3</v>
      </c>
      <c r="M841" s="53"/>
      <c r="N841" s="10">
        <v>3073.33</v>
      </c>
      <c r="O841" s="10"/>
      <c r="P841" s="10"/>
      <c r="Q841" s="10"/>
      <c r="R841" s="10"/>
      <c r="S841" s="10"/>
      <c r="T841" s="10"/>
      <c r="U841" s="10"/>
      <c r="V841" s="10"/>
      <c r="W841" s="10">
        <v>4683</v>
      </c>
      <c r="X841" s="10"/>
      <c r="Y841" s="10"/>
      <c r="Z841" s="10"/>
      <c r="AA841" s="10"/>
      <c r="AB841" s="10"/>
      <c r="AC841" s="10"/>
      <c r="AD841" s="14">
        <f t="shared" si="105"/>
        <v>1.5237543641587463</v>
      </c>
      <c r="AE841" s="10"/>
      <c r="AF841" s="10"/>
      <c r="AG841" s="10"/>
      <c r="AH841" s="10"/>
      <c r="AI841" s="14">
        <f t="shared" si="110"/>
        <v>1.5237543641587463</v>
      </c>
      <c r="AJ841" s="10"/>
      <c r="AK841" s="10"/>
      <c r="AL841" s="10"/>
      <c r="AM841"/>
      <c r="AN841" s="10"/>
      <c r="AO841" s="10"/>
      <c r="AP841" s="10"/>
      <c r="AQ841" s="10">
        <v>100</v>
      </c>
      <c r="AR841" s="10"/>
      <c r="AS841" s="10"/>
      <c r="AT841" s="10" t="s">
        <v>3</v>
      </c>
      <c r="AU841" s="10" t="s">
        <v>2</v>
      </c>
      <c r="AV841" s="10" t="s">
        <v>2023</v>
      </c>
      <c r="AW841" s="10" t="s">
        <v>1642</v>
      </c>
    </row>
    <row r="842" spans="1:49" s="12" customFormat="1" x14ac:dyDescent="0.3">
      <c r="A842" s="26" t="s">
        <v>1592</v>
      </c>
      <c r="B842" s="10" t="s">
        <v>1631</v>
      </c>
      <c r="C842" s="10"/>
      <c r="D842" s="16" t="s">
        <v>1637</v>
      </c>
      <c r="E842" s="10">
        <v>2011</v>
      </c>
      <c r="F842" t="s">
        <v>2661</v>
      </c>
      <c r="G842" s="16" t="s">
        <v>34</v>
      </c>
      <c r="H842" s="10" t="s">
        <v>17</v>
      </c>
      <c r="I842" s="10" t="s">
        <v>1640</v>
      </c>
      <c r="J842" s="10" t="s">
        <v>201</v>
      </c>
      <c r="K842" s="10">
        <v>3</v>
      </c>
      <c r="L842" s="10">
        <v>3</v>
      </c>
      <c r="M842" s="53"/>
      <c r="N842" s="10">
        <v>3073.33</v>
      </c>
      <c r="O842" s="10"/>
      <c r="P842" s="10"/>
      <c r="Q842" s="10"/>
      <c r="R842" s="10"/>
      <c r="S842" s="10"/>
      <c r="T842" s="10"/>
      <c r="U842" s="10"/>
      <c r="V842" s="10"/>
      <c r="W842" s="10">
        <v>4133.33</v>
      </c>
      <c r="X842" s="10"/>
      <c r="Y842" s="10"/>
      <c r="Z842" s="10"/>
      <c r="AA842" s="10"/>
      <c r="AB842" s="10"/>
      <c r="AC842" s="10"/>
      <c r="AD842" s="14">
        <f t="shared" si="105"/>
        <v>1.3449027601982215</v>
      </c>
      <c r="AE842" s="10"/>
      <c r="AF842" s="10"/>
      <c r="AG842" s="10"/>
      <c r="AH842" s="10"/>
      <c r="AI842" s="14">
        <f t="shared" si="110"/>
        <v>1.3449027601982215</v>
      </c>
      <c r="AJ842" s="10"/>
      <c r="AK842" s="10"/>
      <c r="AL842" s="10"/>
      <c r="AM842"/>
      <c r="AN842" s="10"/>
      <c r="AO842" s="10"/>
      <c r="AP842" s="10"/>
      <c r="AQ842" s="10">
        <v>100</v>
      </c>
      <c r="AR842" s="10"/>
      <c r="AS842" s="10"/>
      <c r="AT842" s="10" t="s">
        <v>3</v>
      </c>
      <c r="AU842" s="10" t="s">
        <v>2</v>
      </c>
      <c r="AV842" s="10" t="s">
        <v>2023</v>
      </c>
      <c r="AW842" s="10" t="s">
        <v>1642</v>
      </c>
    </row>
    <row r="843" spans="1:49" s="12" customFormat="1" x14ac:dyDescent="0.3">
      <c r="A843" s="26" t="s">
        <v>1592</v>
      </c>
      <c r="B843" s="10" t="s">
        <v>1631</v>
      </c>
      <c r="C843" s="10"/>
      <c r="D843" s="16" t="s">
        <v>1637</v>
      </c>
      <c r="E843" s="10">
        <v>2011</v>
      </c>
      <c r="F843" t="s">
        <v>2661</v>
      </c>
      <c r="G843" s="16" t="s">
        <v>34</v>
      </c>
      <c r="H843" s="10" t="s">
        <v>17</v>
      </c>
      <c r="I843" s="10" t="s">
        <v>1641</v>
      </c>
      <c r="J843" s="10" t="s">
        <v>201</v>
      </c>
      <c r="K843" s="10">
        <v>3</v>
      </c>
      <c r="L843" s="10">
        <v>3</v>
      </c>
      <c r="M843" s="53"/>
      <c r="N843" s="10">
        <v>3073.33</v>
      </c>
      <c r="O843" s="10"/>
      <c r="P843" s="10"/>
      <c r="Q843" s="10"/>
      <c r="R843" s="10"/>
      <c r="S843" s="10"/>
      <c r="T843" s="10"/>
      <c r="U843" s="10"/>
      <c r="V843" s="10"/>
      <c r="W843" s="10">
        <v>4382</v>
      </c>
      <c r="X843" s="10"/>
      <c r="Y843" s="10"/>
      <c r="Z843" s="10"/>
      <c r="AA843" s="10"/>
      <c r="AB843" s="10"/>
      <c r="AC843" s="10"/>
      <c r="AD843" s="14">
        <f t="shared" si="105"/>
        <v>1.4258149954609496</v>
      </c>
      <c r="AE843" s="10"/>
      <c r="AF843" s="10"/>
      <c r="AG843" s="10"/>
      <c r="AH843" s="10"/>
      <c r="AI843" s="14">
        <f t="shared" si="110"/>
        <v>1.4258149954609496</v>
      </c>
      <c r="AJ843" s="10"/>
      <c r="AK843" s="10"/>
      <c r="AL843" s="10"/>
      <c r="AM843"/>
      <c r="AN843" s="10"/>
      <c r="AO843" s="10"/>
      <c r="AP843" s="10"/>
      <c r="AQ843" s="10">
        <v>100</v>
      </c>
      <c r="AR843" s="10"/>
      <c r="AS843" s="10"/>
      <c r="AT843" s="10" t="s">
        <v>3</v>
      </c>
      <c r="AU843" s="10" t="s">
        <v>2</v>
      </c>
      <c r="AV843" s="10" t="s">
        <v>2023</v>
      </c>
      <c r="AW843" s="10" t="s">
        <v>1642</v>
      </c>
    </row>
    <row r="844" spans="1:49" s="12" customFormat="1" x14ac:dyDescent="0.3">
      <c r="A844" s="26" t="s">
        <v>1592</v>
      </c>
      <c r="B844" s="10" t="s">
        <v>1631</v>
      </c>
      <c r="C844" s="10"/>
      <c r="D844" s="16" t="s">
        <v>1637</v>
      </c>
      <c r="E844" s="10">
        <v>2011</v>
      </c>
      <c r="F844" t="s">
        <v>2661</v>
      </c>
      <c r="G844" s="16" t="s">
        <v>34</v>
      </c>
      <c r="H844" s="10" t="s">
        <v>17</v>
      </c>
      <c r="I844" s="10" t="s">
        <v>1638</v>
      </c>
      <c r="J844" s="10" t="s">
        <v>1031</v>
      </c>
      <c r="K844" s="10">
        <v>3</v>
      </c>
      <c r="L844" s="10">
        <v>3</v>
      </c>
      <c r="M844" s="53"/>
      <c r="N844" s="10">
        <v>3073.33</v>
      </c>
      <c r="O844" s="10"/>
      <c r="P844" s="10"/>
      <c r="Q844" s="10"/>
      <c r="R844" s="10"/>
      <c r="S844" s="10"/>
      <c r="T844" s="10"/>
      <c r="U844" s="10"/>
      <c r="V844" s="10"/>
      <c r="W844" s="10">
        <v>4530</v>
      </c>
      <c r="X844" s="10"/>
      <c r="Y844" s="10"/>
      <c r="Z844" s="10"/>
      <c r="AA844" s="10"/>
      <c r="AB844" s="10"/>
      <c r="AC844" s="10"/>
      <c r="AD844" s="14">
        <f t="shared" si="105"/>
        <v>1.4739712299037202</v>
      </c>
      <c r="AE844" s="10"/>
      <c r="AF844" s="10"/>
      <c r="AG844" s="10"/>
      <c r="AH844" s="10"/>
      <c r="AI844" s="14">
        <f t="shared" si="110"/>
        <v>1.4739712299037202</v>
      </c>
      <c r="AJ844" s="10"/>
      <c r="AK844" s="10"/>
      <c r="AL844" s="10"/>
      <c r="AM844"/>
      <c r="AN844" s="10"/>
      <c r="AO844" s="10"/>
      <c r="AP844" s="10"/>
      <c r="AQ844" s="10">
        <v>100</v>
      </c>
      <c r="AR844" s="10"/>
      <c r="AS844" s="10"/>
      <c r="AT844" s="10" t="s">
        <v>3</v>
      </c>
      <c r="AU844" s="10" t="s">
        <v>2</v>
      </c>
      <c r="AV844" s="10" t="s">
        <v>2023</v>
      </c>
      <c r="AW844" s="10" t="s">
        <v>1642</v>
      </c>
    </row>
    <row r="845" spans="1:49" s="12" customFormat="1" x14ac:dyDescent="0.3">
      <c r="A845" s="26" t="s">
        <v>1592</v>
      </c>
      <c r="B845" s="10" t="s">
        <v>1631</v>
      </c>
      <c r="C845" s="10"/>
      <c r="D845" s="16" t="s">
        <v>1637</v>
      </c>
      <c r="E845" s="10">
        <v>2011</v>
      </c>
      <c r="F845" t="s">
        <v>2661</v>
      </c>
      <c r="G845" s="16" t="s">
        <v>34</v>
      </c>
      <c r="H845" s="10" t="s">
        <v>17</v>
      </c>
      <c r="I845" s="10" t="s">
        <v>1639</v>
      </c>
      <c r="J845" s="10" t="s">
        <v>1031</v>
      </c>
      <c r="K845" s="10">
        <v>3</v>
      </c>
      <c r="L845" s="10">
        <v>3</v>
      </c>
      <c r="M845" s="53"/>
      <c r="N845" s="10">
        <v>3073.33</v>
      </c>
      <c r="O845" s="10"/>
      <c r="P845" s="10"/>
      <c r="Q845" s="10"/>
      <c r="R845" s="10"/>
      <c r="S845" s="10"/>
      <c r="T845" s="10"/>
      <c r="U845" s="10"/>
      <c r="V845" s="10"/>
      <c r="W845" s="10">
        <v>4514</v>
      </c>
      <c r="X845" s="10"/>
      <c r="Y845" s="10"/>
      <c r="Z845" s="10"/>
      <c r="AA845" s="10"/>
      <c r="AB845" s="10"/>
      <c r="AC845" s="10"/>
      <c r="AD845" s="14">
        <f t="shared" si="105"/>
        <v>1.4687651505045016</v>
      </c>
      <c r="AE845" s="10"/>
      <c r="AF845" s="10"/>
      <c r="AG845" s="10"/>
      <c r="AH845" s="10"/>
      <c r="AI845" s="14">
        <f t="shared" si="110"/>
        <v>1.4687651505045016</v>
      </c>
      <c r="AJ845" s="10"/>
      <c r="AK845" s="10"/>
      <c r="AL845" s="10"/>
      <c r="AM845"/>
      <c r="AN845" s="10"/>
      <c r="AO845" s="10"/>
      <c r="AP845" s="10"/>
      <c r="AQ845" s="10">
        <v>100</v>
      </c>
      <c r="AR845" s="10"/>
      <c r="AS845" s="10"/>
      <c r="AT845" s="10" t="s">
        <v>3</v>
      </c>
      <c r="AU845" s="10" t="s">
        <v>2</v>
      </c>
      <c r="AV845" s="10" t="s">
        <v>2023</v>
      </c>
      <c r="AW845" s="10" t="s">
        <v>1642</v>
      </c>
    </row>
    <row r="846" spans="1:49" s="12" customFormat="1" x14ac:dyDescent="0.3">
      <c r="A846" s="26" t="s">
        <v>1592</v>
      </c>
      <c r="B846" s="10" t="s">
        <v>1631</v>
      </c>
      <c r="C846" s="10"/>
      <c r="D846" s="16" t="s">
        <v>1637</v>
      </c>
      <c r="E846" s="10">
        <v>2011</v>
      </c>
      <c r="F846" t="s">
        <v>2661</v>
      </c>
      <c r="G846" s="16" t="s">
        <v>34</v>
      </c>
      <c r="H846" s="10" t="s">
        <v>17</v>
      </c>
      <c r="I846" s="10" t="s">
        <v>1640</v>
      </c>
      <c r="J846" s="10" t="s">
        <v>1031</v>
      </c>
      <c r="K846" s="10">
        <v>3</v>
      </c>
      <c r="L846" s="10">
        <v>3</v>
      </c>
      <c r="M846" s="53"/>
      <c r="N846" s="10">
        <v>3073.33</v>
      </c>
      <c r="O846" s="10"/>
      <c r="P846" s="10"/>
      <c r="Q846" s="10"/>
      <c r="R846" s="10"/>
      <c r="S846" s="10"/>
      <c r="T846" s="10"/>
      <c r="U846" s="10"/>
      <c r="V846" s="10"/>
      <c r="W846" s="10">
        <v>4054.33</v>
      </c>
      <c r="X846" s="10"/>
      <c r="Y846" s="10"/>
      <c r="Z846" s="10"/>
      <c r="AA846" s="10"/>
      <c r="AB846" s="10"/>
      <c r="AC846" s="10"/>
      <c r="AD846" s="14">
        <f t="shared" si="105"/>
        <v>1.3191977431645805</v>
      </c>
      <c r="AE846" s="10"/>
      <c r="AF846" s="10"/>
      <c r="AG846" s="10"/>
      <c r="AH846" s="10"/>
      <c r="AI846" s="14">
        <f t="shared" si="110"/>
        <v>1.3191977431645805</v>
      </c>
      <c r="AJ846" s="10"/>
      <c r="AK846" s="10"/>
      <c r="AL846" s="10"/>
      <c r="AM846"/>
      <c r="AN846" s="10"/>
      <c r="AO846" s="10"/>
      <c r="AP846" s="10"/>
      <c r="AQ846" s="10">
        <v>100</v>
      </c>
      <c r="AR846" s="10"/>
      <c r="AS846" s="10"/>
      <c r="AT846" s="10" t="s">
        <v>3</v>
      </c>
      <c r="AU846" s="10" t="s">
        <v>2</v>
      </c>
      <c r="AV846" s="10" t="s">
        <v>2023</v>
      </c>
      <c r="AW846" s="10" t="s">
        <v>1642</v>
      </c>
    </row>
    <row r="847" spans="1:49" s="12" customFormat="1" x14ac:dyDescent="0.3">
      <c r="A847" s="26" t="s">
        <v>1592</v>
      </c>
      <c r="B847" s="10" t="s">
        <v>1631</v>
      </c>
      <c r="C847" s="10"/>
      <c r="D847" s="16" t="s">
        <v>1637</v>
      </c>
      <c r="E847" s="10">
        <v>2011</v>
      </c>
      <c r="F847" t="s">
        <v>2661</v>
      </c>
      <c r="G847" s="16" t="s">
        <v>34</v>
      </c>
      <c r="H847" s="10" t="s">
        <v>17</v>
      </c>
      <c r="I847" s="10" t="s">
        <v>1641</v>
      </c>
      <c r="J847" s="10" t="s">
        <v>1031</v>
      </c>
      <c r="K847" s="10">
        <v>3</v>
      </c>
      <c r="L847" s="10">
        <v>3</v>
      </c>
      <c r="M847" s="53"/>
      <c r="N847" s="10">
        <v>3073.33</v>
      </c>
      <c r="O847" s="10"/>
      <c r="P847" s="10"/>
      <c r="Q847" s="10"/>
      <c r="R847" s="10"/>
      <c r="S847" s="10"/>
      <c r="T847" s="10"/>
      <c r="U847" s="10"/>
      <c r="V847" s="10"/>
      <c r="W847" s="10">
        <v>4564.67</v>
      </c>
      <c r="X847" s="10"/>
      <c r="Y847" s="10"/>
      <c r="Z847" s="10"/>
      <c r="AA847" s="10"/>
      <c r="AB847" s="10"/>
      <c r="AC847" s="10"/>
      <c r="AD847" s="14">
        <f t="shared" si="105"/>
        <v>1.4852521532019016</v>
      </c>
      <c r="AE847" s="10"/>
      <c r="AF847" s="10"/>
      <c r="AG847" s="10"/>
      <c r="AH847" s="10"/>
      <c r="AI847" s="14">
        <f t="shared" si="110"/>
        <v>1.4852521532019016</v>
      </c>
      <c r="AJ847" s="10"/>
      <c r="AK847" s="10"/>
      <c r="AL847" s="10"/>
      <c r="AM847"/>
      <c r="AN847" s="10"/>
      <c r="AO847" s="10"/>
      <c r="AP847" s="10"/>
      <c r="AQ847" s="10">
        <v>100</v>
      </c>
      <c r="AR847" s="10"/>
      <c r="AS847" s="10"/>
      <c r="AT847" s="10" t="s">
        <v>3</v>
      </c>
      <c r="AU847" s="10" t="s">
        <v>2</v>
      </c>
      <c r="AV847" s="10" t="s">
        <v>2023</v>
      </c>
      <c r="AW847" s="10" t="s">
        <v>1642</v>
      </c>
    </row>
    <row r="848" spans="1:49" s="10" customFormat="1" x14ac:dyDescent="0.3">
      <c r="A848" s="26" t="s">
        <v>1593</v>
      </c>
      <c r="B848" s="10" t="s">
        <v>633</v>
      </c>
      <c r="D848" s="16" t="s">
        <v>1643</v>
      </c>
      <c r="E848" s="10">
        <v>2007</v>
      </c>
      <c r="F848" t="s">
        <v>2661</v>
      </c>
      <c r="G848" s="16" t="s">
        <v>34</v>
      </c>
      <c r="H848" s="10" t="s">
        <v>17</v>
      </c>
      <c r="I848" s="10" t="s">
        <v>1645</v>
      </c>
      <c r="J848" s="10" t="s">
        <v>1644</v>
      </c>
      <c r="K848" s="10">
        <v>3</v>
      </c>
      <c r="L848" s="10">
        <v>3</v>
      </c>
      <c r="M848" s="53"/>
      <c r="N848" s="25">
        <f>6.52*10000/4.5</f>
        <v>14488.888888888887</v>
      </c>
      <c r="O848" s="25"/>
      <c r="P848" s="25">
        <f>(10000/(0.45*0.3))*26*2.15*58.37/(100*1000)</f>
        <v>2416.9503703703699</v>
      </c>
      <c r="Q848" s="25"/>
      <c r="R848" s="25"/>
      <c r="S848" s="25"/>
      <c r="T848" s="25"/>
      <c r="U848" s="25"/>
      <c r="V848" s="25"/>
      <c r="W848" s="25">
        <f>7.84*10000/4.5</f>
        <v>17422.222222222223</v>
      </c>
      <c r="X848" s="25"/>
      <c r="Y848" s="25">
        <f>(10000/(0.9*0.3))*24*2.12*54.8/(100*1000)</f>
        <v>1032.6755555555555</v>
      </c>
      <c r="AD848" s="14">
        <f t="shared" si="105"/>
        <v>1.2024539877300615</v>
      </c>
      <c r="AE848" s="14">
        <f t="shared" ref="AE848:AE879" si="111">Y848/P848</f>
        <v>0.42726386450265003</v>
      </c>
      <c r="AF848" s="14"/>
      <c r="AI848" s="14">
        <f t="shared" si="110"/>
        <v>1.6297178522327116</v>
      </c>
      <c r="AM848"/>
      <c r="AQ848" s="10">
        <f>((75+75+75+75)+(35+30))/2</f>
        <v>182.5</v>
      </c>
      <c r="AR848" s="10" t="s">
        <v>14</v>
      </c>
      <c r="AU848" s="10" t="s">
        <v>2</v>
      </c>
      <c r="AV848" s="10" t="s">
        <v>3</v>
      </c>
    </row>
    <row r="849" spans="1:50" s="10" customFormat="1" x14ac:dyDescent="0.3">
      <c r="A849" s="26" t="s">
        <v>1594</v>
      </c>
      <c r="B849" s="10" t="s">
        <v>1631</v>
      </c>
      <c r="C849" s="10" t="s">
        <v>1628</v>
      </c>
      <c r="D849" s="16" t="s">
        <v>1629</v>
      </c>
      <c r="E849" s="10" t="s">
        <v>1318</v>
      </c>
      <c r="F849" t="s">
        <v>2661</v>
      </c>
      <c r="G849" s="16" t="s">
        <v>34</v>
      </c>
      <c r="H849" s="10" t="s">
        <v>17</v>
      </c>
      <c r="I849" s="10" t="s">
        <v>1646</v>
      </c>
      <c r="J849" s="10" t="s">
        <v>1650</v>
      </c>
      <c r="K849" s="10">
        <v>3</v>
      </c>
      <c r="L849" s="10">
        <v>3</v>
      </c>
      <c r="M849" s="53"/>
      <c r="N849" s="10">
        <v>3961.1</v>
      </c>
      <c r="P849" s="10">
        <v>6387.04</v>
      </c>
      <c r="W849" s="10">
        <v>3870.83</v>
      </c>
      <c r="Y849" s="10">
        <v>5808.79</v>
      </c>
      <c r="AA849" s="10">
        <v>179.47</v>
      </c>
      <c r="AD849" s="14">
        <f t="shared" si="105"/>
        <v>0.97721087576683241</v>
      </c>
      <c r="AE849" s="14">
        <f t="shared" si="111"/>
        <v>0.90946510433628092</v>
      </c>
      <c r="AF849" s="14">
        <f>AI849-AD849</f>
        <v>0.21278912423316754</v>
      </c>
      <c r="AI849" s="10">
        <v>1.19</v>
      </c>
      <c r="AM849"/>
      <c r="AQ849" s="10">
        <v>140</v>
      </c>
      <c r="AR849" s="10" t="s">
        <v>14</v>
      </c>
      <c r="AT849" s="10" t="s">
        <v>3</v>
      </c>
      <c r="AU849" s="10" t="s">
        <v>2</v>
      </c>
      <c r="AV849" s="10" t="s">
        <v>3</v>
      </c>
      <c r="AW849" s="10" t="s">
        <v>1651</v>
      </c>
    </row>
    <row r="850" spans="1:50" s="10" customFormat="1" x14ac:dyDescent="0.3">
      <c r="A850" s="26" t="s">
        <v>1594</v>
      </c>
      <c r="B850" s="10" t="s">
        <v>1631</v>
      </c>
      <c r="C850" s="10" t="s">
        <v>1628</v>
      </c>
      <c r="D850" s="16" t="s">
        <v>1629</v>
      </c>
      <c r="E850" s="10" t="s">
        <v>1318</v>
      </c>
      <c r="F850" t="s">
        <v>2661</v>
      </c>
      <c r="G850" s="16" t="s">
        <v>34</v>
      </c>
      <c r="H850" s="10" t="s">
        <v>17</v>
      </c>
      <c r="I850" s="10" t="s">
        <v>1647</v>
      </c>
      <c r="J850" s="10" t="s">
        <v>1650</v>
      </c>
      <c r="K850" s="10">
        <v>3</v>
      </c>
      <c r="L850" s="10">
        <v>3</v>
      </c>
      <c r="M850" s="53"/>
      <c r="N850" s="10">
        <v>3961.1</v>
      </c>
      <c r="P850" s="10">
        <v>6387.04</v>
      </c>
      <c r="W850" s="10">
        <v>3832.87</v>
      </c>
      <c r="Y850" s="10">
        <v>5642.63</v>
      </c>
      <c r="AA850" s="10">
        <v>270.32</v>
      </c>
      <c r="AD850" s="14">
        <f t="shared" si="105"/>
        <v>0.96762767918002579</v>
      </c>
      <c r="AE850" s="14">
        <f t="shared" si="111"/>
        <v>0.88344992359528052</v>
      </c>
      <c r="AF850" s="14">
        <f t="shared" ref="AF850:AF852" si="112">AI850-AD850</f>
        <v>0.31237232081997424</v>
      </c>
      <c r="AI850" s="10">
        <v>1.28</v>
      </c>
      <c r="AM850"/>
      <c r="AQ850" s="10">
        <v>140</v>
      </c>
      <c r="AR850" s="10" t="s">
        <v>14</v>
      </c>
      <c r="AT850" s="10" t="s">
        <v>3</v>
      </c>
      <c r="AU850" s="10" t="s">
        <v>2</v>
      </c>
      <c r="AV850" s="10" t="s">
        <v>3</v>
      </c>
      <c r="AW850" s="10" t="s">
        <v>1651</v>
      </c>
    </row>
    <row r="851" spans="1:50" s="10" customFormat="1" x14ac:dyDescent="0.3">
      <c r="A851" s="26" t="s">
        <v>1594</v>
      </c>
      <c r="B851" s="10" t="s">
        <v>1631</v>
      </c>
      <c r="C851" s="10" t="s">
        <v>1628</v>
      </c>
      <c r="D851" s="16" t="s">
        <v>1629</v>
      </c>
      <c r="E851" s="10" t="s">
        <v>1318</v>
      </c>
      <c r="F851" t="s">
        <v>2661</v>
      </c>
      <c r="G851" s="16" t="s">
        <v>34</v>
      </c>
      <c r="H851" s="10" t="s">
        <v>17</v>
      </c>
      <c r="I851" s="10" t="s">
        <v>1648</v>
      </c>
      <c r="J851" s="10" t="s">
        <v>1650</v>
      </c>
      <c r="K851" s="10">
        <v>3</v>
      </c>
      <c r="L851" s="10">
        <v>3</v>
      </c>
      <c r="M851" s="53"/>
      <c r="N851" s="10">
        <v>3961.1</v>
      </c>
      <c r="P851" s="10">
        <v>6387.04</v>
      </c>
      <c r="W851" s="10">
        <v>3876.32</v>
      </c>
      <c r="Y851" s="10">
        <v>5946.41</v>
      </c>
      <c r="AA851" s="10">
        <v>346.6</v>
      </c>
      <c r="AD851" s="14">
        <f t="shared" si="105"/>
        <v>0.9785968544091288</v>
      </c>
      <c r="AE851" s="14">
        <f t="shared" si="111"/>
        <v>0.93101186151957716</v>
      </c>
      <c r="AF851" s="14">
        <f t="shared" si="112"/>
        <v>0.40140314559087109</v>
      </c>
      <c r="AI851" s="10">
        <v>1.38</v>
      </c>
      <c r="AM851"/>
      <c r="AQ851" s="10">
        <v>140</v>
      </c>
      <c r="AR851" s="10" t="s">
        <v>14</v>
      </c>
      <c r="AT851" s="10" t="s">
        <v>3</v>
      </c>
      <c r="AU851" s="10" t="s">
        <v>2</v>
      </c>
      <c r="AV851" s="10" t="s">
        <v>3</v>
      </c>
      <c r="AW851" s="10" t="s">
        <v>1651</v>
      </c>
    </row>
    <row r="852" spans="1:50" s="10" customFormat="1" x14ac:dyDescent="0.3">
      <c r="A852" s="26" t="s">
        <v>1594</v>
      </c>
      <c r="B852" s="10" t="s">
        <v>1631</v>
      </c>
      <c r="C852" s="10" t="s">
        <v>1628</v>
      </c>
      <c r="D852" s="16" t="s">
        <v>1629</v>
      </c>
      <c r="E852" s="10" t="s">
        <v>1318</v>
      </c>
      <c r="F852" t="s">
        <v>2661</v>
      </c>
      <c r="G852" s="16" t="s">
        <v>34</v>
      </c>
      <c r="H852" s="10" t="s">
        <v>17</v>
      </c>
      <c r="I852" s="10" t="s">
        <v>1649</v>
      </c>
      <c r="J852" s="10" t="s">
        <v>1650</v>
      </c>
      <c r="K852" s="10">
        <v>3</v>
      </c>
      <c r="L852" s="10">
        <v>3</v>
      </c>
      <c r="M852" s="53"/>
      <c r="N852" s="10">
        <v>3961.1</v>
      </c>
      <c r="P852" s="10">
        <v>6387.04</v>
      </c>
      <c r="W852" s="10">
        <v>3788.04</v>
      </c>
      <c r="Y852" s="10">
        <v>5886.06</v>
      </c>
      <c r="AA852" s="10">
        <v>328.16</v>
      </c>
      <c r="AD852" s="14">
        <f t="shared" si="105"/>
        <v>0.95631011587690284</v>
      </c>
      <c r="AE852" s="14">
        <f t="shared" si="111"/>
        <v>0.92156304015631663</v>
      </c>
      <c r="AF852" s="14">
        <f t="shared" si="112"/>
        <v>0.37368988412309723</v>
      </c>
      <c r="AI852" s="10">
        <v>1.33</v>
      </c>
      <c r="AM852"/>
      <c r="AQ852" s="10">
        <v>140</v>
      </c>
      <c r="AR852" s="10" t="s">
        <v>14</v>
      </c>
      <c r="AT852" s="10" t="s">
        <v>3</v>
      </c>
      <c r="AU852" s="10" t="s">
        <v>2</v>
      </c>
      <c r="AV852" s="10" t="s">
        <v>3</v>
      </c>
      <c r="AW852" s="10" t="s">
        <v>1651</v>
      </c>
    </row>
    <row r="853" spans="1:50" x14ac:dyDescent="0.3">
      <c r="A853" s="26" t="s">
        <v>1595</v>
      </c>
      <c r="B853" s="10" t="s">
        <v>81</v>
      </c>
      <c r="C853" s="10" t="s">
        <v>1653</v>
      </c>
      <c r="D853" s="16" t="s">
        <v>1652</v>
      </c>
      <c r="E853" s="10">
        <v>2012</v>
      </c>
      <c r="F853" t="s">
        <v>2661</v>
      </c>
      <c r="G853" s="16" t="s">
        <v>1656</v>
      </c>
      <c r="H853" s="10" t="s">
        <v>17</v>
      </c>
      <c r="I853" s="10" t="s">
        <v>1009</v>
      </c>
      <c r="J853" s="10" t="s">
        <v>736</v>
      </c>
      <c r="K853" s="10">
        <v>3</v>
      </c>
      <c r="L853" s="10">
        <v>3</v>
      </c>
      <c r="N853" s="10">
        <v>6.13</v>
      </c>
      <c r="O853" s="10"/>
      <c r="P853" s="10">
        <v>16.5</v>
      </c>
      <c r="Q853" s="10"/>
      <c r="R853" s="10"/>
      <c r="S853" s="10"/>
      <c r="T853" s="10"/>
      <c r="U853" s="10"/>
      <c r="V853" s="10"/>
      <c r="W853" s="10">
        <v>6.8</v>
      </c>
      <c r="X853" s="10"/>
      <c r="Y853" s="10">
        <v>16.43</v>
      </c>
      <c r="Z853" s="10"/>
      <c r="AA853" s="10"/>
      <c r="AB853" s="10"/>
      <c r="AC853" s="10"/>
      <c r="AD853" s="14">
        <f t="shared" si="105"/>
        <v>1.1092985318107667</v>
      </c>
      <c r="AE853" s="14">
        <f t="shared" si="111"/>
        <v>0.99575757575757573</v>
      </c>
      <c r="AF853" s="10"/>
      <c r="AG853" s="10"/>
      <c r="AH853" s="10"/>
      <c r="AI853" s="14">
        <f>AD853+AE853</f>
        <v>2.1050561075683425</v>
      </c>
      <c r="AJ853" s="10"/>
      <c r="AK853" s="10"/>
      <c r="AL853" s="10"/>
      <c r="AN853" s="10"/>
      <c r="AO853" s="10"/>
      <c r="AP853" s="10"/>
      <c r="AQ853" s="10">
        <v>0</v>
      </c>
      <c r="AR853" s="10" t="s">
        <v>14</v>
      </c>
      <c r="AS853" s="10" t="s">
        <v>2</v>
      </c>
      <c r="AT853" s="10" t="s">
        <v>3</v>
      </c>
      <c r="AU853" s="10" t="s">
        <v>2</v>
      </c>
      <c r="AV853" s="10" t="s">
        <v>3</v>
      </c>
      <c r="AW853" s="10"/>
    </row>
    <row r="854" spans="1:50" x14ac:dyDescent="0.3">
      <c r="A854" s="26" t="s">
        <v>1595</v>
      </c>
      <c r="B854" s="10" t="s">
        <v>81</v>
      </c>
      <c r="C854" s="10" t="s">
        <v>1653</v>
      </c>
      <c r="D854" s="16" t="s">
        <v>1652</v>
      </c>
      <c r="E854" s="10">
        <v>2012</v>
      </c>
      <c r="F854" t="s">
        <v>2661</v>
      </c>
      <c r="G854" s="16" t="s">
        <v>1656</v>
      </c>
      <c r="H854" s="10" t="s">
        <v>17</v>
      </c>
      <c r="I854" s="10" t="s">
        <v>1654</v>
      </c>
      <c r="J854" s="10" t="s">
        <v>736</v>
      </c>
      <c r="K854" s="10">
        <v>3</v>
      </c>
      <c r="L854" s="10">
        <v>3</v>
      </c>
      <c r="N854" s="10">
        <v>6.93</v>
      </c>
      <c r="O854" s="10"/>
      <c r="P854" s="10">
        <v>19</v>
      </c>
      <c r="Q854" s="10"/>
      <c r="R854" s="10"/>
      <c r="S854" s="10"/>
      <c r="T854" s="10"/>
      <c r="U854" s="10"/>
      <c r="V854" s="10"/>
      <c r="W854" s="10">
        <v>7.42</v>
      </c>
      <c r="X854" s="10"/>
      <c r="Y854" s="10">
        <v>18.899999999999999</v>
      </c>
      <c r="Z854" s="10"/>
      <c r="AA854" s="10"/>
      <c r="AB854" s="10"/>
      <c r="AC854" s="10"/>
      <c r="AD854" s="14">
        <f t="shared" si="105"/>
        <v>1.0707070707070707</v>
      </c>
      <c r="AE854" s="14">
        <f t="shared" si="111"/>
        <v>0.99473684210526303</v>
      </c>
      <c r="AF854" s="10"/>
      <c r="AG854" s="10"/>
      <c r="AH854" s="10"/>
      <c r="AI854" s="14">
        <f t="shared" ref="AI854:AI876" si="113">AD854+AE854</f>
        <v>2.0654439128123339</v>
      </c>
      <c r="AJ854" s="10"/>
      <c r="AK854" s="10"/>
      <c r="AL854" s="10"/>
      <c r="AN854" s="10"/>
      <c r="AO854" s="10"/>
      <c r="AP854" s="10"/>
      <c r="AQ854" s="10">
        <v>120</v>
      </c>
      <c r="AR854" s="10" t="s">
        <v>14</v>
      </c>
      <c r="AS854" s="10" t="s">
        <v>2</v>
      </c>
      <c r="AT854" s="10" t="s">
        <v>3</v>
      </c>
      <c r="AU854" s="10" t="s">
        <v>2</v>
      </c>
      <c r="AV854" s="10" t="s">
        <v>3</v>
      </c>
      <c r="AW854" s="10"/>
    </row>
    <row r="855" spans="1:50" x14ac:dyDescent="0.3">
      <c r="A855" s="26" t="s">
        <v>1595</v>
      </c>
      <c r="B855" s="10" t="s">
        <v>81</v>
      </c>
      <c r="C855" s="10" t="s">
        <v>1653</v>
      </c>
      <c r="D855" s="16" t="s">
        <v>1652</v>
      </c>
      <c r="E855">
        <v>2012</v>
      </c>
      <c r="F855" t="s">
        <v>2661</v>
      </c>
      <c r="G855" s="16" t="s">
        <v>1656</v>
      </c>
      <c r="H855" s="10" t="s">
        <v>17</v>
      </c>
      <c r="I855" s="10" t="s">
        <v>1655</v>
      </c>
      <c r="J855" s="10" t="s">
        <v>736</v>
      </c>
      <c r="K855" s="10">
        <v>3</v>
      </c>
      <c r="L855" s="10">
        <v>3</v>
      </c>
      <c r="N855" s="10">
        <v>7</v>
      </c>
      <c r="P855" s="10">
        <v>19.809999999999999</v>
      </c>
      <c r="W855" s="10">
        <v>7.87</v>
      </c>
      <c r="Y855" s="10">
        <v>21.56</v>
      </c>
      <c r="AD855" s="14">
        <f t="shared" si="105"/>
        <v>1.1242857142857143</v>
      </c>
      <c r="AE855" s="14">
        <f t="shared" si="111"/>
        <v>1.088339222614841</v>
      </c>
      <c r="AI855" s="3">
        <f t="shared" si="113"/>
        <v>2.2126249369005553</v>
      </c>
      <c r="AQ855" s="10">
        <v>240</v>
      </c>
      <c r="AR855" s="10" t="s">
        <v>14</v>
      </c>
      <c r="AS855" t="s">
        <v>2</v>
      </c>
      <c r="AT855" s="10" t="s">
        <v>3</v>
      </c>
      <c r="AU855" s="10" t="s">
        <v>2</v>
      </c>
      <c r="AV855" s="10" t="s">
        <v>3</v>
      </c>
    </row>
    <row r="856" spans="1:50" x14ac:dyDescent="0.3">
      <c r="A856" s="26" t="s">
        <v>1595</v>
      </c>
      <c r="B856" s="10" t="s">
        <v>81</v>
      </c>
      <c r="C856" s="10" t="s">
        <v>1653</v>
      </c>
      <c r="D856" s="16" t="s">
        <v>1652</v>
      </c>
      <c r="E856">
        <v>2013</v>
      </c>
      <c r="F856" t="s">
        <v>2661</v>
      </c>
      <c r="G856" s="16" t="s">
        <v>1656</v>
      </c>
      <c r="H856" s="10" t="s">
        <v>17</v>
      </c>
      <c r="I856" s="10" t="s">
        <v>1009</v>
      </c>
      <c r="J856" s="10" t="s">
        <v>736</v>
      </c>
      <c r="K856" s="10">
        <v>3</v>
      </c>
      <c r="L856" s="10">
        <v>3</v>
      </c>
      <c r="N856" s="10">
        <v>5.7</v>
      </c>
      <c r="P856" s="10">
        <v>13.8</v>
      </c>
      <c r="W856" s="10">
        <v>6.32</v>
      </c>
      <c r="Y856" s="10">
        <v>10.66</v>
      </c>
      <c r="AD856" s="14">
        <f t="shared" si="105"/>
        <v>1.1087719298245615</v>
      </c>
      <c r="AE856" s="14">
        <f t="shared" si="111"/>
        <v>0.77246376811594197</v>
      </c>
      <c r="AI856" s="3">
        <f t="shared" si="113"/>
        <v>1.8812356979405034</v>
      </c>
      <c r="AQ856" s="10">
        <v>0</v>
      </c>
      <c r="AR856" s="10" t="s">
        <v>14</v>
      </c>
      <c r="AS856" t="s">
        <v>2</v>
      </c>
      <c r="AT856" s="10" t="s">
        <v>3</v>
      </c>
      <c r="AU856" s="10" t="s">
        <v>2</v>
      </c>
      <c r="AV856" s="10" t="s">
        <v>3</v>
      </c>
    </row>
    <row r="857" spans="1:50" x14ac:dyDescent="0.3">
      <c r="A857" s="26" t="s">
        <v>1595</v>
      </c>
      <c r="B857" s="10" t="s">
        <v>81</v>
      </c>
      <c r="C857" s="10" t="s">
        <v>1653</v>
      </c>
      <c r="D857" s="16" t="s">
        <v>1652</v>
      </c>
      <c r="E857">
        <v>2013</v>
      </c>
      <c r="F857" t="s">
        <v>2661</v>
      </c>
      <c r="G857" s="16" t="s">
        <v>1656</v>
      </c>
      <c r="H857" s="10" t="s">
        <v>17</v>
      </c>
      <c r="I857" s="10" t="s">
        <v>1654</v>
      </c>
      <c r="J857" s="10" t="s">
        <v>736</v>
      </c>
      <c r="K857" s="10">
        <v>3</v>
      </c>
      <c r="L857" s="10">
        <v>3</v>
      </c>
      <c r="N857" s="10">
        <v>6.06</v>
      </c>
      <c r="P857" s="10">
        <v>14.4</v>
      </c>
      <c r="W857" s="10">
        <v>6.63</v>
      </c>
      <c r="Y857" s="10">
        <v>14.35</v>
      </c>
      <c r="AD857" s="14">
        <f t="shared" si="105"/>
        <v>1.0940594059405941</v>
      </c>
      <c r="AE857" s="14">
        <f t="shared" si="111"/>
        <v>0.99652777777777768</v>
      </c>
      <c r="AI857" s="3">
        <f t="shared" si="113"/>
        <v>2.0905871837183718</v>
      </c>
      <c r="AQ857" s="10">
        <v>120</v>
      </c>
      <c r="AR857" s="10" t="s">
        <v>14</v>
      </c>
      <c r="AS857" t="s">
        <v>2</v>
      </c>
      <c r="AT857" s="10" t="s">
        <v>3</v>
      </c>
      <c r="AU857" s="10" t="s">
        <v>2</v>
      </c>
      <c r="AV857" s="10" t="s">
        <v>3</v>
      </c>
    </row>
    <row r="858" spans="1:50" x14ac:dyDescent="0.3">
      <c r="A858" s="26" t="s">
        <v>1595</v>
      </c>
      <c r="B858" s="10" t="s">
        <v>81</v>
      </c>
      <c r="C858" s="10" t="s">
        <v>1653</v>
      </c>
      <c r="D858" s="16" t="s">
        <v>1652</v>
      </c>
      <c r="E858">
        <v>2013</v>
      </c>
      <c r="F858" t="s">
        <v>2661</v>
      </c>
      <c r="G858" s="16" t="s">
        <v>1656</v>
      </c>
      <c r="H858" s="10" t="s">
        <v>17</v>
      </c>
      <c r="I858" s="10" t="s">
        <v>1655</v>
      </c>
      <c r="J858" s="10" t="s">
        <v>736</v>
      </c>
      <c r="K858" s="10">
        <v>3</v>
      </c>
      <c r="L858" s="10">
        <v>3</v>
      </c>
      <c r="N858" s="10">
        <v>6.08</v>
      </c>
      <c r="P858" s="10">
        <v>14.45</v>
      </c>
      <c r="W858" s="10">
        <v>8.0299999999999994</v>
      </c>
      <c r="Y858" s="10">
        <v>15.32</v>
      </c>
      <c r="AD858" s="14">
        <f t="shared" si="105"/>
        <v>1.3207236842105261</v>
      </c>
      <c r="AE858" s="14">
        <f t="shared" si="111"/>
        <v>1.0602076124567474</v>
      </c>
      <c r="AI858" s="3">
        <f t="shared" si="113"/>
        <v>2.3809312966672733</v>
      </c>
      <c r="AQ858" s="10">
        <v>240</v>
      </c>
      <c r="AR858" s="10" t="s">
        <v>14</v>
      </c>
      <c r="AS858" t="s">
        <v>2</v>
      </c>
      <c r="AT858" s="10" t="s">
        <v>3</v>
      </c>
      <c r="AU858" s="10" t="s">
        <v>2</v>
      </c>
      <c r="AV858" s="10" t="s">
        <v>3</v>
      </c>
    </row>
    <row r="859" spans="1:50" x14ac:dyDescent="0.3">
      <c r="A859" s="26" t="s">
        <v>1596</v>
      </c>
      <c r="B859" s="10" t="s">
        <v>1631</v>
      </c>
      <c r="D859" s="16" t="s">
        <v>1657</v>
      </c>
      <c r="E859" t="s">
        <v>1658</v>
      </c>
      <c r="F859" t="s">
        <v>2661</v>
      </c>
      <c r="G859" s="16" t="s">
        <v>22</v>
      </c>
      <c r="H859" s="10" t="s">
        <v>17</v>
      </c>
      <c r="I859" s="10" t="s">
        <v>1660</v>
      </c>
      <c r="J859" s="10" t="s">
        <v>1659</v>
      </c>
      <c r="K859" s="10">
        <v>3</v>
      </c>
      <c r="L859" s="10">
        <v>3</v>
      </c>
      <c r="N859" s="10">
        <v>4.28</v>
      </c>
      <c r="P859" s="10">
        <v>1.48</v>
      </c>
      <c r="R859" s="10"/>
      <c r="T859" s="10"/>
      <c r="W859" s="10">
        <v>4.0599999999999996</v>
      </c>
      <c r="Y859" s="10">
        <v>0.94</v>
      </c>
      <c r="AA859" s="10"/>
      <c r="AD859" s="14">
        <f t="shared" si="105"/>
        <v>0.94859813084112132</v>
      </c>
      <c r="AE859" s="14">
        <f t="shared" si="111"/>
        <v>0.63513513513513509</v>
      </c>
      <c r="AF859" s="3"/>
      <c r="AG859" s="3"/>
      <c r="AI859" s="3">
        <f t="shared" si="113"/>
        <v>1.5837332659762564</v>
      </c>
      <c r="AJ859" s="3"/>
      <c r="AK859" s="3"/>
      <c r="AQ859" s="10">
        <v>48</v>
      </c>
      <c r="AR859" s="10" t="s">
        <v>14</v>
      </c>
      <c r="AT859" s="10" t="s">
        <v>2</v>
      </c>
      <c r="AU859" s="10" t="s">
        <v>2</v>
      </c>
      <c r="AV859" s="10" t="s">
        <v>3</v>
      </c>
      <c r="AX859" s="10"/>
    </row>
    <row r="860" spans="1:50" x14ac:dyDescent="0.3">
      <c r="A860" s="26" t="s">
        <v>1596</v>
      </c>
      <c r="B860" s="10" t="s">
        <v>1631</v>
      </c>
      <c r="D860" s="16" t="s">
        <v>1657</v>
      </c>
      <c r="E860" t="s">
        <v>1658</v>
      </c>
      <c r="F860" t="s">
        <v>2661</v>
      </c>
      <c r="G860" s="16" t="s">
        <v>22</v>
      </c>
      <c r="H860" s="10" t="s">
        <v>17</v>
      </c>
      <c r="I860" s="10" t="s">
        <v>1661</v>
      </c>
      <c r="J860" s="10" t="s">
        <v>1659</v>
      </c>
      <c r="K860" s="10">
        <v>3</v>
      </c>
      <c r="L860" s="10">
        <v>3</v>
      </c>
      <c r="N860" s="10">
        <v>4.28</v>
      </c>
      <c r="P860" s="10">
        <v>1.48</v>
      </c>
      <c r="R860" s="10"/>
      <c r="T860" s="10"/>
      <c r="W860" s="10">
        <v>3.88</v>
      </c>
      <c r="Y860" s="10">
        <v>1.03</v>
      </c>
      <c r="AA860" s="10"/>
      <c r="AD860" s="14">
        <f t="shared" si="105"/>
        <v>0.90654205607476623</v>
      </c>
      <c r="AE860" s="14">
        <f t="shared" si="111"/>
        <v>0.69594594594594594</v>
      </c>
      <c r="AF860" s="3"/>
      <c r="AG860" s="3"/>
      <c r="AI860" s="3">
        <f t="shared" si="113"/>
        <v>1.6024880020207122</v>
      </c>
      <c r="AJ860" s="3"/>
      <c r="AK860" s="3"/>
      <c r="AQ860" s="10">
        <v>48</v>
      </c>
      <c r="AR860" s="10" t="s">
        <v>14</v>
      </c>
      <c r="AT860" s="10" t="s">
        <v>2</v>
      </c>
      <c r="AU860" s="10" t="s">
        <v>2</v>
      </c>
      <c r="AV860" s="10" t="s">
        <v>3</v>
      </c>
      <c r="AX860" s="10"/>
    </row>
    <row r="861" spans="1:50" x14ac:dyDescent="0.3">
      <c r="A861" s="26" t="s">
        <v>1596</v>
      </c>
      <c r="B861" s="10" t="s">
        <v>1631</v>
      </c>
      <c r="D861" s="16" t="s">
        <v>1657</v>
      </c>
      <c r="E861" t="s">
        <v>1658</v>
      </c>
      <c r="F861" t="s">
        <v>2661</v>
      </c>
      <c r="G861" s="16" t="s">
        <v>22</v>
      </c>
      <c r="H861" s="10" t="s">
        <v>17</v>
      </c>
      <c r="I861" s="10" t="s">
        <v>1662</v>
      </c>
      <c r="J861" s="10" t="s">
        <v>1659</v>
      </c>
      <c r="K861" s="10">
        <v>3</v>
      </c>
      <c r="L861" s="10">
        <v>3</v>
      </c>
      <c r="N861" s="10">
        <v>4.28</v>
      </c>
      <c r="P861" s="10">
        <v>1.48</v>
      </c>
      <c r="R861" s="10"/>
      <c r="T861" s="10"/>
      <c r="W861" s="10">
        <v>3.76</v>
      </c>
      <c r="Y861" s="10">
        <v>1.1299999999999999</v>
      </c>
      <c r="AA861" s="10"/>
      <c r="AD861" s="14">
        <f t="shared" si="105"/>
        <v>0.87850467289719614</v>
      </c>
      <c r="AE861" s="14">
        <f t="shared" si="111"/>
        <v>0.76351351351351349</v>
      </c>
      <c r="AF861" s="3"/>
      <c r="AG861" s="3"/>
      <c r="AI861" s="3">
        <f t="shared" si="113"/>
        <v>1.6420181864107097</v>
      </c>
      <c r="AJ861" s="3"/>
      <c r="AK861" s="3"/>
      <c r="AQ861" s="10">
        <v>48</v>
      </c>
      <c r="AR861" s="10" t="s">
        <v>14</v>
      </c>
      <c r="AT861" s="10" t="s">
        <v>2</v>
      </c>
      <c r="AU861" s="10" t="s">
        <v>2</v>
      </c>
      <c r="AV861" s="10" t="s">
        <v>3</v>
      </c>
      <c r="AX861" s="10"/>
    </row>
    <row r="862" spans="1:50" x14ac:dyDescent="0.3">
      <c r="A862" s="26" t="s">
        <v>1596</v>
      </c>
      <c r="B862" s="10" t="s">
        <v>1631</v>
      </c>
      <c r="D862" s="16" t="s">
        <v>1657</v>
      </c>
      <c r="E862" t="s">
        <v>1658</v>
      </c>
      <c r="F862" t="s">
        <v>2661</v>
      </c>
      <c r="G862" s="16" t="s">
        <v>22</v>
      </c>
      <c r="H862" s="10" t="s">
        <v>17</v>
      </c>
      <c r="I862" s="10" t="s">
        <v>1663</v>
      </c>
      <c r="J862" s="10" t="s">
        <v>1659</v>
      </c>
      <c r="K862" s="10">
        <v>3</v>
      </c>
      <c r="L862" s="10">
        <v>3</v>
      </c>
      <c r="N862" s="10">
        <v>4.28</v>
      </c>
      <c r="P862" s="10">
        <v>1.48</v>
      </c>
      <c r="R862" s="10"/>
      <c r="T862" s="10"/>
      <c r="W862" s="10">
        <v>3.82</v>
      </c>
      <c r="Y862" s="10">
        <v>1.34</v>
      </c>
      <c r="AA862" s="10"/>
      <c r="AD862" s="14">
        <f t="shared" si="105"/>
        <v>0.89252336448598124</v>
      </c>
      <c r="AE862" s="14">
        <f t="shared" si="111"/>
        <v>0.90540540540540548</v>
      </c>
      <c r="AF862" s="3"/>
      <c r="AG862" s="3"/>
      <c r="AI862" s="3">
        <f t="shared" si="113"/>
        <v>1.7979287698913868</v>
      </c>
      <c r="AJ862" s="3"/>
      <c r="AK862" s="3"/>
      <c r="AQ862" s="10">
        <v>48</v>
      </c>
      <c r="AR862" s="10" t="s">
        <v>14</v>
      </c>
      <c r="AT862" s="10" t="s">
        <v>2</v>
      </c>
      <c r="AU862" s="10" t="s">
        <v>2</v>
      </c>
      <c r="AV862" s="10" t="s">
        <v>3</v>
      </c>
      <c r="AX862" s="10"/>
    </row>
    <row r="863" spans="1:50" x14ac:dyDescent="0.3">
      <c r="A863" s="26" t="s">
        <v>1596</v>
      </c>
      <c r="B863" s="10" t="s">
        <v>1631</v>
      </c>
      <c r="D863" s="16" t="s">
        <v>1657</v>
      </c>
      <c r="E863" t="s">
        <v>1658</v>
      </c>
      <c r="F863" t="s">
        <v>2661</v>
      </c>
      <c r="G863" s="16" t="s">
        <v>34</v>
      </c>
      <c r="H863" s="10" t="s">
        <v>17</v>
      </c>
      <c r="I863" s="10" t="s">
        <v>1660</v>
      </c>
      <c r="J863" s="10" t="s">
        <v>1659</v>
      </c>
      <c r="K863" s="10">
        <v>3</v>
      </c>
      <c r="L863" s="10">
        <v>3</v>
      </c>
      <c r="N863" s="10">
        <v>4.28</v>
      </c>
      <c r="P863" s="10">
        <v>1.48</v>
      </c>
      <c r="R863" s="10"/>
      <c r="T863" s="10"/>
      <c r="W863" s="10">
        <v>4.26</v>
      </c>
      <c r="Y863" s="10">
        <v>1.26</v>
      </c>
      <c r="AA863" s="10"/>
      <c r="AD863" s="14">
        <f t="shared" si="105"/>
        <v>0.99532710280373826</v>
      </c>
      <c r="AE863" s="14">
        <f t="shared" si="111"/>
        <v>0.85135135135135132</v>
      </c>
      <c r="AF863" s="3"/>
      <c r="AG863" s="3"/>
      <c r="AI863" s="3">
        <f t="shared" si="113"/>
        <v>1.8466784541550896</v>
      </c>
      <c r="AJ863" s="3"/>
      <c r="AK863" s="3"/>
      <c r="AQ863" s="10">
        <v>48</v>
      </c>
      <c r="AR863" s="10" t="s">
        <v>14</v>
      </c>
      <c r="AT863" s="10" t="s">
        <v>2</v>
      </c>
      <c r="AU863" s="10" t="s">
        <v>2</v>
      </c>
      <c r="AV863" s="10" t="s">
        <v>3</v>
      </c>
      <c r="AX863" s="10"/>
    </row>
    <row r="864" spans="1:50" x14ac:dyDescent="0.3">
      <c r="A864" s="26" t="s">
        <v>1596</v>
      </c>
      <c r="B864" s="10" t="s">
        <v>1631</v>
      </c>
      <c r="D864" s="16" t="s">
        <v>1657</v>
      </c>
      <c r="E864" t="s">
        <v>1658</v>
      </c>
      <c r="F864" t="s">
        <v>2661</v>
      </c>
      <c r="G864" s="16" t="s">
        <v>34</v>
      </c>
      <c r="H864" s="10" t="s">
        <v>17</v>
      </c>
      <c r="I864" s="10" t="s">
        <v>1661</v>
      </c>
      <c r="J864" s="10" t="s">
        <v>1659</v>
      </c>
      <c r="K864" s="10">
        <v>3</v>
      </c>
      <c r="L864" s="10">
        <v>3</v>
      </c>
      <c r="N864" s="10">
        <v>4.28</v>
      </c>
      <c r="P864" s="10">
        <v>1.48</v>
      </c>
      <c r="R864" s="10"/>
      <c r="T864" s="10"/>
      <c r="W864" s="10">
        <v>4.3899999999999997</v>
      </c>
      <c r="Y864" s="10">
        <v>1.25</v>
      </c>
      <c r="AA864" s="10"/>
      <c r="AD864" s="14">
        <f t="shared" si="105"/>
        <v>1.0257009345794392</v>
      </c>
      <c r="AE864" s="14">
        <f t="shared" si="111"/>
        <v>0.84459459459459463</v>
      </c>
      <c r="AF864" s="3"/>
      <c r="AG864" s="3"/>
      <c r="AI864" s="3">
        <f t="shared" si="113"/>
        <v>1.870295529174034</v>
      </c>
      <c r="AJ864" s="3"/>
      <c r="AK864" s="3"/>
      <c r="AQ864" s="10">
        <v>48</v>
      </c>
      <c r="AR864" s="10" t="s">
        <v>14</v>
      </c>
      <c r="AT864" s="10" t="s">
        <v>2</v>
      </c>
      <c r="AU864" s="10" t="s">
        <v>2</v>
      </c>
      <c r="AV864" s="10" t="s">
        <v>3</v>
      </c>
      <c r="AX864" s="10"/>
    </row>
    <row r="865" spans="1:50" x14ac:dyDescent="0.3">
      <c r="A865" s="26" t="s">
        <v>1596</v>
      </c>
      <c r="B865" s="10" t="s">
        <v>1631</v>
      </c>
      <c r="D865" s="16" t="s">
        <v>1657</v>
      </c>
      <c r="E865" t="s">
        <v>1658</v>
      </c>
      <c r="F865" t="s">
        <v>2661</v>
      </c>
      <c r="G865" s="16" t="s">
        <v>34</v>
      </c>
      <c r="H865" s="10" t="s">
        <v>17</v>
      </c>
      <c r="I865" s="10" t="s">
        <v>1662</v>
      </c>
      <c r="J865" s="10" t="s">
        <v>1659</v>
      </c>
      <c r="K865" s="10">
        <v>3</v>
      </c>
      <c r="L865" s="10">
        <v>3</v>
      </c>
      <c r="N865" s="10">
        <v>4.28</v>
      </c>
      <c r="P865" s="10">
        <v>1.48</v>
      </c>
      <c r="R865" s="10"/>
      <c r="T865" s="10"/>
      <c r="W865" s="10">
        <v>3.23</v>
      </c>
      <c r="Y865" s="10">
        <v>1.34</v>
      </c>
      <c r="AA865" s="10"/>
      <c r="AD865" s="14">
        <f t="shared" si="105"/>
        <v>0.75467289719626163</v>
      </c>
      <c r="AE865" s="14">
        <f t="shared" si="111"/>
        <v>0.90540540540540548</v>
      </c>
      <c r="AF865" s="3"/>
      <c r="AG865" s="3"/>
      <c r="AI865" s="3">
        <f t="shared" si="113"/>
        <v>1.6600783026016672</v>
      </c>
      <c r="AJ865" s="3"/>
      <c r="AK865" s="3"/>
      <c r="AQ865" s="10">
        <v>48</v>
      </c>
      <c r="AR865" s="10" t="s">
        <v>14</v>
      </c>
      <c r="AT865" s="10" t="s">
        <v>2</v>
      </c>
      <c r="AU865" s="10" t="s">
        <v>2</v>
      </c>
      <c r="AV865" s="10" t="s">
        <v>3</v>
      </c>
      <c r="AX865" s="10"/>
    </row>
    <row r="866" spans="1:50" x14ac:dyDescent="0.3">
      <c r="A866" s="26" t="s">
        <v>1596</v>
      </c>
      <c r="B866" s="10" t="s">
        <v>1631</v>
      </c>
      <c r="D866" s="16" t="s">
        <v>1657</v>
      </c>
      <c r="E866" t="s">
        <v>1658</v>
      </c>
      <c r="F866" t="s">
        <v>2661</v>
      </c>
      <c r="G866" s="16" t="s">
        <v>34</v>
      </c>
      <c r="H866" s="10" t="s">
        <v>17</v>
      </c>
      <c r="I866" s="10" t="s">
        <v>1663</v>
      </c>
      <c r="J866" s="10" t="s">
        <v>1659</v>
      </c>
      <c r="K866" s="10">
        <v>3</v>
      </c>
      <c r="L866" s="10">
        <v>3</v>
      </c>
      <c r="N866" s="10">
        <v>4.28</v>
      </c>
      <c r="P866" s="10">
        <v>1.48</v>
      </c>
      <c r="R866" s="10"/>
      <c r="T866" s="10"/>
      <c r="W866" s="10">
        <v>3.24</v>
      </c>
      <c r="Y866" s="10">
        <v>1.48</v>
      </c>
      <c r="AA866" s="10"/>
      <c r="AD866" s="14">
        <f t="shared" si="105"/>
        <v>0.7570093457943925</v>
      </c>
      <c r="AE866" s="14">
        <f t="shared" si="111"/>
        <v>1</v>
      </c>
      <c r="AF866" s="3"/>
      <c r="AG866" s="3"/>
      <c r="AI866" s="3">
        <f t="shared" si="113"/>
        <v>1.7570093457943925</v>
      </c>
      <c r="AJ866" s="3"/>
      <c r="AK866" s="3"/>
      <c r="AQ866" s="10">
        <v>48</v>
      </c>
      <c r="AR866" s="10" t="s">
        <v>14</v>
      </c>
      <c r="AT866" s="10" t="s">
        <v>2</v>
      </c>
      <c r="AU866" s="10" t="s">
        <v>2</v>
      </c>
      <c r="AV866" s="10" t="s">
        <v>3</v>
      </c>
      <c r="AX866" s="10"/>
    </row>
    <row r="867" spans="1:50" x14ac:dyDescent="0.3">
      <c r="A867" s="26" t="s">
        <v>1597</v>
      </c>
      <c r="B867" s="10" t="s">
        <v>0</v>
      </c>
      <c r="E867">
        <v>2003</v>
      </c>
      <c r="F867" t="s">
        <v>2661</v>
      </c>
      <c r="G867" s="16" t="s">
        <v>34</v>
      </c>
      <c r="H867" s="10" t="s">
        <v>17</v>
      </c>
      <c r="I867" s="10" t="s">
        <v>1665</v>
      </c>
      <c r="J867" s="10" t="s">
        <v>1664</v>
      </c>
      <c r="K867" s="10">
        <v>4</v>
      </c>
      <c r="L867" s="10">
        <v>4</v>
      </c>
      <c r="N867" s="10">
        <v>1.6</v>
      </c>
      <c r="P867" s="10">
        <v>2.4</v>
      </c>
      <c r="W867" s="10">
        <v>1.9</v>
      </c>
      <c r="Y867" s="10">
        <v>0.4</v>
      </c>
      <c r="AD867" s="14">
        <f t="shared" si="105"/>
        <v>1.1874999999999998</v>
      </c>
      <c r="AE867" s="14">
        <f t="shared" si="111"/>
        <v>0.16666666666666669</v>
      </c>
      <c r="AI867" s="3">
        <f t="shared" si="113"/>
        <v>1.3541666666666665</v>
      </c>
      <c r="AU867" s="10" t="s">
        <v>2</v>
      </c>
      <c r="AV867" s="10" t="s">
        <v>3</v>
      </c>
      <c r="AW867" t="s">
        <v>1627</v>
      </c>
    </row>
    <row r="868" spans="1:50" x14ac:dyDescent="0.3">
      <c r="A868" s="26" t="s">
        <v>1597</v>
      </c>
      <c r="B868" s="10" t="s">
        <v>0</v>
      </c>
      <c r="E868">
        <v>2003</v>
      </c>
      <c r="F868" t="s">
        <v>2661</v>
      </c>
      <c r="G868" s="16" t="s">
        <v>34</v>
      </c>
      <c r="H868" s="10" t="s">
        <v>17</v>
      </c>
      <c r="I868" s="10" t="s">
        <v>1666</v>
      </c>
      <c r="J868" s="10" t="s">
        <v>1664</v>
      </c>
      <c r="K868" s="10">
        <v>4</v>
      </c>
      <c r="L868" s="10">
        <v>4</v>
      </c>
      <c r="N868" s="10">
        <v>1.6</v>
      </c>
      <c r="P868" s="10">
        <v>2.4</v>
      </c>
      <c r="W868" s="10">
        <v>1.9</v>
      </c>
      <c r="Y868" s="10">
        <v>0.8</v>
      </c>
      <c r="AD868" s="14">
        <f t="shared" si="105"/>
        <v>1.1874999999999998</v>
      </c>
      <c r="AE868" s="14">
        <f t="shared" si="111"/>
        <v>0.33333333333333337</v>
      </c>
      <c r="AI868" s="3">
        <f t="shared" si="113"/>
        <v>1.520833333333333</v>
      </c>
      <c r="AU868" s="10" t="s">
        <v>2</v>
      </c>
      <c r="AV868" s="10" t="s">
        <v>3</v>
      </c>
      <c r="AW868" t="s">
        <v>1627</v>
      </c>
    </row>
    <row r="869" spans="1:50" x14ac:dyDescent="0.3">
      <c r="A869" s="26" t="s">
        <v>1597</v>
      </c>
      <c r="B869" s="10" t="s">
        <v>0</v>
      </c>
      <c r="E869">
        <v>2003</v>
      </c>
      <c r="F869" t="s">
        <v>2661</v>
      </c>
      <c r="G869" s="16" t="s">
        <v>34</v>
      </c>
      <c r="H869" s="10" t="s">
        <v>17</v>
      </c>
      <c r="I869" s="10" t="s">
        <v>1667</v>
      </c>
      <c r="J869" s="10" t="s">
        <v>1664</v>
      </c>
      <c r="K869" s="10">
        <v>4</v>
      </c>
      <c r="L869" s="10">
        <v>4</v>
      </c>
      <c r="N869" s="10">
        <v>1.6</v>
      </c>
      <c r="P869" s="10">
        <v>2.4</v>
      </c>
      <c r="W869" s="10">
        <v>1.6</v>
      </c>
      <c r="Y869" s="10">
        <v>1.1000000000000001</v>
      </c>
      <c r="AD869" s="14">
        <f t="shared" si="105"/>
        <v>1</v>
      </c>
      <c r="AE869" s="14">
        <f t="shared" si="111"/>
        <v>0.45833333333333337</v>
      </c>
      <c r="AI869" s="3">
        <f t="shared" si="113"/>
        <v>1.4583333333333335</v>
      </c>
      <c r="AU869" s="10" t="s">
        <v>2</v>
      </c>
      <c r="AV869" s="10" t="s">
        <v>3</v>
      </c>
      <c r="AW869" t="s">
        <v>1627</v>
      </c>
    </row>
    <row r="870" spans="1:50" x14ac:dyDescent="0.3">
      <c r="A870" s="26" t="s">
        <v>1597</v>
      </c>
      <c r="B870" s="10" t="s">
        <v>0</v>
      </c>
      <c r="E870">
        <v>2004</v>
      </c>
      <c r="F870" t="s">
        <v>2661</v>
      </c>
      <c r="G870" s="16" t="s">
        <v>34</v>
      </c>
      <c r="H870" s="10" t="s">
        <v>17</v>
      </c>
      <c r="I870" s="10" t="s">
        <v>1665</v>
      </c>
      <c r="J870" s="10" t="s">
        <v>1664</v>
      </c>
      <c r="K870" s="10">
        <v>4</v>
      </c>
      <c r="L870" s="10">
        <v>4</v>
      </c>
      <c r="N870" s="10">
        <v>2</v>
      </c>
      <c r="P870" s="10">
        <v>2.2000000000000002</v>
      </c>
      <c r="W870" s="10">
        <v>1.4</v>
      </c>
      <c r="Y870" s="10">
        <v>0.9</v>
      </c>
      <c r="AD870" s="14">
        <f t="shared" si="105"/>
        <v>0.7</v>
      </c>
      <c r="AE870" s="14">
        <f t="shared" si="111"/>
        <v>0.40909090909090906</v>
      </c>
      <c r="AI870" s="3">
        <f t="shared" si="113"/>
        <v>1.1090909090909089</v>
      </c>
      <c r="AU870" s="10" t="s">
        <v>2</v>
      </c>
      <c r="AV870" s="10" t="s">
        <v>3</v>
      </c>
      <c r="AW870" t="s">
        <v>1627</v>
      </c>
    </row>
    <row r="871" spans="1:50" x14ac:dyDescent="0.3">
      <c r="A871" s="26" t="s">
        <v>1597</v>
      </c>
      <c r="B871" s="10" t="s">
        <v>0</v>
      </c>
      <c r="E871">
        <v>2004</v>
      </c>
      <c r="F871" t="s">
        <v>2661</v>
      </c>
      <c r="G871" s="16" t="s">
        <v>34</v>
      </c>
      <c r="H871" s="10" t="s">
        <v>17</v>
      </c>
      <c r="I871" s="10" t="s">
        <v>1666</v>
      </c>
      <c r="J871" s="10" t="s">
        <v>1664</v>
      </c>
      <c r="K871" s="10">
        <v>4</v>
      </c>
      <c r="L871" s="10">
        <v>4</v>
      </c>
      <c r="N871" s="10">
        <v>2</v>
      </c>
      <c r="P871" s="10">
        <v>2.2000000000000002</v>
      </c>
      <c r="W871" s="10">
        <v>1.5</v>
      </c>
      <c r="Y871" s="10">
        <v>1.6</v>
      </c>
      <c r="AD871" s="14">
        <f t="shared" si="105"/>
        <v>0.75</v>
      </c>
      <c r="AE871" s="14">
        <f t="shared" si="111"/>
        <v>0.72727272727272729</v>
      </c>
      <c r="AI871" s="3">
        <f t="shared" si="113"/>
        <v>1.4772727272727273</v>
      </c>
      <c r="AU871" s="10" t="s">
        <v>2</v>
      </c>
      <c r="AV871" s="10" t="s">
        <v>3</v>
      </c>
      <c r="AW871" t="s">
        <v>1627</v>
      </c>
    </row>
    <row r="872" spans="1:50" x14ac:dyDescent="0.3">
      <c r="A872" s="26" t="s">
        <v>1597</v>
      </c>
      <c r="B872" s="10" t="s">
        <v>0</v>
      </c>
      <c r="E872">
        <v>2004</v>
      </c>
      <c r="F872" t="s">
        <v>2661</v>
      </c>
      <c r="G872" s="16" t="s">
        <v>34</v>
      </c>
      <c r="H872" s="10" t="s">
        <v>17</v>
      </c>
      <c r="I872" s="10" t="s">
        <v>1667</v>
      </c>
      <c r="J872" s="10" t="s">
        <v>1664</v>
      </c>
      <c r="K872" s="10">
        <v>4</v>
      </c>
      <c r="L872" s="10">
        <v>4</v>
      </c>
      <c r="N872" s="10">
        <v>2</v>
      </c>
      <c r="P872" s="10">
        <v>2.2000000000000002</v>
      </c>
      <c r="W872" s="10">
        <v>0.9</v>
      </c>
      <c r="Y872" s="10">
        <v>1.8</v>
      </c>
      <c r="AD872" s="14">
        <f t="shared" si="105"/>
        <v>0.45</v>
      </c>
      <c r="AE872" s="14">
        <f t="shared" si="111"/>
        <v>0.81818181818181812</v>
      </c>
      <c r="AI872" s="3">
        <f t="shared" si="113"/>
        <v>1.2681818181818181</v>
      </c>
      <c r="AU872" s="10" t="s">
        <v>2</v>
      </c>
      <c r="AV872" s="10" t="s">
        <v>3</v>
      </c>
      <c r="AW872" t="s">
        <v>1627</v>
      </c>
    </row>
    <row r="873" spans="1:50" x14ac:dyDescent="0.3">
      <c r="A873" s="26" t="s">
        <v>1597</v>
      </c>
      <c r="B873" s="10" t="s">
        <v>0</v>
      </c>
      <c r="E873">
        <v>2005</v>
      </c>
      <c r="F873" t="s">
        <v>2661</v>
      </c>
      <c r="G873" s="16" t="s">
        <v>34</v>
      </c>
      <c r="H873" s="10" t="s">
        <v>17</v>
      </c>
      <c r="I873" s="10" t="s">
        <v>1665</v>
      </c>
      <c r="J873" s="10" t="s">
        <v>1664</v>
      </c>
      <c r="K873" s="10">
        <v>4</v>
      </c>
      <c r="L873" s="10">
        <v>4</v>
      </c>
      <c r="N873" s="10">
        <v>2.2999999999999998</v>
      </c>
      <c r="P873" s="10">
        <v>1.8</v>
      </c>
      <c r="W873" s="10">
        <v>1.8</v>
      </c>
      <c r="Y873" s="10">
        <v>0.5</v>
      </c>
      <c r="AD873" s="14">
        <f t="shared" si="105"/>
        <v>0.78260869565217395</v>
      </c>
      <c r="AE873" s="14">
        <f t="shared" si="111"/>
        <v>0.27777777777777779</v>
      </c>
      <c r="AI873" s="3">
        <f t="shared" si="113"/>
        <v>1.0603864734299517</v>
      </c>
      <c r="AU873" s="10" t="s">
        <v>2</v>
      </c>
      <c r="AV873" s="10" t="s">
        <v>3</v>
      </c>
      <c r="AW873" t="s">
        <v>1627</v>
      </c>
    </row>
    <row r="874" spans="1:50" x14ac:dyDescent="0.3">
      <c r="A874" s="26" t="s">
        <v>1597</v>
      </c>
      <c r="B874" s="10" t="s">
        <v>0</v>
      </c>
      <c r="E874">
        <v>2005</v>
      </c>
      <c r="F874" t="s">
        <v>2661</v>
      </c>
      <c r="G874" s="16" t="s">
        <v>34</v>
      </c>
      <c r="H874" s="10" t="s">
        <v>17</v>
      </c>
      <c r="I874" s="10" t="s">
        <v>1666</v>
      </c>
      <c r="J874" s="10" t="s">
        <v>1664</v>
      </c>
      <c r="K874" s="10">
        <v>4</v>
      </c>
      <c r="L874" s="10">
        <v>4</v>
      </c>
      <c r="N874" s="10">
        <v>2.2999999999999998</v>
      </c>
      <c r="P874" s="10">
        <v>1.8</v>
      </c>
      <c r="W874" s="10">
        <v>1.8</v>
      </c>
      <c r="Y874" s="10">
        <v>0.6</v>
      </c>
      <c r="AD874" s="14">
        <f t="shared" si="105"/>
        <v>0.78260869565217395</v>
      </c>
      <c r="AE874" s="14">
        <f t="shared" si="111"/>
        <v>0.33333333333333331</v>
      </c>
      <c r="AI874" s="3">
        <f t="shared" si="113"/>
        <v>1.1159420289855073</v>
      </c>
      <c r="AU874" s="10" t="s">
        <v>2</v>
      </c>
      <c r="AV874" s="10" t="s">
        <v>3</v>
      </c>
      <c r="AW874" t="s">
        <v>1627</v>
      </c>
    </row>
    <row r="875" spans="1:50" x14ac:dyDescent="0.3">
      <c r="A875" s="26" t="s">
        <v>1597</v>
      </c>
      <c r="B875" s="10" t="s">
        <v>0</v>
      </c>
      <c r="E875">
        <v>2005</v>
      </c>
      <c r="F875" t="s">
        <v>2661</v>
      </c>
      <c r="G875" s="16" t="s">
        <v>34</v>
      </c>
      <c r="H875" s="10" t="s">
        <v>17</v>
      </c>
      <c r="I875" s="10" t="s">
        <v>1667</v>
      </c>
      <c r="J875" s="10" t="s">
        <v>1664</v>
      </c>
      <c r="K875" s="10">
        <v>4</v>
      </c>
      <c r="L875" s="10">
        <v>4</v>
      </c>
      <c r="N875" s="10">
        <v>2.2999999999999998</v>
      </c>
      <c r="P875" s="10">
        <v>1.8</v>
      </c>
      <c r="W875" s="10">
        <v>1.6</v>
      </c>
      <c r="Y875" s="10">
        <v>0.9</v>
      </c>
      <c r="AD875" s="14">
        <f t="shared" si="105"/>
        <v>0.69565217391304357</v>
      </c>
      <c r="AE875" s="14">
        <f t="shared" si="111"/>
        <v>0.5</v>
      </c>
      <c r="AI875" s="3">
        <f t="shared" si="113"/>
        <v>1.1956521739130435</v>
      </c>
      <c r="AU875" s="10" t="s">
        <v>2</v>
      </c>
      <c r="AV875" s="10" t="s">
        <v>3</v>
      </c>
      <c r="AW875" t="s">
        <v>1627</v>
      </c>
    </row>
    <row r="876" spans="1:50" x14ac:dyDescent="0.3">
      <c r="A876" s="26" t="s">
        <v>1597</v>
      </c>
      <c r="B876" s="10" t="s">
        <v>0</v>
      </c>
      <c r="E876">
        <v>2003</v>
      </c>
      <c r="F876" t="s">
        <v>2661</v>
      </c>
      <c r="G876" s="16" t="s">
        <v>34</v>
      </c>
      <c r="H876" s="10" t="s">
        <v>17</v>
      </c>
      <c r="I876" s="10" t="s">
        <v>1668</v>
      </c>
      <c r="J876" s="10" t="s">
        <v>1664</v>
      </c>
      <c r="K876" s="10">
        <v>4</v>
      </c>
      <c r="L876" s="10">
        <v>4</v>
      </c>
      <c r="N876" s="10">
        <v>1.5</v>
      </c>
      <c r="P876" s="10">
        <v>2.1</v>
      </c>
      <c r="W876" s="10">
        <v>1.1000000000000001</v>
      </c>
      <c r="Y876" s="10">
        <v>0.6</v>
      </c>
      <c r="AD876" s="14">
        <f t="shared" si="105"/>
        <v>0.73333333333333339</v>
      </c>
      <c r="AE876" s="14">
        <f t="shared" si="111"/>
        <v>0.2857142857142857</v>
      </c>
      <c r="AI876" s="3">
        <f t="shared" si="113"/>
        <v>1.019047619047619</v>
      </c>
      <c r="AU876" s="10" t="s">
        <v>2</v>
      </c>
      <c r="AV876" s="10" t="s">
        <v>3</v>
      </c>
      <c r="AW876" t="s">
        <v>1627</v>
      </c>
    </row>
    <row r="877" spans="1:50" x14ac:dyDescent="0.3">
      <c r="A877" s="26" t="s">
        <v>1597</v>
      </c>
      <c r="B877" s="10" t="s">
        <v>0</v>
      </c>
      <c r="E877">
        <v>2003</v>
      </c>
      <c r="F877" t="s">
        <v>2661</v>
      </c>
      <c r="G877" s="16" t="s">
        <v>34</v>
      </c>
      <c r="H877" s="10" t="s">
        <v>17</v>
      </c>
      <c r="I877" s="10" t="s">
        <v>1669</v>
      </c>
      <c r="J877" s="10" t="s">
        <v>1664</v>
      </c>
      <c r="K877" s="10">
        <v>4</v>
      </c>
      <c r="L877" s="10">
        <v>4</v>
      </c>
      <c r="N877" s="10">
        <v>1.5</v>
      </c>
      <c r="P877" s="10">
        <v>2.1</v>
      </c>
      <c r="W877" s="10">
        <v>1</v>
      </c>
      <c r="Y877" s="10">
        <v>1</v>
      </c>
      <c r="AD877" s="14">
        <f t="shared" si="105"/>
        <v>0.66666666666666663</v>
      </c>
      <c r="AE877" s="14">
        <f t="shared" si="111"/>
        <v>0.47619047619047616</v>
      </c>
      <c r="AI877" s="3">
        <f t="shared" ref="AI877:AI886" si="114">AD877+AE877</f>
        <v>1.1428571428571428</v>
      </c>
      <c r="AU877" s="10" t="s">
        <v>2</v>
      </c>
      <c r="AV877" s="10" t="s">
        <v>3</v>
      </c>
      <c r="AW877" t="s">
        <v>1627</v>
      </c>
    </row>
    <row r="878" spans="1:50" x14ac:dyDescent="0.3">
      <c r="A878" s="26" t="s">
        <v>1597</v>
      </c>
      <c r="B878" s="10" t="s">
        <v>0</v>
      </c>
      <c r="E878">
        <v>2003</v>
      </c>
      <c r="F878" t="s">
        <v>2661</v>
      </c>
      <c r="G878" s="16" t="s">
        <v>34</v>
      </c>
      <c r="H878" s="10" t="s">
        <v>17</v>
      </c>
      <c r="I878" s="10" t="s">
        <v>1670</v>
      </c>
      <c r="J878" s="10" t="s">
        <v>1664</v>
      </c>
      <c r="K878" s="10">
        <v>4</v>
      </c>
      <c r="L878" s="10">
        <v>4</v>
      </c>
      <c r="N878" s="10">
        <v>1.5</v>
      </c>
      <c r="P878" s="10">
        <v>2.1</v>
      </c>
      <c r="W878" s="10">
        <v>0.6</v>
      </c>
      <c r="Y878" s="10">
        <v>1.5</v>
      </c>
      <c r="AD878" s="14">
        <f t="shared" ref="AD878:AD941" si="115">W878/N878</f>
        <v>0.39999999999999997</v>
      </c>
      <c r="AE878" s="14">
        <f t="shared" si="111"/>
        <v>0.7142857142857143</v>
      </c>
      <c r="AI878" s="3">
        <f t="shared" si="114"/>
        <v>1.1142857142857143</v>
      </c>
      <c r="AU878" s="10" t="s">
        <v>2</v>
      </c>
      <c r="AV878" s="10" t="s">
        <v>3</v>
      </c>
      <c r="AW878" t="s">
        <v>1627</v>
      </c>
    </row>
    <row r="879" spans="1:50" x14ac:dyDescent="0.3">
      <c r="A879" s="26" t="s">
        <v>1597</v>
      </c>
      <c r="B879" s="10" t="s">
        <v>0</v>
      </c>
      <c r="E879">
        <v>2004</v>
      </c>
      <c r="F879" t="s">
        <v>2661</v>
      </c>
      <c r="G879" s="16" t="s">
        <v>34</v>
      </c>
      <c r="H879" s="10" t="s">
        <v>17</v>
      </c>
      <c r="I879" s="10" t="s">
        <v>1668</v>
      </c>
      <c r="J879" s="10" t="s">
        <v>1664</v>
      </c>
      <c r="K879" s="10">
        <v>4</v>
      </c>
      <c r="L879" s="10">
        <v>4</v>
      </c>
      <c r="N879" s="10">
        <v>1.8</v>
      </c>
      <c r="P879" s="10">
        <v>4.7</v>
      </c>
      <c r="W879" s="10">
        <v>1.2</v>
      </c>
      <c r="Y879" s="10">
        <v>5.2</v>
      </c>
      <c r="AD879" s="14">
        <f t="shared" si="115"/>
        <v>0.66666666666666663</v>
      </c>
      <c r="AE879" s="14">
        <f t="shared" si="111"/>
        <v>1.1063829787234043</v>
      </c>
      <c r="AI879" s="3">
        <f t="shared" si="114"/>
        <v>1.773049645390071</v>
      </c>
      <c r="AU879" s="10" t="s">
        <v>2</v>
      </c>
      <c r="AV879" s="10" t="s">
        <v>3</v>
      </c>
      <c r="AW879" t="s">
        <v>1627</v>
      </c>
    </row>
    <row r="880" spans="1:50" x14ac:dyDescent="0.3">
      <c r="A880" s="26" t="s">
        <v>1597</v>
      </c>
      <c r="B880" s="10" t="s">
        <v>0</v>
      </c>
      <c r="E880">
        <v>2004</v>
      </c>
      <c r="F880" t="s">
        <v>2661</v>
      </c>
      <c r="G880" s="16" t="s">
        <v>34</v>
      </c>
      <c r="H880" s="10" t="s">
        <v>17</v>
      </c>
      <c r="I880" s="10" t="s">
        <v>1669</v>
      </c>
      <c r="J880" s="10" t="s">
        <v>1664</v>
      </c>
      <c r="K880" s="10">
        <v>4</v>
      </c>
      <c r="L880" s="10">
        <v>4</v>
      </c>
      <c r="N880" s="10">
        <v>1.8</v>
      </c>
      <c r="P880" s="10">
        <v>4.7</v>
      </c>
      <c r="W880" s="10">
        <v>1.1000000000000001</v>
      </c>
      <c r="Y880" s="10">
        <v>5.7</v>
      </c>
      <c r="AD880" s="14">
        <f t="shared" si="115"/>
        <v>0.61111111111111116</v>
      </c>
      <c r="AE880" s="14">
        <f t="shared" ref="AE880:AE911" si="116">Y880/P880</f>
        <v>1.2127659574468086</v>
      </c>
      <c r="AI880" s="3">
        <f t="shared" si="114"/>
        <v>1.8238770685579198</v>
      </c>
      <c r="AU880" s="10" t="s">
        <v>2</v>
      </c>
      <c r="AV880" s="10" t="s">
        <v>3</v>
      </c>
      <c r="AW880" t="s">
        <v>1627</v>
      </c>
    </row>
    <row r="881" spans="1:49" x14ac:dyDescent="0.3">
      <c r="A881" s="26" t="s">
        <v>1597</v>
      </c>
      <c r="B881" s="10" t="s">
        <v>0</v>
      </c>
      <c r="E881">
        <v>2004</v>
      </c>
      <c r="F881" t="s">
        <v>2661</v>
      </c>
      <c r="G881" s="16" t="s">
        <v>34</v>
      </c>
      <c r="H881" s="10" t="s">
        <v>17</v>
      </c>
      <c r="I881" s="10" t="s">
        <v>1670</v>
      </c>
      <c r="J881" s="10" t="s">
        <v>1664</v>
      </c>
      <c r="K881" s="10">
        <v>4</v>
      </c>
      <c r="L881" s="10">
        <v>4</v>
      </c>
      <c r="N881" s="10">
        <v>1.8</v>
      </c>
      <c r="P881" s="10">
        <v>4.7</v>
      </c>
      <c r="W881" s="10">
        <v>1</v>
      </c>
      <c r="Y881" s="10">
        <v>4.7</v>
      </c>
      <c r="AD881" s="14">
        <f t="shared" si="115"/>
        <v>0.55555555555555558</v>
      </c>
      <c r="AE881" s="14">
        <f t="shared" si="116"/>
        <v>1</v>
      </c>
      <c r="AI881" s="3">
        <f t="shared" si="114"/>
        <v>1.5555555555555556</v>
      </c>
      <c r="AU881" s="10" t="s">
        <v>2</v>
      </c>
      <c r="AV881" s="10" t="s">
        <v>3</v>
      </c>
      <c r="AW881" t="s">
        <v>1627</v>
      </c>
    </row>
    <row r="882" spans="1:49" x14ac:dyDescent="0.3">
      <c r="A882" s="26" t="s">
        <v>1597</v>
      </c>
      <c r="B882" s="10" t="s">
        <v>0</v>
      </c>
      <c r="E882">
        <v>2005</v>
      </c>
      <c r="F882" t="s">
        <v>2661</v>
      </c>
      <c r="G882" s="16" t="s">
        <v>34</v>
      </c>
      <c r="H882" s="10" t="s">
        <v>17</v>
      </c>
      <c r="I882" s="10" t="s">
        <v>1668</v>
      </c>
      <c r="J882" s="10" t="s">
        <v>1664</v>
      </c>
      <c r="K882" s="10">
        <v>4</v>
      </c>
      <c r="L882" s="10">
        <v>4</v>
      </c>
      <c r="N882" s="10">
        <v>2.9</v>
      </c>
      <c r="P882" s="10">
        <v>3.4</v>
      </c>
      <c r="W882" s="10">
        <v>1</v>
      </c>
      <c r="Y882" s="10">
        <v>1.5</v>
      </c>
      <c r="AD882" s="14">
        <f t="shared" si="115"/>
        <v>0.34482758620689657</v>
      </c>
      <c r="AE882" s="14">
        <f t="shared" si="116"/>
        <v>0.44117647058823528</v>
      </c>
      <c r="AI882" s="3">
        <f t="shared" si="114"/>
        <v>0.78600405679513186</v>
      </c>
      <c r="AU882" s="10" t="s">
        <v>2</v>
      </c>
      <c r="AV882" s="10" t="s">
        <v>3</v>
      </c>
      <c r="AW882" t="s">
        <v>1627</v>
      </c>
    </row>
    <row r="883" spans="1:49" x14ac:dyDescent="0.3">
      <c r="A883" s="26" t="s">
        <v>1597</v>
      </c>
      <c r="B883" s="10" t="s">
        <v>0</v>
      </c>
      <c r="E883">
        <v>2005</v>
      </c>
      <c r="F883" t="s">
        <v>2661</v>
      </c>
      <c r="G883" s="16" t="s">
        <v>34</v>
      </c>
      <c r="H883" s="10" t="s">
        <v>17</v>
      </c>
      <c r="I883" s="10" t="s">
        <v>1669</v>
      </c>
      <c r="J883" s="10" t="s">
        <v>1664</v>
      </c>
      <c r="K883" s="10">
        <v>4</v>
      </c>
      <c r="L883" s="10">
        <v>4</v>
      </c>
      <c r="N883" s="10">
        <v>2.9</v>
      </c>
      <c r="P883" s="10">
        <v>3.4</v>
      </c>
      <c r="W883" s="10">
        <v>0.8</v>
      </c>
      <c r="Y883" s="10">
        <v>1.7</v>
      </c>
      <c r="AD883" s="14">
        <f t="shared" si="115"/>
        <v>0.27586206896551724</v>
      </c>
      <c r="AE883" s="14">
        <f t="shared" si="116"/>
        <v>0.5</v>
      </c>
      <c r="AI883" s="3">
        <f t="shared" si="114"/>
        <v>0.77586206896551724</v>
      </c>
      <c r="AU883" s="10" t="s">
        <v>2</v>
      </c>
      <c r="AV883" s="10" t="s">
        <v>3</v>
      </c>
      <c r="AW883" t="s">
        <v>1627</v>
      </c>
    </row>
    <row r="884" spans="1:49" x14ac:dyDescent="0.3">
      <c r="A884" s="26" t="s">
        <v>1597</v>
      </c>
      <c r="B884" s="10" t="s">
        <v>0</v>
      </c>
      <c r="E884">
        <v>2005</v>
      </c>
      <c r="F884" t="s">
        <v>2661</v>
      </c>
      <c r="G884" s="16" t="s">
        <v>34</v>
      </c>
      <c r="H884" s="10" t="s">
        <v>17</v>
      </c>
      <c r="I884" s="10" t="s">
        <v>1670</v>
      </c>
      <c r="J884" s="10" t="s">
        <v>1664</v>
      </c>
      <c r="K884" s="10">
        <v>4</v>
      </c>
      <c r="L884" s="10">
        <v>4</v>
      </c>
      <c r="N884" s="10">
        <v>2.9</v>
      </c>
      <c r="P884" s="10">
        <v>3.4</v>
      </c>
      <c r="W884" s="10">
        <v>0.3</v>
      </c>
      <c r="Y884" s="10">
        <v>2.5</v>
      </c>
      <c r="AD884" s="14">
        <f t="shared" si="115"/>
        <v>0.10344827586206896</v>
      </c>
      <c r="AE884" s="14">
        <f t="shared" si="116"/>
        <v>0.73529411764705888</v>
      </c>
      <c r="AI884" s="3">
        <f t="shared" si="114"/>
        <v>0.83874239350912783</v>
      </c>
      <c r="AU884" s="10" t="s">
        <v>2</v>
      </c>
      <c r="AV884" s="10" t="s">
        <v>3</v>
      </c>
      <c r="AW884" t="s">
        <v>1627</v>
      </c>
    </row>
    <row r="885" spans="1:49" x14ac:dyDescent="0.3">
      <c r="A885" s="26" t="s">
        <v>1673</v>
      </c>
      <c r="B885" s="10"/>
      <c r="E885">
        <v>1982</v>
      </c>
      <c r="F885" t="s">
        <v>2661</v>
      </c>
      <c r="G885" s="16" t="s">
        <v>34</v>
      </c>
      <c r="H885" s="10" t="s">
        <v>17</v>
      </c>
      <c r="I885" s="10"/>
      <c r="J885" s="10" t="s">
        <v>1675</v>
      </c>
      <c r="K885" s="6">
        <v>6</v>
      </c>
      <c r="L885" s="6">
        <v>6</v>
      </c>
      <c r="N885" s="10">
        <v>6.9</v>
      </c>
      <c r="P885" s="10">
        <v>1.6</v>
      </c>
      <c r="W885" s="10">
        <v>7.2</v>
      </c>
      <c r="Y885" s="10">
        <v>1.2</v>
      </c>
      <c r="AD885" s="14">
        <f t="shared" si="115"/>
        <v>1.0434782608695652</v>
      </c>
      <c r="AE885" s="14">
        <f t="shared" si="116"/>
        <v>0.74999999999999989</v>
      </c>
      <c r="AI885" s="3">
        <f t="shared" si="114"/>
        <v>1.793478260869565</v>
      </c>
      <c r="AQ885">
        <f>672*0.05+224*0.43</f>
        <v>129.91999999999999</v>
      </c>
      <c r="AR885" t="s">
        <v>14</v>
      </c>
      <c r="AS885" t="s">
        <v>3</v>
      </c>
      <c r="AU885" s="10" t="s">
        <v>2</v>
      </c>
      <c r="AV885" s="10" t="s">
        <v>3</v>
      </c>
    </row>
    <row r="886" spans="1:49" x14ac:dyDescent="0.3">
      <c r="A886" s="26" t="s">
        <v>1673</v>
      </c>
      <c r="B886" s="10"/>
      <c r="E886">
        <v>1982</v>
      </c>
      <c r="F886" t="s">
        <v>2661</v>
      </c>
      <c r="G886" s="16" t="s">
        <v>34</v>
      </c>
      <c r="H886" s="10" t="s">
        <v>17</v>
      </c>
      <c r="I886" s="10"/>
      <c r="J886" s="10" t="s">
        <v>1676</v>
      </c>
      <c r="K886" s="6">
        <v>6</v>
      </c>
      <c r="L886" s="6">
        <v>6</v>
      </c>
      <c r="N886" s="10">
        <v>6.9</v>
      </c>
      <c r="P886" s="10">
        <v>8.1</v>
      </c>
      <c r="W886" s="10">
        <v>6.8</v>
      </c>
      <c r="Y886" s="10">
        <v>6.3</v>
      </c>
      <c r="AD886" s="14">
        <f t="shared" si="115"/>
        <v>0.98550724637681153</v>
      </c>
      <c r="AE886" s="14">
        <f t="shared" si="116"/>
        <v>0.77777777777777779</v>
      </c>
      <c r="AI886" s="3">
        <f t="shared" si="114"/>
        <v>1.7632850241545892</v>
      </c>
      <c r="AQ886">
        <f t="shared" ref="AQ886:AQ888" si="117">672*0.05+224*0.43</f>
        <v>129.91999999999999</v>
      </c>
      <c r="AR886" t="s">
        <v>14</v>
      </c>
      <c r="AS886" t="s">
        <v>3</v>
      </c>
      <c r="AU886" s="10" t="s">
        <v>2</v>
      </c>
      <c r="AV886" s="10" t="s">
        <v>3</v>
      </c>
    </row>
    <row r="887" spans="1:49" x14ac:dyDescent="0.3">
      <c r="A887" s="26" t="s">
        <v>1673</v>
      </c>
      <c r="B887" s="10"/>
      <c r="E887">
        <v>1982</v>
      </c>
      <c r="F887" t="s">
        <v>2661</v>
      </c>
      <c r="G887" s="16" t="s">
        <v>34</v>
      </c>
      <c r="H887" s="10" t="s">
        <v>17</v>
      </c>
      <c r="I887" s="10"/>
      <c r="J887" s="10" t="s">
        <v>1677</v>
      </c>
      <c r="K887" s="6">
        <v>6</v>
      </c>
      <c r="L887" s="6">
        <v>6</v>
      </c>
      <c r="N887" s="10">
        <v>1.6</v>
      </c>
      <c r="P887" s="10">
        <v>8.1</v>
      </c>
      <c r="W887" s="10">
        <v>2.2000000000000002</v>
      </c>
      <c r="Y887" s="10">
        <v>7.9</v>
      </c>
      <c r="AD887" s="14">
        <f t="shared" si="115"/>
        <v>1.375</v>
      </c>
      <c r="AE887" s="14">
        <f t="shared" si="116"/>
        <v>0.97530864197530875</v>
      </c>
      <c r="AI887" s="3">
        <f>AD887+AE887</f>
        <v>2.3503086419753085</v>
      </c>
      <c r="AQ887">
        <f t="shared" si="117"/>
        <v>129.91999999999999</v>
      </c>
      <c r="AR887" t="s">
        <v>14</v>
      </c>
      <c r="AS887" t="s">
        <v>3</v>
      </c>
      <c r="AU887" s="10" t="s">
        <v>2</v>
      </c>
      <c r="AV887" s="10" t="s">
        <v>3</v>
      </c>
    </row>
    <row r="888" spans="1:49" x14ac:dyDescent="0.3">
      <c r="A888" s="26" t="s">
        <v>1673</v>
      </c>
      <c r="E888">
        <v>1982</v>
      </c>
      <c r="F888" t="s">
        <v>2661</v>
      </c>
      <c r="G888" s="16" t="s">
        <v>34</v>
      </c>
      <c r="H888" s="10" t="s">
        <v>17</v>
      </c>
      <c r="J888" s="10" t="s">
        <v>1678</v>
      </c>
      <c r="K888" s="6">
        <v>6</v>
      </c>
      <c r="L888" s="6">
        <v>6</v>
      </c>
      <c r="N888" s="10">
        <v>6.9</v>
      </c>
      <c r="P888" s="10">
        <v>1.6</v>
      </c>
      <c r="R888" s="10">
        <v>8.1</v>
      </c>
      <c r="W888">
        <v>8</v>
      </c>
      <c r="Y888" s="10">
        <v>1.6</v>
      </c>
      <c r="AA888">
        <v>4.5999999999999996</v>
      </c>
      <c r="AD888" s="14">
        <f t="shared" si="115"/>
        <v>1.1594202898550725</v>
      </c>
      <c r="AE888" s="14">
        <f t="shared" si="116"/>
        <v>1</v>
      </c>
      <c r="AF888" s="3">
        <f>AA888/R888</f>
        <v>0.5679012345679012</v>
      </c>
      <c r="AI888" s="3">
        <f>AD888+AE888+AF888</f>
        <v>2.7273215244229734</v>
      </c>
      <c r="AQ888">
        <f t="shared" si="117"/>
        <v>129.91999999999999</v>
      </c>
      <c r="AR888" t="s">
        <v>14</v>
      </c>
      <c r="AS888" t="s">
        <v>3</v>
      </c>
      <c r="AU888" s="10" t="s">
        <v>2</v>
      </c>
      <c r="AV888" s="10" t="s">
        <v>3</v>
      </c>
    </row>
    <row r="889" spans="1:49" x14ac:dyDescent="0.3">
      <c r="A889" s="26" t="s">
        <v>1674</v>
      </c>
      <c r="B889" t="s">
        <v>29</v>
      </c>
      <c r="C889" t="s">
        <v>1679</v>
      </c>
      <c r="D889" t="s">
        <v>1680</v>
      </c>
      <c r="E889">
        <v>1990</v>
      </c>
      <c r="F889" t="s">
        <v>2661</v>
      </c>
      <c r="G889" s="16" t="s">
        <v>34</v>
      </c>
      <c r="H889" s="10" t="s">
        <v>17</v>
      </c>
      <c r="I889" s="10" t="s">
        <v>1682</v>
      </c>
      <c r="J889" s="10" t="s">
        <v>1681</v>
      </c>
      <c r="K889" s="6">
        <v>3</v>
      </c>
      <c r="L889" s="6">
        <v>3</v>
      </c>
      <c r="N889" s="10">
        <v>3038.2</v>
      </c>
      <c r="O889" s="19">
        <f>561.5/SQRT(K889)</f>
        <v>324.18217614997491</v>
      </c>
      <c r="P889" s="39">
        <v>355</v>
      </c>
      <c r="Q889" s="19">
        <f>27.3/SQRT(K889)</f>
        <v>15.761662348876785</v>
      </c>
      <c r="W889" s="10">
        <v>2623.6</v>
      </c>
      <c r="X889" s="19">
        <f>465.2/SQRT(L889)</f>
        <v>268.58334522701392</v>
      </c>
      <c r="Y889" s="10">
        <v>20.8</v>
      </c>
      <c r="Z889" s="19">
        <f>22/SQRT(L889)</f>
        <v>12.701705922171767</v>
      </c>
      <c r="AD889" s="14">
        <f t="shared" si="115"/>
        <v>0.86353762095977882</v>
      </c>
      <c r="AE889" s="14">
        <f t="shared" si="116"/>
        <v>5.8591549295774648E-2</v>
      </c>
      <c r="AI889" s="3">
        <f t="shared" ref="AI889:AI911" si="118">AD889+AE889+AF889</f>
        <v>0.92212917025555341</v>
      </c>
      <c r="AL889">
        <f t="shared" ref="AL889:AL894" si="119">(((X889*SQRT(L889))^2)/(N889^2))+((O889*SQRT(K889))^2)*(W889^2)/(N889^4)</f>
        <v>4.8914831160769244E-2</v>
      </c>
      <c r="AM889">
        <f t="shared" ref="AM889" si="120">(((Z889*SQRT($L889))^2)/(P889^2))+((Q889*SQRT(L889))^2)*(Y889^2)/(P889^4)</f>
        <v>3.8608098230479126E-3</v>
      </c>
      <c r="AO889">
        <f t="shared" ref="AO889:AO894" si="121">AL889+AM889+AN889</f>
        <v>5.2775640983817158E-2</v>
      </c>
      <c r="AP889">
        <f t="shared" ref="AP889:AP894" si="122">SQRT(AO889)/AI889</f>
        <v>0.24912940903672154</v>
      </c>
      <c r="AS889" t="s">
        <v>3</v>
      </c>
      <c r="AT889" t="s">
        <v>2</v>
      </c>
      <c r="AU889" s="10" t="s">
        <v>2</v>
      </c>
      <c r="AV889" s="10" t="s">
        <v>3</v>
      </c>
    </row>
    <row r="890" spans="1:49" x14ac:dyDescent="0.3">
      <c r="A890" s="26" t="s">
        <v>1674</v>
      </c>
      <c r="B890" t="s">
        <v>29</v>
      </c>
      <c r="C890" t="s">
        <v>1679</v>
      </c>
      <c r="D890" t="s">
        <v>1680</v>
      </c>
      <c r="E890">
        <v>1990</v>
      </c>
      <c r="F890" t="s">
        <v>2661</v>
      </c>
      <c r="G890" s="16" t="s">
        <v>34</v>
      </c>
      <c r="H890" s="10" t="s">
        <v>17</v>
      </c>
      <c r="I890" t="s">
        <v>1683</v>
      </c>
      <c r="J890" s="10" t="s">
        <v>1681</v>
      </c>
      <c r="K890" s="6">
        <v>3</v>
      </c>
      <c r="L890" s="6">
        <v>3</v>
      </c>
      <c r="N890" s="10">
        <v>3038.2</v>
      </c>
      <c r="O890" s="19">
        <f>561.5/SQRT(K890)</f>
        <v>324.18217614997491</v>
      </c>
      <c r="P890" s="39">
        <v>355</v>
      </c>
      <c r="Q890" s="19">
        <f t="shared" ref="Q890:Q894" si="123">27.3/SQRT(K890)</f>
        <v>15.761662348876785</v>
      </c>
      <c r="W890" s="10">
        <v>2431.1999999999998</v>
      </c>
      <c r="X890" s="19">
        <f>318.6/SQRT(L890)</f>
        <v>183.94379576381479</v>
      </c>
      <c r="Y890" s="10">
        <v>51.1</v>
      </c>
      <c r="Z890" s="19">
        <f>45.1/SQRT(L890)</f>
        <v>26.038497140452126</v>
      </c>
      <c r="AD890" s="14">
        <f t="shared" si="115"/>
        <v>0.80021065104338096</v>
      </c>
      <c r="AE890" s="14">
        <f t="shared" si="116"/>
        <v>0.14394366197183098</v>
      </c>
      <c r="AI890" s="3">
        <f t="shared" si="118"/>
        <v>0.94415431301521191</v>
      </c>
      <c r="AL890">
        <f t="shared" si="119"/>
        <v>3.2867953345244103E-2</v>
      </c>
      <c r="AM890">
        <f>(((Z890*SQRT($L890))^2)/(P890^2))+((Q890*SQRT(L890))^2)*(Y890^2)/(P890^4)</f>
        <v>1.626226735340492E-2</v>
      </c>
      <c r="AO890">
        <f t="shared" si="121"/>
        <v>4.9130220698649023E-2</v>
      </c>
      <c r="AP890">
        <f t="shared" si="122"/>
        <v>0.23476393272613391</v>
      </c>
      <c r="AS890" t="s">
        <v>3</v>
      </c>
      <c r="AT890" t="s">
        <v>2</v>
      </c>
      <c r="AU890" s="10" t="s">
        <v>2</v>
      </c>
      <c r="AV890" s="10" t="s">
        <v>3</v>
      </c>
    </row>
    <row r="891" spans="1:49" x14ac:dyDescent="0.3">
      <c r="A891" s="26" t="s">
        <v>1674</v>
      </c>
      <c r="B891" t="s">
        <v>29</v>
      </c>
      <c r="C891" t="s">
        <v>1679</v>
      </c>
      <c r="D891" t="s">
        <v>1680</v>
      </c>
      <c r="E891">
        <v>1990</v>
      </c>
      <c r="F891" t="s">
        <v>2661</v>
      </c>
      <c r="G891" s="16" t="s">
        <v>34</v>
      </c>
      <c r="H891" s="10" t="s">
        <v>17</v>
      </c>
      <c r="I891" t="s">
        <v>1684</v>
      </c>
      <c r="J891" s="10" t="s">
        <v>1681</v>
      </c>
      <c r="K891" s="6">
        <v>3</v>
      </c>
      <c r="L891" s="6">
        <v>3</v>
      </c>
      <c r="N891" s="10">
        <v>3038.2</v>
      </c>
      <c r="O891" s="19">
        <f>561.5/SQRT(K891)</f>
        <v>324.18217614997491</v>
      </c>
      <c r="P891" s="39">
        <v>355</v>
      </c>
      <c r="Q891" s="19">
        <f t="shared" si="123"/>
        <v>15.761662348876785</v>
      </c>
      <c r="W891" s="10">
        <v>2148.3000000000002</v>
      </c>
      <c r="X891" s="19">
        <f>243.2/SQRT(L891)</f>
        <v>140.41158546691699</v>
      </c>
      <c r="Y891" s="10">
        <v>93.6</v>
      </c>
      <c r="Z891" s="19">
        <f>88.7/SQRT(L891)</f>
        <v>51.210968877119811</v>
      </c>
      <c r="AD891" s="14">
        <f t="shared" si="115"/>
        <v>0.70709630702389581</v>
      </c>
      <c r="AE891" s="14">
        <f t="shared" si="116"/>
        <v>0.26366197183098589</v>
      </c>
      <c r="AI891" s="3">
        <f t="shared" si="118"/>
        <v>0.97075827885488164</v>
      </c>
      <c r="AL891">
        <f t="shared" si="119"/>
        <v>2.3485071782619237E-2</v>
      </c>
      <c r="AM891">
        <f t="shared" ref="AM891:AM894" si="124">(((Z891*SQRT($L891))^2)/(P891^2))+((Q891*SQRT(L891))^2)*(Y891^2)/(P891^4)</f>
        <v>6.2840712544968591E-2</v>
      </c>
      <c r="AO891">
        <f t="shared" si="121"/>
        <v>8.6325784327587834E-2</v>
      </c>
      <c r="AP891">
        <f t="shared" si="122"/>
        <v>0.3026628821918429</v>
      </c>
      <c r="AS891" t="s">
        <v>3</v>
      </c>
      <c r="AT891" t="s">
        <v>2</v>
      </c>
      <c r="AU891" s="10" t="s">
        <v>2</v>
      </c>
      <c r="AV891" s="10" t="s">
        <v>3</v>
      </c>
    </row>
    <row r="892" spans="1:49" x14ac:dyDescent="0.3">
      <c r="A892" s="26" t="s">
        <v>1674</v>
      </c>
      <c r="B892" t="s">
        <v>29</v>
      </c>
      <c r="C892" t="s">
        <v>1679</v>
      </c>
      <c r="D892" t="s">
        <v>1680</v>
      </c>
      <c r="E892">
        <v>1991</v>
      </c>
      <c r="F892" t="s">
        <v>2661</v>
      </c>
      <c r="G892" s="16" t="s">
        <v>34</v>
      </c>
      <c r="H892" s="10" t="s">
        <v>17</v>
      </c>
      <c r="I892" s="10" t="s">
        <v>1682</v>
      </c>
      <c r="J892" s="10" t="s">
        <v>1681</v>
      </c>
      <c r="K892" s="6">
        <v>3</v>
      </c>
      <c r="L892" s="6">
        <v>3</v>
      </c>
      <c r="N892" s="10">
        <v>2730.8</v>
      </c>
      <c r="O892" s="19">
        <f>430.5/SQRT(K892)</f>
        <v>248.54929088613392</v>
      </c>
      <c r="P892" s="39">
        <v>2001.4</v>
      </c>
      <c r="Q892" s="19">
        <f t="shared" si="123"/>
        <v>15.761662348876785</v>
      </c>
      <c r="W892" s="10">
        <v>2290.6999999999998</v>
      </c>
      <c r="X892" s="19">
        <f>525.6/SQRT(L892)</f>
        <v>303.45530148606736</v>
      </c>
      <c r="Y892" s="10">
        <v>247.2</v>
      </c>
      <c r="Z892" s="19">
        <f>117.9/SQRT(L892)</f>
        <v>68.069596737456891</v>
      </c>
      <c r="AD892" s="14">
        <f t="shared" si="115"/>
        <v>0.83883843562326044</v>
      </c>
      <c r="AE892" s="14">
        <f t="shared" si="116"/>
        <v>0.12351354052163484</v>
      </c>
      <c r="AI892" s="3">
        <f t="shared" si="118"/>
        <v>0.96235197614489532</v>
      </c>
      <c r="AL892">
        <f t="shared" si="119"/>
        <v>5.4532429421240342E-2</v>
      </c>
      <c r="AM892">
        <f t="shared" si="124"/>
        <v>3.4730809454088011E-3</v>
      </c>
      <c r="AO892">
        <f t="shared" si="121"/>
        <v>5.8005510366649145E-2</v>
      </c>
      <c r="AP892">
        <f t="shared" si="122"/>
        <v>0.25026532656481565</v>
      </c>
      <c r="AS892" t="s">
        <v>3</v>
      </c>
      <c r="AT892" t="s">
        <v>2</v>
      </c>
      <c r="AU892" s="10" t="s">
        <v>2</v>
      </c>
      <c r="AV892" s="10" t="s">
        <v>3</v>
      </c>
    </row>
    <row r="893" spans="1:49" x14ac:dyDescent="0.3">
      <c r="A893" s="26" t="s">
        <v>1674</v>
      </c>
      <c r="B893" t="s">
        <v>29</v>
      </c>
      <c r="C893" t="s">
        <v>1679</v>
      </c>
      <c r="D893" t="s">
        <v>1680</v>
      </c>
      <c r="E893">
        <v>1991</v>
      </c>
      <c r="F893" t="s">
        <v>2661</v>
      </c>
      <c r="G893" s="16" t="s">
        <v>34</v>
      </c>
      <c r="H893" s="10" t="s">
        <v>17</v>
      </c>
      <c r="I893" t="s">
        <v>1683</v>
      </c>
      <c r="J893" s="10" t="s">
        <v>1681</v>
      </c>
      <c r="K893" s="6">
        <v>3</v>
      </c>
      <c r="L893" s="6">
        <v>3</v>
      </c>
      <c r="N893" s="10">
        <v>2730.8</v>
      </c>
      <c r="O893" s="19">
        <f>430.5/SQRT(K893)</f>
        <v>248.54929088613392</v>
      </c>
      <c r="P893" s="39">
        <v>2001.4</v>
      </c>
      <c r="Q893" s="19">
        <f t="shared" si="123"/>
        <v>15.761662348876785</v>
      </c>
      <c r="W893" s="10">
        <v>1907.3</v>
      </c>
      <c r="X893" s="19">
        <f>460.3/SQRT(L893)</f>
        <v>265.75432890798476</v>
      </c>
      <c r="Y893" s="10">
        <v>425.5</v>
      </c>
      <c r="Z893" s="19">
        <f>143.9/SQRT(L893)</f>
        <v>83.08070373638715</v>
      </c>
      <c r="AD893" s="14">
        <f t="shared" si="115"/>
        <v>0.6984400175772667</v>
      </c>
      <c r="AE893" s="14">
        <f t="shared" si="116"/>
        <v>0.2126011791745778</v>
      </c>
      <c r="AI893" s="3">
        <f t="shared" si="118"/>
        <v>0.91104119675184447</v>
      </c>
      <c r="AL893">
        <f t="shared" si="119"/>
        <v>4.0535432126282051E-2</v>
      </c>
      <c r="AM893">
        <f t="shared" si="124"/>
        <v>5.1779724407561168E-3</v>
      </c>
      <c r="AO893">
        <f t="shared" si="121"/>
        <v>4.5713404567038166E-2</v>
      </c>
      <c r="AP893">
        <f t="shared" si="122"/>
        <v>0.23468415444642704</v>
      </c>
      <c r="AS893" t="s">
        <v>3</v>
      </c>
      <c r="AT893" t="s">
        <v>2</v>
      </c>
      <c r="AU893" s="10" t="s">
        <v>2</v>
      </c>
      <c r="AV893" s="10" t="s">
        <v>3</v>
      </c>
    </row>
    <row r="894" spans="1:49" x14ac:dyDescent="0.3">
      <c r="A894" s="26" t="s">
        <v>1674</v>
      </c>
      <c r="B894" t="s">
        <v>29</v>
      </c>
      <c r="C894" t="s">
        <v>1679</v>
      </c>
      <c r="D894" t="s">
        <v>1680</v>
      </c>
      <c r="E894">
        <v>1991</v>
      </c>
      <c r="F894" t="s">
        <v>2661</v>
      </c>
      <c r="G894" s="16" t="s">
        <v>34</v>
      </c>
      <c r="H894" s="10" t="s">
        <v>17</v>
      </c>
      <c r="I894" t="s">
        <v>1684</v>
      </c>
      <c r="J894" s="10" t="s">
        <v>1681</v>
      </c>
      <c r="K894" s="6">
        <v>3</v>
      </c>
      <c r="L894" s="6">
        <v>3</v>
      </c>
      <c r="N894" s="10">
        <v>2730.8</v>
      </c>
      <c r="O894" s="19">
        <f>430.5/SQRT(K894)</f>
        <v>248.54929088613392</v>
      </c>
      <c r="P894" s="39">
        <v>2001.4</v>
      </c>
      <c r="Q894" s="19">
        <f t="shared" si="123"/>
        <v>15.761662348876785</v>
      </c>
      <c r="W894" s="10">
        <v>1486.8</v>
      </c>
      <c r="X894" s="19">
        <f>536.9/SQRT(L894)</f>
        <v>309.97935952791011</v>
      </c>
      <c r="Y894" s="10">
        <v>726</v>
      </c>
      <c r="Z894" s="19">
        <f>208.1/SQRT(L894)</f>
        <v>120.14659101836112</v>
      </c>
      <c r="AD894" s="14">
        <f t="shared" si="115"/>
        <v>0.54445583711732826</v>
      </c>
      <c r="AE894" s="14">
        <f t="shared" si="116"/>
        <v>0.3627460777455781</v>
      </c>
      <c r="AI894" s="3">
        <f t="shared" si="118"/>
        <v>0.90720191486290636</v>
      </c>
      <c r="AL894">
        <f t="shared" si="119"/>
        <v>4.6022139287720122E-2</v>
      </c>
      <c r="AM894">
        <f t="shared" si="124"/>
        <v>1.0835744341825005E-2</v>
      </c>
      <c r="AO894">
        <f t="shared" si="121"/>
        <v>5.6857883629545129E-2</v>
      </c>
      <c r="AP894">
        <f t="shared" si="122"/>
        <v>0.26283995666689747</v>
      </c>
      <c r="AS894" t="s">
        <v>3</v>
      </c>
      <c r="AT894" t="s">
        <v>2</v>
      </c>
      <c r="AU894" s="10" t="s">
        <v>2</v>
      </c>
      <c r="AV894" s="10" t="s">
        <v>3</v>
      </c>
    </row>
    <row r="895" spans="1:49" x14ac:dyDescent="0.3">
      <c r="A895" s="26" t="s">
        <v>1589</v>
      </c>
      <c r="B895" t="s">
        <v>1722</v>
      </c>
      <c r="C895" t="s">
        <v>1723</v>
      </c>
      <c r="D895" t="s">
        <v>1724</v>
      </c>
      <c r="F895" t="s">
        <v>2661</v>
      </c>
      <c r="G895" s="16" t="s">
        <v>34</v>
      </c>
      <c r="H895" s="10" t="s">
        <v>17</v>
      </c>
      <c r="I895" s="10" t="s">
        <v>1725</v>
      </c>
      <c r="J895" s="10" t="s">
        <v>1726</v>
      </c>
      <c r="K895" s="6">
        <v>4</v>
      </c>
      <c r="L895" s="6">
        <v>4</v>
      </c>
      <c r="N895" s="10">
        <v>3707</v>
      </c>
      <c r="P895" s="25">
        <v>934</v>
      </c>
      <c r="W895" s="10">
        <v>2651</v>
      </c>
      <c r="Y895" s="10">
        <v>188</v>
      </c>
      <c r="AD895" s="14">
        <f t="shared" si="115"/>
        <v>0.71513353115727007</v>
      </c>
      <c r="AE895" s="14">
        <f t="shared" si="116"/>
        <v>0.2012847965738758</v>
      </c>
      <c r="AI895" s="3">
        <f t="shared" si="118"/>
        <v>0.91641832773114584</v>
      </c>
      <c r="AU895" s="10" t="s">
        <v>2</v>
      </c>
      <c r="AV895" s="10" t="s">
        <v>3</v>
      </c>
    </row>
    <row r="896" spans="1:49" x14ac:dyDescent="0.3">
      <c r="A896" s="26" t="s">
        <v>1589</v>
      </c>
      <c r="B896" t="s">
        <v>1722</v>
      </c>
      <c r="C896" t="s">
        <v>1723</v>
      </c>
      <c r="D896" t="s">
        <v>1724</v>
      </c>
      <c r="F896" t="s">
        <v>2661</v>
      </c>
      <c r="G896" s="16" t="s">
        <v>34</v>
      </c>
      <c r="H896" s="10" t="s">
        <v>17</v>
      </c>
      <c r="I896" s="10" t="s">
        <v>1725</v>
      </c>
      <c r="J896" s="10" t="s">
        <v>721</v>
      </c>
      <c r="K896" s="6">
        <v>4</v>
      </c>
      <c r="L896" s="6">
        <v>4</v>
      </c>
      <c r="N896" s="10">
        <v>3707</v>
      </c>
      <c r="P896" s="25">
        <v>840</v>
      </c>
      <c r="W896" s="10">
        <v>2762</v>
      </c>
      <c r="Y896" s="10">
        <v>279</v>
      </c>
      <c r="AD896" s="14">
        <f t="shared" si="115"/>
        <v>0.74507688157539786</v>
      </c>
      <c r="AE896" s="14">
        <f t="shared" si="116"/>
        <v>0.33214285714285713</v>
      </c>
      <c r="AI896" s="3">
        <f t="shared" si="118"/>
        <v>1.0772197387182549</v>
      </c>
      <c r="AU896" s="10" t="s">
        <v>2</v>
      </c>
      <c r="AV896" s="10" t="s">
        <v>3</v>
      </c>
    </row>
    <row r="897" spans="1:49" x14ac:dyDescent="0.3">
      <c r="A897" s="26" t="s">
        <v>1589</v>
      </c>
      <c r="B897" t="s">
        <v>1722</v>
      </c>
      <c r="C897" t="s">
        <v>1723</v>
      </c>
      <c r="D897" t="s">
        <v>1724</v>
      </c>
      <c r="F897" t="s">
        <v>2661</v>
      </c>
      <c r="G897" s="16" t="s">
        <v>34</v>
      </c>
      <c r="H897" s="10" t="s">
        <v>17</v>
      </c>
      <c r="I897" s="10" t="s">
        <v>1727</v>
      </c>
      <c r="J897" s="10" t="s">
        <v>1726</v>
      </c>
      <c r="K897" s="6">
        <v>4</v>
      </c>
      <c r="L897" s="6">
        <v>4</v>
      </c>
      <c r="N897" s="10">
        <v>3707</v>
      </c>
      <c r="P897" s="25">
        <v>934</v>
      </c>
      <c r="W897" s="10">
        <v>2780</v>
      </c>
      <c r="Y897" s="10">
        <v>252</v>
      </c>
      <c r="AD897" s="14">
        <f t="shared" si="115"/>
        <v>0.74993256002158082</v>
      </c>
      <c r="AE897" s="14">
        <f t="shared" si="116"/>
        <v>0.26980728051391861</v>
      </c>
      <c r="AI897" s="3">
        <f>AD898+AE897+AF897</f>
        <v>1.1481455594456693</v>
      </c>
      <c r="AU897" s="10" t="s">
        <v>2</v>
      </c>
      <c r="AV897" s="10" t="s">
        <v>3</v>
      </c>
    </row>
    <row r="898" spans="1:49" x14ac:dyDescent="0.3">
      <c r="A898" s="26" t="s">
        <v>1589</v>
      </c>
      <c r="B898" t="s">
        <v>1722</v>
      </c>
      <c r="C898" t="s">
        <v>1723</v>
      </c>
      <c r="D898" t="s">
        <v>1724</v>
      </c>
      <c r="F898" t="s">
        <v>2661</v>
      </c>
      <c r="G898" s="16" t="s">
        <v>34</v>
      </c>
      <c r="H898" s="10" t="s">
        <v>17</v>
      </c>
      <c r="I898" s="10" t="s">
        <v>1727</v>
      </c>
      <c r="J898" s="10" t="s">
        <v>721</v>
      </c>
      <c r="K898" s="6">
        <v>4</v>
      </c>
      <c r="L898" s="6">
        <v>4</v>
      </c>
      <c r="N898" s="10">
        <v>3707</v>
      </c>
      <c r="P898" s="25">
        <v>840</v>
      </c>
      <c r="W898" s="10">
        <v>3256</v>
      </c>
      <c r="Y898" s="10">
        <v>368</v>
      </c>
      <c r="AD898" s="14">
        <f t="shared" si="115"/>
        <v>0.87833827893175076</v>
      </c>
      <c r="AE898" s="14">
        <f t="shared" si="116"/>
        <v>0.43809523809523809</v>
      </c>
      <c r="AI898" s="3">
        <f>AD897+AE898+AF898</f>
        <v>1.1880277981168188</v>
      </c>
      <c r="AU898" s="10" t="s">
        <v>2</v>
      </c>
      <c r="AV898" s="10" t="s">
        <v>3</v>
      </c>
    </row>
    <row r="899" spans="1:49" x14ac:dyDescent="0.3">
      <c r="A899" s="26" t="s">
        <v>1589</v>
      </c>
      <c r="B899" t="s">
        <v>1722</v>
      </c>
      <c r="C899" t="s">
        <v>1723</v>
      </c>
      <c r="D899" t="s">
        <v>1724</v>
      </c>
      <c r="F899" t="s">
        <v>2661</v>
      </c>
      <c r="G899" s="16" t="s">
        <v>34</v>
      </c>
      <c r="H899" s="10" t="s">
        <v>17</v>
      </c>
      <c r="I899" s="10" t="s">
        <v>1728</v>
      </c>
      <c r="J899" s="10" t="s">
        <v>1726</v>
      </c>
      <c r="K899" s="6">
        <v>4</v>
      </c>
      <c r="L899" s="6">
        <v>4</v>
      </c>
      <c r="N899" s="10">
        <v>3707</v>
      </c>
      <c r="P899" s="25">
        <v>934</v>
      </c>
      <c r="W899" s="10">
        <v>3318</v>
      </c>
      <c r="Y899" s="10">
        <v>272</v>
      </c>
      <c r="AD899" s="14">
        <f t="shared" si="115"/>
        <v>0.89506339357971409</v>
      </c>
      <c r="AE899" s="14">
        <f t="shared" si="116"/>
        <v>0.29122055674518199</v>
      </c>
      <c r="AI899" s="3">
        <f t="shared" si="118"/>
        <v>1.1862839503248961</v>
      </c>
      <c r="AU899" s="10" t="s">
        <v>2</v>
      </c>
      <c r="AV899" s="10" t="s">
        <v>3</v>
      </c>
    </row>
    <row r="900" spans="1:49" x14ac:dyDescent="0.3">
      <c r="A900" s="26" t="s">
        <v>1589</v>
      </c>
      <c r="B900" t="s">
        <v>1722</v>
      </c>
      <c r="C900" t="s">
        <v>1723</v>
      </c>
      <c r="D900" t="s">
        <v>1724</v>
      </c>
      <c r="F900" t="s">
        <v>2661</v>
      </c>
      <c r="G900" s="16" t="s">
        <v>34</v>
      </c>
      <c r="H900" s="10" t="s">
        <v>17</v>
      </c>
      <c r="I900" s="10" t="s">
        <v>1728</v>
      </c>
      <c r="J900" s="10" t="s">
        <v>721</v>
      </c>
      <c r="K900" s="6">
        <v>4</v>
      </c>
      <c r="L900" s="6">
        <v>4</v>
      </c>
      <c r="N900" s="10">
        <v>3707</v>
      </c>
      <c r="P900" s="25">
        <v>840</v>
      </c>
      <c r="W900" s="10">
        <v>3193</v>
      </c>
      <c r="Y900" s="10">
        <v>170</v>
      </c>
      <c r="AD900" s="14">
        <f t="shared" si="115"/>
        <v>0.86134340437011059</v>
      </c>
      <c r="AE900" s="14">
        <f t="shared" si="116"/>
        <v>0.20238095238095238</v>
      </c>
      <c r="AI900" s="3">
        <f t="shared" si="118"/>
        <v>1.063724356751063</v>
      </c>
      <c r="AU900" s="10" t="s">
        <v>2</v>
      </c>
      <c r="AV900" s="10" t="s">
        <v>3</v>
      </c>
    </row>
    <row r="901" spans="1:49" x14ac:dyDescent="0.3">
      <c r="A901" s="26" t="s">
        <v>1603</v>
      </c>
      <c r="B901" t="s">
        <v>1722</v>
      </c>
      <c r="C901" t="s">
        <v>1730</v>
      </c>
      <c r="D901" t="s">
        <v>1729</v>
      </c>
      <c r="E901" s="10" t="s">
        <v>1737</v>
      </c>
      <c r="F901" t="s">
        <v>2661</v>
      </c>
      <c r="G901" s="16" t="s">
        <v>22</v>
      </c>
      <c r="H901" s="10" t="s">
        <v>17</v>
      </c>
      <c r="I901" s="10" t="s">
        <v>1733</v>
      </c>
      <c r="J901" s="10" t="s">
        <v>1731</v>
      </c>
      <c r="K901" s="6">
        <v>4</v>
      </c>
      <c r="L901" s="6">
        <v>4</v>
      </c>
      <c r="N901" s="10">
        <v>1201</v>
      </c>
      <c r="P901" s="25">
        <v>2302</v>
      </c>
      <c r="W901" s="10">
        <v>1175</v>
      </c>
      <c r="Y901" s="10">
        <v>791</v>
      </c>
      <c r="AD901" s="14">
        <f t="shared" si="115"/>
        <v>0.97835137385512072</v>
      </c>
      <c r="AE901" s="14">
        <f t="shared" si="116"/>
        <v>0.343614248479583</v>
      </c>
      <c r="AI901" s="3">
        <f t="shared" si="118"/>
        <v>1.3219656223347038</v>
      </c>
      <c r="AQ901" s="5">
        <f>(94+37)/2</f>
        <v>65.5</v>
      </c>
      <c r="AR901" t="s">
        <v>14</v>
      </c>
      <c r="AT901" t="s">
        <v>3</v>
      </c>
      <c r="AU901" s="10" t="s">
        <v>2</v>
      </c>
      <c r="AV901" s="10" t="s">
        <v>3</v>
      </c>
      <c r="AW901" t="s">
        <v>2412</v>
      </c>
    </row>
    <row r="902" spans="1:49" x14ac:dyDescent="0.3">
      <c r="A902" s="26" t="s">
        <v>1603</v>
      </c>
      <c r="B902" t="s">
        <v>1722</v>
      </c>
      <c r="C902" t="s">
        <v>1730</v>
      </c>
      <c r="D902" t="s">
        <v>1729</v>
      </c>
      <c r="E902" s="10" t="s">
        <v>1737</v>
      </c>
      <c r="F902" t="s">
        <v>2661</v>
      </c>
      <c r="G902" s="16" t="s">
        <v>22</v>
      </c>
      <c r="H902" s="10" t="s">
        <v>17</v>
      </c>
      <c r="I902" s="10" t="s">
        <v>1732</v>
      </c>
      <c r="J902" s="10" t="s">
        <v>1731</v>
      </c>
      <c r="K902" s="6">
        <v>4</v>
      </c>
      <c r="L902" s="6">
        <v>4</v>
      </c>
      <c r="N902" s="10">
        <v>1201</v>
      </c>
      <c r="P902" s="25">
        <v>2302</v>
      </c>
      <c r="W902" s="10">
        <v>1070</v>
      </c>
      <c r="Y902" s="10">
        <v>1455</v>
      </c>
      <c r="AD902" s="14">
        <f t="shared" si="115"/>
        <v>0.89092422980849295</v>
      </c>
      <c r="AE902" s="14">
        <f t="shared" si="116"/>
        <v>0.63205907906168546</v>
      </c>
      <c r="AI902" s="3">
        <f t="shared" si="118"/>
        <v>1.5229833088701783</v>
      </c>
      <c r="AQ902" s="5">
        <f t="shared" ref="AQ902:AQ907" si="125">(94+37)/2</f>
        <v>65.5</v>
      </c>
      <c r="AR902" t="s">
        <v>14</v>
      </c>
      <c r="AT902" t="s">
        <v>3</v>
      </c>
      <c r="AU902" s="10" t="s">
        <v>2</v>
      </c>
      <c r="AV902" s="10" t="s">
        <v>3</v>
      </c>
      <c r="AW902" t="s">
        <v>2412</v>
      </c>
    </row>
    <row r="903" spans="1:49" x14ac:dyDescent="0.3">
      <c r="A903" s="26" t="s">
        <v>1603</v>
      </c>
      <c r="B903" t="s">
        <v>1722</v>
      </c>
      <c r="C903" t="s">
        <v>1730</v>
      </c>
      <c r="D903" t="s">
        <v>1729</v>
      </c>
      <c r="E903" s="10" t="s">
        <v>1737</v>
      </c>
      <c r="F903" t="s">
        <v>2661</v>
      </c>
      <c r="G903" s="16" t="s">
        <v>22</v>
      </c>
      <c r="H903" s="10" t="s">
        <v>17</v>
      </c>
      <c r="I903" s="10" t="s">
        <v>1734</v>
      </c>
      <c r="J903" s="10" t="s">
        <v>1731</v>
      </c>
      <c r="K903" s="6">
        <v>4</v>
      </c>
      <c r="L903" s="6">
        <v>4</v>
      </c>
      <c r="N903" s="10">
        <v>1201</v>
      </c>
      <c r="P903" s="25">
        <v>2302</v>
      </c>
      <c r="W903" s="10">
        <v>895</v>
      </c>
      <c r="Y903" s="10">
        <v>908</v>
      </c>
      <c r="AD903" s="14">
        <f t="shared" si="115"/>
        <v>0.74521232306411322</v>
      </c>
      <c r="AE903" s="14">
        <f t="shared" si="116"/>
        <v>0.39443961772371849</v>
      </c>
      <c r="AI903" s="3">
        <f t="shared" si="118"/>
        <v>1.1396519407878318</v>
      </c>
      <c r="AQ903" s="5">
        <f t="shared" si="125"/>
        <v>65.5</v>
      </c>
      <c r="AR903" t="s">
        <v>14</v>
      </c>
      <c r="AT903" t="s">
        <v>3</v>
      </c>
      <c r="AU903" s="10" t="s">
        <v>2</v>
      </c>
      <c r="AV903" s="10" t="s">
        <v>3</v>
      </c>
      <c r="AW903" t="s">
        <v>2412</v>
      </c>
    </row>
    <row r="904" spans="1:49" x14ac:dyDescent="0.3">
      <c r="A904" s="26" t="s">
        <v>1603</v>
      </c>
      <c r="B904" t="s">
        <v>1722</v>
      </c>
      <c r="C904" t="s">
        <v>1730</v>
      </c>
      <c r="D904" t="s">
        <v>1729</v>
      </c>
      <c r="E904" s="10" t="s">
        <v>1737</v>
      </c>
      <c r="F904" t="s">
        <v>2661</v>
      </c>
      <c r="G904" s="16" t="s">
        <v>22</v>
      </c>
      <c r="H904" s="10" t="s">
        <v>17</v>
      </c>
      <c r="I904" s="10" t="s">
        <v>1735</v>
      </c>
      <c r="J904" s="10" t="s">
        <v>1731</v>
      </c>
      <c r="K904" s="6">
        <v>4</v>
      </c>
      <c r="L904" s="6">
        <v>4</v>
      </c>
      <c r="N904" s="10">
        <v>1201</v>
      </c>
      <c r="P904" s="25">
        <v>2302</v>
      </c>
      <c r="W904" s="10">
        <v>601</v>
      </c>
      <c r="Y904" s="10">
        <v>1312</v>
      </c>
      <c r="AD904" s="14">
        <f t="shared" si="115"/>
        <v>0.50041631973355538</v>
      </c>
      <c r="AE904" s="14">
        <f t="shared" si="116"/>
        <v>0.56993918331885318</v>
      </c>
      <c r="AI904" s="3">
        <f t="shared" si="118"/>
        <v>1.0703555030524086</v>
      </c>
      <c r="AQ904" s="5">
        <f t="shared" si="125"/>
        <v>65.5</v>
      </c>
      <c r="AR904" t="s">
        <v>14</v>
      </c>
      <c r="AT904" t="s">
        <v>3</v>
      </c>
      <c r="AU904" s="10" t="s">
        <v>2</v>
      </c>
      <c r="AV904" s="10" t="s">
        <v>3</v>
      </c>
      <c r="AW904" t="s">
        <v>2412</v>
      </c>
    </row>
    <row r="905" spans="1:49" x14ac:dyDescent="0.3">
      <c r="A905" s="26" t="s">
        <v>1603</v>
      </c>
      <c r="B905" t="s">
        <v>1722</v>
      </c>
      <c r="C905" t="s">
        <v>1730</v>
      </c>
      <c r="D905" t="s">
        <v>1729</v>
      </c>
      <c r="E905" s="10" t="s">
        <v>1737</v>
      </c>
      <c r="F905" t="s">
        <v>2661</v>
      </c>
      <c r="G905" s="16" t="s">
        <v>34</v>
      </c>
      <c r="H905" s="10" t="s">
        <v>17</v>
      </c>
      <c r="I905" s="10" t="s">
        <v>1725</v>
      </c>
      <c r="J905" s="10" t="s">
        <v>1731</v>
      </c>
      <c r="K905" s="6">
        <v>4</v>
      </c>
      <c r="L905" s="6">
        <v>4</v>
      </c>
      <c r="N905" s="10">
        <v>1278</v>
      </c>
      <c r="P905" s="25">
        <v>2704</v>
      </c>
      <c r="W905" s="10">
        <v>692</v>
      </c>
      <c r="Y905" s="10">
        <v>1382</v>
      </c>
      <c r="AD905" s="14">
        <f t="shared" si="115"/>
        <v>0.54147104851330208</v>
      </c>
      <c r="AE905" s="14">
        <f t="shared" si="116"/>
        <v>0.51109467455621305</v>
      </c>
      <c r="AI905" s="3">
        <f t="shared" si="118"/>
        <v>1.0525657230695151</v>
      </c>
      <c r="AQ905" s="5">
        <f t="shared" si="125"/>
        <v>65.5</v>
      </c>
      <c r="AR905" t="s">
        <v>14</v>
      </c>
      <c r="AT905" t="s">
        <v>3</v>
      </c>
      <c r="AU905" s="10" t="s">
        <v>2</v>
      </c>
      <c r="AV905" s="10" t="s">
        <v>3</v>
      </c>
      <c r="AW905" t="s">
        <v>2412</v>
      </c>
    </row>
    <row r="906" spans="1:49" x14ac:dyDescent="0.3">
      <c r="A906" s="26" t="s">
        <v>1603</v>
      </c>
      <c r="B906" t="s">
        <v>1722</v>
      </c>
      <c r="C906" t="s">
        <v>1730</v>
      </c>
      <c r="D906" t="s">
        <v>1729</v>
      </c>
      <c r="E906" s="10" t="s">
        <v>1737</v>
      </c>
      <c r="F906" t="s">
        <v>2661</v>
      </c>
      <c r="G906" s="16" t="s">
        <v>34</v>
      </c>
      <c r="H906" s="10" t="s">
        <v>17</v>
      </c>
      <c r="I906" s="10" t="s">
        <v>1736</v>
      </c>
      <c r="J906" s="10" t="s">
        <v>1731</v>
      </c>
      <c r="K906" s="6">
        <v>4</v>
      </c>
      <c r="L906" s="6">
        <v>4</v>
      </c>
      <c r="N906" s="10">
        <v>1278</v>
      </c>
      <c r="P906" s="25">
        <v>2704</v>
      </c>
      <c r="W906" s="10">
        <v>893</v>
      </c>
      <c r="Y906" s="10">
        <v>941</v>
      </c>
      <c r="AD906" s="14">
        <f t="shared" si="115"/>
        <v>0.69874804381846634</v>
      </c>
      <c r="AE906" s="14">
        <f t="shared" si="116"/>
        <v>0.34800295857988167</v>
      </c>
      <c r="AI906" s="3">
        <f t="shared" si="118"/>
        <v>1.046751002398348</v>
      </c>
      <c r="AQ906" s="5">
        <f t="shared" si="125"/>
        <v>65.5</v>
      </c>
      <c r="AR906" t="s">
        <v>14</v>
      </c>
      <c r="AT906" t="s">
        <v>3</v>
      </c>
      <c r="AU906" s="10" t="s">
        <v>2</v>
      </c>
      <c r="AV906" s="10" t="s">
        <v>3</v>
      </c>
      <c r="AW906" t="s">
        <v>2412</v>
      </c>
    </row>
    <row r="907" spans="1:49" x14ac:dyDescent="0.3">
      <c r="A907" s="26" t="s">
        <v>1603</v>
      </c>
      <c r="B907" t="s">
        <v>1722</v>
      </c>
      <c r="C907" t="s">
        <v>1730</v>
      </c>
      <c r="D907" t="s">
        <v>1729</v>
      </c>
      <c r="E907" s="10" t="s">
        <v>1737</v>
      </c>
      <c r="F907" t="s">
        <v>2661</v>
      </c>
      <c r="G907" s="16" t="s">
        <v>34</v>
      </c>
      <c r="H907" s="10" t="s">
        <v>17</v>
      </c>
      <c r="I907" s="10" t="s">
        <v>1728</v>
      </c>
      <c r="J907" s="10" t="s">
        <v>1731</v>
      </c>
      <c r="K907" s="6">
        <v>4</v>
      </c>
      <c r="L907" s="6">
        <v>4</v>
      </c>
      <c r="N907" s="10">
        <v>1278</v>
      </c>
      <c r="P907" s="25">
        <v>2704</v>
      </c>
      <c r="W907" s="10">
        <v>964</v>
      </c>
      <c r="Y907" s="10">
        <v>735</v>
      </c>
      <c r="AD907" s="14">
        <f t="shared" si="115"/>
        <v>0.75430359937402192</v>
      </c>
      <c r="AE907" s="14">
        <f t="shared" si="116"/>
        <v>0.27181952662721892</v>
      </c>
      <c r="AI907" s="3">
        <f t="shared" si="118"/>
        <v>1.0261231260012409</v>
      </c>
      <c r="AQ907" s="5">
        <f t="shared" si="125"/>
        <v>65.5</v>
      </c>
      <c r="AR907" t="s">
        <v>14</v>
      </c>
      <c r="AT907" t="s">
        <v>3</v>
      </c>
      <c r="AU907" s="10" t="s">
        <v>2</v>
      </c>
      <c r="AV907" s="10" t="s">
        <v>3</v>
      </c>
      <c r="AW907" t="s">
        <v>2412</v>
      </c>
    </row>
    <row r="908" spans="1:49" x14ac:dyDescent="0.3">
      <c r="A908" s="26" t="s">
        <v>1602</v>
      </c>
      <c r="B908" t="s">
        <v>50</v>
      </c>
      <c r="C908" t="s">
        <v>1753</v>
      </c>
      <c r="D908" t="s">
        <v>1754</v>
      </c>
      <c r="E908" s="10" t="s">
        <v>975</v>
      </c>
      <c r="F908" t="s">
        <v>2661</v>
      </c>
      <c r="G908" s="16" t="s">
        <v>1755</v>
      </c>
      <c r="H908" s="10" t="s">
        <v>217</v>
      </c>
      <c r="I908" s="10" t="s">
        <v>1757</v>
      </c>
      <c r="J908" s="10" t="s">
        <v>1756</v>
      </c>
      <c r="K908" s="6">
        <v>3</v>
      </c>
      <c r="L908" s="6">
        <v>3</v>
      </c>
      <c r="N908" s="10">
        <v>21.73</v>
      </c>
      <c r="P908" s="25">
        <v>328.2</v>
      </c>
      <c r="W908" s="10">
        <v>15.86</v>
      </c>
      <c r="Y908" s="10">
        <v>282.10000000000002</v>
      </c>
      <c r="AD908" s="14">
        <f t="shared" si="115"/>
        <v>0.72986654394845829</v>
      </c>
      <c r="AE908" s="14">
        <f t="shared" si="116"/>
        <v>0.85953686776355887</v>
      </c>
      <c r="AI908" s="3">
        <f t="shared" si="118"/>
        <v>1.5894034117120173</v>
      </c>
      <c r="AU908" s="10" t="s">
        <v>2</v>
      </c>
      <c r="AV908" s="10" t="s">
        <v>3</v>
      </c>
    </row>
    <row r="909" spans="1:49" x14ac:dyDescent="0.3">
      <c r="A909" s="26" t="s">
        <v>1602</v>
      </c>
      <c r="B909" t="s">
        <v>50</v>
      </c>
      <c r="C909" t="s">
        <v>1753</v>
      </c>
      <c r="D909" t="s">
        <v>1754</v>
      </c>
      <c r="E909" s="10" t="s">
        <v>975</v>
      </c>
      <c r="F909" t="s">
        <v>2661</v>
      </c>
      <c r="G909" s="16" t="s">
        <v>1755</v>
      </c>
      <c r="H909" s="10" t="s">
        <v>217</v>
      </c>
      <c r="I909" s="10" t="s">
        <v>1758</v>
      </c>
      <c r="J909" s="10" t="s">
        <v>1756</v>
      </c>
      <c r="K909" s="6">
        <v>3</v>
      </c>
      <c r="L909" s="6">
        <v>3</v>
      </c>
      <c r="N909" s="10">
        <v>21.73</v>
      </c>
      <c r="P909" s="25">
        <v>328.2</v>
      </c>
      <c r="W909" s="10">
        <v>19.510000000000002</v>
      </c>
      <c r="Y909" s="10">
        <v>293</v>
      </c>
      <c r="AD909" s="14">
        <f t="shared" si="115"/>
        <v>0.89783709157846303</v>
      </c>
      <c r="AE909" s="14">
        <f t="shared" si="116"/>
        <v>0.89274832419256556</v>
      </c>
      <c r="AI909" s="3">
        <f t="shared" si="118"/>
        <v>1.7905854157710286</v>
      </c>
      <c r="AU909" s="10" t="s">
        <v>2</v>
      </c>
      <c r="AV909" s="10" t="s">
        <v>3</v>
      </c>
    </row>
    <row r="910" spans="1:49" x14ac:dyDescent="0.3">
      <c r="A910" s="26" t="s">
        <v>1602</v>
      </c>
      <c r="B910" t="s">
        <v>50</v>
      </c>
      <c r="C910" t="s">
        <v>1753</v>
      </c>
      <c r="D910" t="s">
        <v>1754</v>
      </c>
      <c r="E910" s="10" t="s">
        <v>975</v>
      </c>
      <c r="F910" t="s">
        <v>2661</v>
      </c>
      <c r="G910" s="16" t="s">
        <v>1755</v>
      </c>
      <c r="H910" s="10" t="s">
        <v>217</v>
      </c>
      <c r="I910" s="10" t="s">
        <v>1759</v>
      </c>
      <c r="J910" s="10" t="s">
        <v>1756</v>
      </c>
      <c r="K910" s="6">
        <v>3</v>
      </c>
      <c r="L910" s="6">
        <v>3</v>
      </c>
      <c r="N910" s="10">
        <v>21.73</v>
      </c>
      <c r="P910" s="25">
        <v>328.2</v>
      </c>
      <c r="W910" s="10">
        <v>8.9600000000000009</v>
      </c>
      <c r="Y910" s="10">
        <v>299.2</v>
      </c>
      <c r="AD910" s="14">
        <f t="shared" si="115"/>
        <v>0.41233317993557295</v>
      </c>
      <c r="AE910" s="14">
        <f t="shared" si="116"/>
        <v>0.91163924436319321</v>
      </c>
      <c r="AI910" s="3">
        <f t="shared" si="118"/>
        <v>1.3239724242987663</v>
      </c>
      <c r="AU910" s="10" t="s">
        <v>2</v>
      </c>
      <c r="AV910" s="10" t="s">
        <v>3</v>
      </c>
    </row>
    <row r="911" spans="1:49" x14ac:dyDescent="0.3">
      <c r="A911" s="26" t="s">
        <v>1602</v>
      </c>
      <c r="B911" t="s">
        <v>50</v>
      </c>
      <c r="C911" t="s">
        <v>1753</v>
      </c>
      <c r="D911" t="s">
        <v>1754</v>
      </c>
      <c r="E911" s="10" t="s">
        <v>975</v>
      </c>
      <c r="F911" t="s">
        <v>2661</v>
      </c>
      <c r="G911" s="16" t="s">
        <v>1755</v>
      </c>
      <c r="H911" s="10" t="s">
        <v>217</v>
      </c>
      <c r="I911" s="10" t="s">
        <v>1760</v>
      </c>
      <c r="J911" s="10" t="s">
        <v>1756</v>
      </c>
      <c r="K911" s="6">
        <v>3</v>
      </c>
      <c r="L911" s="6">
        <v>3</v>
      </c>
      <c r="N911" s="10">
        <v>21.73</v>
      </c>
      <c r="P911" s="25">
        <v>328.2</v>
      </c>
      <c r="W911" s="10">
        <v>12.11</v>
      </c>
      <c r="Y911" s="10">
        <v>288.7</v>
      </c>
      <c r="AD911" s="14">
        <f t="shared" si="115"/>
        <v>0.55729406350667277</v>
      </c>
      <c r="AE911" s="14">
        <f t="shared" si="116"/>
        <v>0.87964655697745275</v>
      </c>
      <c r="AI911" s="3">
        <f t="shared" si="118"/>
        <v>1.4369406204841255</v>
      </c>
      <c r="AU911" s="10" t="s">
        <v>2</v>
      </c>
      <c r="AV911" s="10" t="s">
        <v>3</v>
      </c>
    </row>
    <row r="912" spans="1:49" x14ac:dyDescent="0.3">
      <c r="A912" s="26" t="s">
        <v>1602</v>
      </c>
      <c r="B912" t="s">
        <v>50</v>
      </c>
      <c r="C912" t="s">
        <v>1753</v>
      </c>
      <c r="D912" t="s">
        <v>1754</v>
      </c>
      <c r="E912" s="10" t="s">
        <v>975</v>
      </c>
      <c r="F912" t="s">
        <v>2661</v>
      </c>
      <c r="G912" s="16" t="s">
        <v>1755</v>
      </c>
      <c r="H912" s="10" t="s">
        <v>217</v>
      </c>
      <c r="I912" s="10" t="s">
        <v>1761</v>
      </c>
      <c r="J912" s="10" t="s">
        <v>1756</v>
      </c>
      <c r="K912" s="6">
        <v>3</v>
      </c>
      <c r="L912" s="6">
        <v>3</v>
      </c>
      <c r="N912" s="10">
        <v>21.73</v>
      </c>
      <c r="P912" s="25">
        <v>300.60000000000002</v>
      </c>
      <c r="W912" s="10">
        <v>15.86</v>
      </c>
      <c r="Y912" s="10">
        <v>282.10000000000002</v>
      </c>
      <c r="AD912" s="14">
        <f t="shared" si="115"/>
        <v>0.72986654394845829</v>
      </c>
      <c r="AE912" s="14">
        <f t="shared" ref="AE912:AE935" si="126">Y912/P912</f>
        <v>0.93845642049234868</v>
      </c>
      <c r="AI912" s="3">
        <f t="shared" ref="AI912:AI969" si="127">AD912+AE912+AF912</f>
        <v>1.6683229644408071</v>
      </c>
      <c r="AU912" s="10" t="s">
        <v>2</v>
      </c>
      <c r="AV912" s="10" t="s">
        <v>3</v>
      </c>
    </row>
    <row r="913" spans="1:49" x14ac:dyDescent="0.3">
      <c r="A913" s="26" t="s">
        <v>1602</v>
      </c>
      <c r="B913" t="s">
        <v>50</v>
      </c>
      <c r="C913" t="s">
        <v>1753</v>
      </c>
      <c r="D913" t="s">
        <v>1754</v>
      </c>
      <c r="E913" s="10" t="s">
        <v>975</v>
      </c>
      <c r="F913" t="s">
        <v>2661</v>
      </c>
      <c r="G913" s="16" t="s">
        <v>1755</v>
      </c>
      <c r="H913" s="10" t="s">
        <v>217</v>
      </c>
      <c r="I913" s="10" t="s">
        <v>1762</v>
      </c>
      <c r="J913" s="10" t="s">
        <v>1756</v>
      </c>
      <c r="K913" s="6">
        <v>3</v>
      </c>
      <c r="L913" s="6">
        <v>3</v>
      </c>
      <c r="N913" s="10">
        <v>21.73</v>
      </c>
      <c r="P913" s="25">
        <v>300.60000000000002</v>
      </c>
      <c r="W913" s="10">
        <v>19.510000000000002</v>
      </c>
      <c r="Y913" s="10">
        <v>293</v>
      </c>
      <c r="AD913" s="14">
        <f t="shared" si="115"/>
        <v>0.89783709157846303</v>
      </c>
      <c r="AE913" s="14">
        <f t="shared" si="126"/>
        <v>0.97471723220226203</v>
      </c>
      <c r="AI913" s="3">
        <f t="shared" si="127"/>
        <v>1.8725543237807249</v>
      </c>
      <c r="AU913" s="10" t="s">
        <v>2</v>
      </c>
      <c r="AV913" s="10" t="s">
        <v>3</v>
      </c>
    </row>
    <row r="914" spans="1:49" x14ac:dyDescent="0.3">
      <c r="A914" s="26" t="s">
        <v>1602</v>
      </c>
      <c r="B914" t="s">
        <v>50</v>
      </c>
      <c r="C914" t="s">
        <v>1753</v>
      </c>
      <c r="D914" t="s">
        <v>1754</v>
      </c>
      <c r="E914" s="10" t="s">
        <v>975</v>
      </c>
      <c r="F914" t="s">
        <v>2661</v>
      </c>
      <c r="G914" s="16" t="s">
        <v>1755</v>
      </c>
      <c r="H914" s="10" t="s">
        <v>217</v>
      </c>
      <c r="I914" s="10" t="s">
        <v>1763</v>
      </c>
      <c r="J914" s="10" t="s">
        <v>1756</v>
      </c>
      <c r="K914" s="6">
        <v>3</v>
      </c>
      <c r="L914" s="6">
        <v>3</v>
      </c>
      <c r="N914" s="10">
        <v>21.73</v>
      </c>
      <c r="P914" s="25">
        <v>300.60000000000002</v>
      </c>
      <c r="W914" s="10">
        <v>8.9600000000000009</v>
      </c>
      <c r="Y914" s="10">
        <v>299.2</v>
      </c>
      <c r="AD914" s="14">
        <f t="shared" si="115"/>
        <v>0.41233317993557295</v>
      </c>
      <c r="AE914" s="14">
        <f t="shared" si="126"/>
        <v>0.99534264803725869</v>
      </c>
      <c r="AI914" s="3">
        <f t="shared" si="127"/>
        <v>1.4076758279728316</v>
      </c>
      <c r="AU914" s="10" t="s">
        <v>2</v>
      </c>
      <c r="AV914" s="10" t="s">
        <v>3</v>
      </c>
    </row>
    <row r="915" spans="1:49" x14ac:dyDescent="0.3">
      <c r="A915" s="26" t="s">
        <v>1602</v>
      </c>
      <c r="B915" t="s">
        <v>50</v>
      </c>
      <c r="C915" t="s">
        <v>1753</v>
      </c>
      <c r="D915" t="s">
        <v>1754</v>
      </c>
      <c r="E915" s="10" t="s">
        <v>975</v>
      </c>
      <c r="F915" t="s">
        <v>2661</v>
      </c>
      <c r="G915" s="16" t="s">
        <v>1755</v>
      </c>
      <c r="H915" s="10" t="s">
        <v>217</v>
      </c>
      <c r="I915" s="10" t="s">
        <v>1764</v>
      </c>
      <c r="J915" s="10" t="s">
        <v>1756</v>
      </c>
      <c r="K915" s="6">
        <v>3</v>
      </c>
      <c r="L915" s="6">
        <v>3</v>
      </c>
      <c r="N915" s="10">
        <v>21.73</v>
      </c>
      <c r="P915" s="25">
        <v>300.60000000000002</v>
      </c>
      <c r="W915" s="10">
        <v>12.11</v>
      </c>
      <c r="Y915" s="10">
        <v>288.7</v>
      </c>
      <c r="AD915" s="14">
        <f t="shared" si="115"/>
        <v>0.55729406350667277</v>
      </c>
      <c r="AE915" s="14">
        <f t="shared" si="126"/>
        <v>0.96041250831669978</v>
      </c>
      <c r="AI915" s="3">
        <f t="shared" si="127"/>
        <v>1.5177065718233727</v>
      </c>
      <c r="AU915" s="10" t="s">
        <v>2</v>
      </c>
      <c r="AV915" s="10" t="s">
        <v>3</v>
      </c>
    </row>
    <row r="916" spans="1:49" x14ac:dyDescent="0.3">
      <c r="A916" s="26" t="s">
        <v>1604</v>
      </c>
      <c r="B916" t="s">
        <v>1631</v>
      </c>
      <c r="C916" t="s">
        <v>1628</v>
      </c>
      <c r="E916" s="10" t="s">
        <v>882</v>
      </c>
      <c r="F916" t="s">
        <v>2661</v>
      </c>
      <c r="G916" s="16" t="s">
        <v>1770</v>
      </c>
      <c r="H916" s="10" t="s">
        <v>217</v>
      </c>
      <c r="I916" s="10" t="s">
        <v>1766</v>
      </c>
      <c r="J916" s="10" t="s">
        <v>1765</v>
      </c>
      <c r="K916" s="6">
        <v>4</v>
      </c>
      <c r="L916" s="6">
        <v>4</v>
      </c>
      <c r="N916" s="10">
        <v>4236</v>
      </c>
      <c r="P916" s="25">
        <v>1198</v>
      </c>
      <c r="W916" s="10">
        <v>3077</v>
      </c>
      <c r="Y916" s="10">
        <v>741</v>
      </c>
      <c r="AD916" s="14">
        <f t="shared" si="115"/>
        <v>0.72639282341831912</v>
      </c>
      <c r="AE916" s="14">
        <f t="shared" si="126"/>
        <v>0.61853088480801333</v>
      </c>
      <c r="AI916" s="3">
        <f t="shared" si="127"/>
        <v>1.3449237082263323</v>
      </c>
      <c r="AQ916">
        <v>100</v>
      </c>
      <c r="AR916" t="s">
        <v>14</v>
      </c>
      <c r="AT916" t="s">
        <v>3</v>
      </c>
      <c r="AU916" s="10" t="s">
        <v>2</v>
      </c>
      <c r="AV916" s="10" t="s">
        <v>3</v>
      </c>
    </row>
    <row r="917" spans="1:49" x14ac:dyDescent="0.3">
      <c r="A917" s="26" t="s">
        <v>1604</v>
      </c>
      <c r="B917" t="s">
        <v>1631</v>
      </c>
      <c r="C917" t="s">
        <v>1628</v>
      </c>
      <c r="E917" s="10" t="s">
        <v>882</v>
      </c>
      <c r="F917" t="s">
        <v>2661</v>
      </c>
      <c r="G917" s="16" t="s">
        <v>1770</v>
      </c>
      <c r="H917" s="10" t="s">
        <v>217</v>
      </c>
      <c r="I917" s="10" t="s">
        <v>1767</v>
      </c>
      <c r="J917" s="10" t="s">
        <v>1765</v>
      </c>
      <c r="K917" s="6">
        <v>4</v>
      </c>
      <c r="L917" s="6">
        <v>4</v>
      </c>
      <c r="N917" s="10">
        <v>4236</v>
      </c>
      <c r="P917" s="25">
        <v>1198</v>
      </c>
      <c r="W917" s="10">
        <v>3150</v>
      </c>
      <c r="Y917" s="10">
        <v>387</v>
      </c>
      <c r="AD917" s="14">
        <f t="shared" si="115"/>
        <v>0.74362606232294615</v>
      </c>
      <c r="AE917" s="14">
        <f t="shared" si="126"/>
        <v>0.32303839732888145</v>
      </c>
      <c r="AI917" s="3">
        <f t="shared" si="127"/>
        <v>1.0666644596518275</v>
      </c>
      <c r="AQ917">
        <v>100</v>
      </c>
      <c r="AR917" t="s">
        <v>14</v>
      </c>
      <c r="AT917" t="s">
        <v>3</v>
      </c>
      <c r="AU917" s="10" t="s">
        <v>2</v>
      </c>
      <c r="AV917" s="10" t="s">
        <v>3</v>
      </c>
    </row>
    <row r="918" spans="1:49" x14ac:dyDescent="0.3">
      <c r="A918" s="26" t="s">
        <v>1604</v>
      </c>
      <c r="B918" t="s">
        <v>1631</v>
      </c>
      <c r="C918" t="s">
        <v>1628</v>
      </c>
      <c r="E918" s="10" t="s">
        <v>882</v>
      </c>
      <c r="F918" t="s">
        <v>2661</v>
      </c>
      <c r="G918" s="16" t="s">
        <v>1770</v>
      </c>
      <c r="H918" s="10" t="s">
        <v>217</v>
      </c>
      <c r="I918" s="10" t="s">
        <v>1768</v>
      </c>
      <c r="J918" s="10" t="s">
        <v>1765</v>
      </c>
      <c r="K918" s="6">
        <v>4</v>
      </c>
      <c r="L918" s="6">
        <v>4</v>
      </c>
      <c r="N918" s="10">
        <v>4236</v>
      </c>
      <c r="P918" s="25">
        <v>1198</v>
      </c>
      <c r="W918" s="10">
        <v>3324</v>
      </c>
      <c r="Y918" s="10">
        <v>301</v>
      </c>
      <c r="AD918" s="14">
        <f t="shared" si="115"/>
        <v>0.7847025495750708</v>
      </c>
      <c r="AE918" s="14">
        <f t="shared" si="126"/>
        <v>0.25125208681135225</v>
      </c>
      <c r="AI918" s="3">
        <f t="shared" si="127"/>
        <v>1.0359546363864229</v>
      </c>
      <c r="AQ918">
        <v>100</v>
      </c>
      <c r="AR918" t="s">
        <v>14</v>
      </c>
      <c r="AT918" t="s">
        <v>3</v>
      </c>
      <c r="AU918" s="10" t="s">
        <v>2</v>
      </c>
      <c r="AV918" s="10" t="s">
        <v>3</v>
      </c>
    </row>
    <row r="919" spans="1:49" x14ac:dyDescent="0.3">
      <c r="A919" s="26" t="s">
        <v>1604</v>
      </c>
      <c r="B919" t="s">
        <v>1631</v>
      </c>
      <c r="C919" t="s">
        <v>1628</v>
      </c>
      <c r="E919" s="10" t="s">
        <v>882</v>
      </c>
      <c r="F919" t="s">
        <v>2661</v>
      </c>
      <c r="G919" s="16" t="s">
        <v>1770</v>
      </c>
      <c r="H919" s="10" t="s">
        <v>217</v>
      </c>
      <c r="I919" s="10" t="s">
        <v>1769</v>
      </c>
      <c r="J919" s="10" t="s">
        <v>1765</v>
      </c>
      <c r="K919" s="6">
        <v>4</v>
      </c>
      <c r="L919" s="6">
        <v>4</v>
      </c>
      <c r="N919" s="10">
        <v>4236</v>
      </c>
      <c r="P919" s="25">
        <v>1198</v>
      </c>
      <c r="W919" s="10">
        <v>3473</v>
      </c>
      <c r="Y919" s="10">
        <v>263</v>
      </c>
      <c r="AD919" s="14">
        <f t="shared" si="115"/>
        <v>0.81987724268177531</v>
      </c>
      <c r="AE919" s="14">
        <f t="shared" si="126"/>
        <v>0.21953255425709517</v>
      </c>
      <c r="AI919" s="3">
        <f t="shared" si="127"/>
        <v>1.0394097969388705</v>
      </c>
      <c r="AQ919">
        <v>100</v>
      </c>
      <c r="AR919" t="s">
        <v>14</v>
      </c>
      <c r="AT919" t="s">
        <v>3</v>
      </c>
      <c r="AU919" s="10" t="s">
        <v>2</v>
      </c>
      <c r="AV919" s="10" t="s">
        <v>3</v>
      </c>
    </row>
    <row r="920" spans="1:49" x14ac:dyDescent="0.3">
      <c r="A920" s="8" t="s">
        <v>1607</v>
      </c>
      <c r="B920" t="s">
        <v>50</v>
      </c>
      <c r="C920" t="s">
        <v>1777</v>
      </c>
      <c r="D920" t="s">
        <v>1778</v>
      </c>
      <c r="E920" s="10" t="s">
        <v>1779</v>
      </c>
      <c r="F920" t="s">
        <v>2661</v>
      </c>
      <c r="G920" s="16" t="s">
        <v>22</v>
      </c>
      <c r="H920" s="10" t="s">
        <v>217</v>
      </c>
      <c r="I920" s="10" t="s">
        <v>1783</v>
      </c>
      <c r="J920" s="10" t="s">
        <v>1782</v>
      </c>
      <c r="K920" s="6">
        <v>4</v>
      </c>
      <c r="L920" s="6">
        <v>4</v>
      </c>
      <c r="N920" s="10">
        <v>50.35</v>
      </c>
      <c r="P920" s="10">
        <v>14.16</v>
      </c>
      <c r="W920" s="10">
        <v>15.94</v>
      </c>
      <c r="Y920" s="10">
        <v>11.77</v>
      </c>
      <c r="AD920" s="14">
        <f t="shared" si="115"/>
        <v>0.31658391261171798</v>
      </c>
      <c r="AE920" s="14">
        <f t="shared" si="126"/>
        <v>0.83121468926553665</v>
      </c>
      <c r="AI920" s="3">
        <f t="shared" si="127"/>
        <v>1.1477986018772546</v>
      </c>
      <c r="AQ920">
        <v>120</v>
      </c>
      <c r="AR920" t="s">
        <v>14</v>
      </c>
      <c r="AT920" t="s">
        <v>3</v>
      </c>
      <c r="AU920" s="10" t="s">
        <v>2</v>
      </c>
      <c r="AV920" s="10" t="s">
        <v>3</v>
      </c>
      <c r="AW920" t="s">
        <v>1780</v>
      </c>
    </row>
    <row r="921" spans="1:49" x14ac:dyDescent="0.3">
      <c r="A921" s="8" t="s">
        <v>1607</v>
      </c>
      <c r="B921" t="s">
        <v>50</v>
      </c>
      <c r="C921" t="s">
        <v>1777</v>
      </c>
      <c r="D921" t="s">
        <v>1778</v>
      </c>
      <c r="E921" s="10" t="s">
        <v>1779</v>
      </c>
      <c r="F921" t="s">
        <v>2661</v>
      </c>
      <c r="G921" s="16" t="s">
        <v>22</v>
      </c>
      <c r="H921" s="10" t="s">
        <v>217</v>
      </c>
      <c r="I921" s="10" t="s">
        <v>1784</v>
      </c>
      <c r="J921" s="10" t="s">
        <v>1782</v>
      </c>
      <c r="K921" s="6">
        <v>4</v>
      </c>
      <c r="L921" s="6">
        <v>4</v>
      </c>
      <c r="N921" s="10">
        <v>50.35</v>
      </c>
      <c r="P921" s="10">
        <v>14.16</v>
      </c>
      <c r="W921" s="10">
        <v>22.46</v>
      </c>
      <c r="Y921" s="10">
        <v>10.86</v>
      </c>
      <c r="AD921" s="14">
        <f t="shared" si="115"/>
        <v>0.44607745779543195</v>
      </c>
      <c r="AE921" s="14">
        <f t="shared" si="126"/>
        <v>0.76694915254237284</v>
      </c>
      <c r="AI921" s="3">
        <f t="shared" si="127"/>
        <v>1.2130266103378049</v>
      </c>
      <c r="AQ921">
        <v>120</v>
      </c>
      <c r="AR921" t="s">
        <v>14</v>
      </c>
      <c r="AT921" t="s">
        <v>3</v>
      </c>
      <c r="AU921" s="10" t="s">
        <v>2</v>
      </c>
      <c r="AV921" s="10" t="s">
        <v>3</v>
      </c>
      <c r="AW921" t="s">
        <v>1780</v>
      </c>
    </row>
    <row r="922" spans="1:49" x14ac:dyDescent="0.3">
      <c r="A922" s="8" t="s">
        <v>1607</v>
      </c>
      <c r="B922" t="s">
        <v>50</v>
      </c>
      <c r="C922" t="s">
        <v>1777</v>
      </c>
      <c r="D922" t="s">
        <v>1778</v>
      </c>
      <c r="E922" s="10" t="s">
        <v>1779</v>
      </c>
      <c r="F922" t="s">
        <v>2661</v>
      </c>
      <c r="G922" s="16" t="s">
        <v>22</v>
      </c>
      <c r="H922" s="10" t="s">
        <v>217</v>
      </c>
      <c r="I922" s="10" t="s">
        <v>1785</v>
      </c>
      <c r="J922" s="10" t="s">
        <v>1782</v>
      </c>
      <c r="K922" s="6">
        <v>4</v>
      </c>
      <c r="L922" s="6">
        <v>4</v>
      </c>
      <c r="N922" s="10">
        <v>50.35</v>
      </c>
      <c r="P922" s="10">
        <v>14.16</v>
      </c>
      <c r="W922" s="10">
        <v>25.36</v>
      </c>
      <c r="Y922" s="10">
        <v>8.7100000000000009</v>
      </c>
      <c r="AD922" s="14">
        <f t="shared" si="115"/>
        <v>0.50367428003972192</v>
      </c>
      <c r="AE922" s="14">
        <f t="shared" si="126"/>
        <v>0.61511299435028255</v>
      </c>
      <c r="AI922" s="3">
        <f t="shared" si="127"/>
        <v>1.1187872743900045</v>
      </c>
      <c r="AQ922">
        <v>120</v>
      </c>
      <c r="AR922" t="s">
        <v>14</v>
      </c>
      <c r="AT922" t="s">
        <v>3</v>
      </c>
      <c r="AU922" s="10" t="s">
        <v>2</v>
      </c>
      <c r="AV922" s="10" t="s">
        <v>3</v>
      </c>
      <c r="AW922" t="s">
        <v>1780</v>
      </c>
    </row>
    <row r="923" spans="1:49" x14ac:dyDescent="0.3">
      <c r="A923" s="8" t="s">
        <v>1607</v>
      </c>
      <c r="B923" t="s">
        <v>50</v>
      </c>
      <c r="C923" t="s">
        <v>1777</v>
      </c>
      <c r="D923" t="s">
        <v>1778</v>
      </c>
      <c r="E923" s="10" t="s">
        <v>1779</v>
      </c>
      <c r="F923" t="s">
        <v>2661</v>
      </c>
      <c r="G923" s="16" t="s">
        <v>22</v>
      </c>
      <c r="H923" s="10" t="s">
        <v>217</v>
      </c>
      <c r="I923" s="10" t="s">
        <v>1786</v>
      </c>
      <c r="J923" s="10" t="s">
        <v>1782</v>
      </c>
      <c r="K923" s="6">
        <v>4</v>
      </c>
      <c r="L923" s="6">
        <v>4</v>
      </c>
      <c r="N923" s="10">
        <v>50.35</v>
      </c>
      <c r="P923" s="10">
        <v>14.16</v>
      </c>
      <c r="W923" s="10">
        <v>31.38</v>
      </c>
      <c r="Y923" s="10">
        <v>8.5500000000000007</v>
      </c>
      <c r="AD923" s="14">
        <f t="shared" si="115"/>
        <v>0.62323733862959285</v>
      </c>
      <c r="AE923" s="14">
        <f t="shared" si="126"/>
        <v>0.60381355932203395</v>
      </c>
      <c r="AI923" s="3">
        <f t="shared" si="127"/>
        <v>1.2270508979516268</v>
      </c>
      <c r="AQ923">
        <v>120</v>
      </c>
      <c r="AR923" t="s">
        <v>14</v>
      </c>
      <c r="AT923" t="s">
        <v>3</v>
      </c>
      <c r="AU923" s="10" t="s">
        <v>2</v>
      </c>
      <c r="AV923" s="10" t="s">
        <v>3</v>
      </c>
      <c r="AW923" t="s">
        <v>1780</v>
      </c>
    </row>
    <row r="924" spans="1:49" x14ac:dyDescent="0.3">
      <c r="A924" s="8" t="s">
        <v>1607</v>
      </c>
      <c r="B924" t="s">
        <v>50</v>
      </c>
      <c r="C924" t="s">
        <v>1777</v>
      </c>
      <c r="D924" t="s">
        <v>1778</v>
      </c>
      <c r="E924" s="10" t="s">
        <v>1781</v>
      </c>
      <c r="F924" t="s">
        <v>2661</v>
      </c>
      <c r="G924" s="16" t="s">
        <v>22</v>
      </c>
      <c r="H924" s="10" t="s">
        <v>217</v>
      </c>
      <c r="I924" s="10" t="s">
        <v>1783</v>
      </c>
      <c r="J924" s="10" t="s">
        <v>1782</v>
      </c>
      <c r="K924" s="6">
        <v>4</v>
      </c>
      <c r="L924" s="6">
        <v>4</v>
      </c>
      <c r="N924" s="10">
        <v>53.59</v>
      </c>
      <c r="P924" s="10">
        <v>13.66</v>
      </c>
      <c r="W924" s="10">
        <v>18.66</v>
      </c>
      <c r="Y924" s="10">
        <v>11.59</v>
      </c>
      <c r="AD924" s="14">
        <f t="shared" si="115"/>
        <v>0.34819929091248364</v>
      </c>
      <c r="AE924" s="14">
        <f t="shared" si="126"/>
        <v>0.84846266471449483</v>
      </c>
      <c r="AI924" s="3">
        <f t="shared" si="127"/>
        <v>1.1966619556269784</v>
      </c>
      <c r="AQ924">
        <v>120</v>
      </c>
      <c r="AR924" t="s">
        <v>14</v>
      </c>
      <c r="AT924" t="s">
        <v>3</v>
      </c>
      <c r="AU924" s="10" t="s">
        <v>2</v>
      </c>
      <c r="AV924" s="10" t="s">
        <v>3</v>
      </c>
      <c r="AW924" t="s">
        <v>1780</v>
      </c>
    </row>
    <row r="925" spans="1:49" x14ac:dyDescent="0.3">
      <c r="A925" s="8" t="s">
        <v>1607</v>
      </c>
      <c r="B925" t="s">
        <v>50</v>
      </c>
      <c r="C925" t="s">
        <v>1777</v>
      </c>
      <c r="D925" t="s">
        <v>1778</v>
      </c>
      <c r="E925" s="10" t="s">
        <v>1781</v>
      </c>
      <c r="F925" t="s">
        <v>2661</v>
      </c>
      <c r="G925" s="16" t="s">
        <v>22</v>
      </c>
      <c r="H925" s="10" t="s">
        <v>217</v>
      </c>
      <c r="I925" s="10" t="s">
        <v>1784</v>
      </c>
      <c r="J925" s="10" t="s">
        <v>1782</v>
      </c>
      <c r="K925" s="6">
        <v>4</v>
      </c>
      <c r="L925" s="6">
        <v>4</v>
      </c>
      <c r="N925" s="10">
        <v>53.59</v>
      </c>
      <c r="P925" s="10">
        <v>13.66</v>
      </c>
      <c r="W925" s="10">
        <v>21.33</v>
      </c>
      <c r="Y925" s="10">
        <v>10.5</v>
      </c>
      <c r="AD925" s="14">
        <f t="shared" si="115"/>
        <v>0.39802201903340167</v>
      </c>
      <c r="AE925" s="14">
        <f t="shared" si="126"/>
        <v>0.76866764275256216</v>
      </c>
      <c r="AI925" s="3">
        <f t="shared" si="127"/>
        <v>1.1666896617859639</v>
      </c>
      <c r="AQ925">
        <v>120</v>
      </c>
      <c r="AR925" t="s">
        <v>14</v>
      </c>
      <c r="AT925" t="s">
        <v>3</v>
      </c>
      <c r="AU925" s="10" t="s">
        <v>2</v>
      </c>
      <c r="AV925" s="10" t="s">
        <v>3</v>
      </c>
      <c r="AW925" t="s">
        <v>1780</v>
      </c>
    </row>
    <row r="926" spans="1:49" x14ac:dyDescent="0.3">
      <c r="A926" s="8" t="s">
        <v>1607</v>
      </c>
      <c r="B926" t="s">
        <v>50</v>
      </c>
      <c r="C926" t="s">
        <v>1777</v>
      </c>
      <c r="D926" t="s">
        <v>1778</v>
      </c>
      <c r="E926" s="10" t="s">
        <v>1781</v>
      </c>
      <c r="F926" t="s">
        <v>2661</v>
      </c>
      <c r="G926" s="16" t="s">
        <v>22</v>
      </c>
      <c r="H926" s="10" t="s">
        <v>217</v>
      </c>
      <c r="I926" s="10" t="s">
        <v>1785</v>
      </c>
      <c r="J926" s="10" t="s">
        <v>1782</v>
      </c>
      <c r="K926" s="6">
        <v>4</v>
      </c>
      <c r="L926" s="6">
        <v>4</v>
      </c>
      <c r="N926" s="10">
        <v>53.59</v>
      </c>
      <c r="P926" s="10">
        <v>13.66</v>
      </c>
      <c r="W926" s="10">
        <v>24.26</v>
      </c>
      <c r="Y926" s="10">
        <v>8.33</v>
      </c>
      <c r="AD926" s="14">
        <f t="shared" si="115"/>
        <v>0.45269639858182498</v>
      </c>
      <c r="AE926" s="14">
        <f t="shared" si="126"/>
        <v>0.60980966325036601</v>
      </c>
      <c r="AI926" s="3">
        <f t="shared" si="127"/>
        <v>1.0625060618321909</v>
      </c>
      <c r="AQ926">
        <v>120</v>
      </c>
      <c r="AR926" t="s">
        <v>14</v>
      </c>
      <c r="AT926" t="s">
        <v>3</v>
      </c>
      <c r="AU926" s="10" t="s">
        <v>2</v>
      </c>
      <c r="AV926" s="10" t="s">
        <v>3</v>
      </c>
      <c r="AW926" t="s">
        <v>1780</v>
      </c>
    </row>
    <row r="927" spans="1:49" x14ac:dyDescent="0.3">
      <c r="A927" s="8" t="s">
        <v>1607</v>
      </c>
      <c r="B927" t="s">
        <v>50</v>
      </c>
      <c r="C927" t="s">
        <v>1777</v>
      </c>
      <c r="D927" t="s">
        <v>1778</v>
      </c>
      <c r="E927" s="10" t="s">
        <v>1781</v>
      </c>
      <c r="F927" t="s">
        <v>2661</v>
      </c>
      <c r="G927" s="16" t="s">
        <v>22</v>
      </c>
      <c r="H927" s="10" t="s">
        <v>217</v>
      </c>
      <c r="I927" s="10" t="s">
        <v>1786</v>
      </c>
      <c r="J927" s="10" t="s">
        <v>1782</v>
      </c>
      <c r="K927" s="6">
        <v>4</v>
      </c>
      <c r="L927" s="6">
        <v>4</v>
      </c>
      <c r="N927" s="10">
        <v>53.59</v>
      </c>
      <c r="P927" s="10">
        <v>13.66</v>
      </c>
      <c r="W927" s="10">
        <v>30.39</v>
      </c>
      <c r="Y927" s="10">
        <v>8.4</v>
      </c>
      <c r="AD927" s="14">
        <f t="shared" si="115"/>
        <v>0.5670834110841575</v>
      </c>
      <c r="AE927" s="14">
        <f t="shared" si="126"/>
        <v>0.6149341142020498</v>
      </c>
      <c r="AI927" s="3">
        <f t="shared" si="127"/>
        <v>1.1820175252862073</v>
      </c>
      <c r="AQ927">
        <v>120</v>
      </c>
      <c r="AR927" t="s">
        <v>14</v>
      </c>
      <c r="AT927" t="s">
        <v>3</v>
      </c>
      <c r="AU927" s="10" t="s">
        <v>2</v>
      </c>
      <c r="AV927" s="10" t="s">
        <v>3</v>
      </c>
      <c r="AW927" t="s">
        <v>1780</v>
      </c>
    </row>
    <row r="928" spans="1:49" x14ac:dyDescent="0.3">
      <c r="A928" s="8" t="s">
        <v>1607</v>
      </c>
      <c r="B928" t="s">
        <v>50</v>
      </c>
      <c r="C928" t="s">
        <v>1777</v>
      </c>
      <c r="D928" t="s">
        <v>1778</v>
      </c>
      <c r="E928" s="10" t="s">
        <v>1779</v>
      </c>
      <c r="F928" t="s">
        <v>2661</v>
      </c>
      <c r="G928" s="16" t="s">
        <v>34</v>
      </c>
      <c r="H928" s="10" t="s">
        <v>217</v>
      </c>
      <c r="I928" s="10" t="s">
        <v>1725</v>
      </c>
      <c r="J928" s="10" t="s">
        <v>1782</v>
      </c>
      <c r="K928" s="6">
        <v>4</v>
      </c>
      <c r="L928" s="6">
        <v>4</v>
      </c>
      <c r="N928" s="10">
        <v>50.35</v>
      </c>
      <c r="P928" s="10">
        <v>14.16</v>
      </c>
      <c r="W928" s="10">
        <v>18.11</v>
      </c>
      <c r="Y928" s="10">
        <v>10.220000000000001</v>
      </c>
      <c r="AD928" s="14">
        <f t="shared" si="115"/>
        <v>0.359682224428997</v>
      </c>
      <c r="AE928" s="14">
        <f t="shared" si="126"/>
        <v>0.72175141242937857</v>
      </c>
      <c r="AI928" s="3">
        <f t="shared" si="127"/>
        <v>1.0814336368583755</v>
      </c>
      <c r="AQ928">
        <v>120</v>
      </c>
      <c r="AR928" t="s">
        <v>14</v>
      </c>
      <c r="AT928" t="s">
        <v>3</v>
      </c>
      <c r="AU928" s="10" t="s">
        <v>2</v>
      </c>
      <c r="AV928" s="10" t="s">
        <v>3</v>
      </c>
      <c r="AW928" t="s">
        <v>1780</v>
      </c>
    </row>
    <row r="929" spans="1:49" x14ac:dyDescent="0.3">
      <c r="A929" s="8" t="s">
        <v>1607</v>
      </c>
      <c r="B929" t="s">
        <v>50</v>
      </c>
      <c r="C929" t="s">
        <v>1777</v>
      </c>
      <c r="D929" t="s">
        <v>1778</v>
      </c>
      <c r="E929" s="10" t="s">
        <v>1779</v>
      </c>
      <c r="F929" t="s">
        <v>2661</v>
      </c>
      <c r="G929" s="16" t="s">
        <v>34</v>
      </c>
      <c r="H929" s="10" t="s">
        <v>217</v>
      </c>
      <c r="I929" s="10" t="s">
        <v>1787</v>
      </c>
      <c r="J929" s="10" t="s">
        <v>1782</v>
      </c>
      <c r="K929" s="6">
        <v>4</v>
      </c>
      <c r="L929" s="6">
        <v>4</v>
      </c>
      <c r="N929" s="10">
        <v>50.35</v>
      </c>
      <c r="P929" s="10">
        <v>14.16</v>
      </c>
      <c r="W929" s="10">
        <v>28.98</v>
      </c>
      <c r="Y929" s="10">
        <v>8.98</v>
      </c>
      <c r="AD929" s="14">
        <f t="shared" si="115"/>
        <v>0.57557100297914598</v>
      </c>
      <c r="AE929" s="14">
        <f t="shared" si="126"/>
        <v>0.63418079096045199</v>
      </c>
      <c r="AI929" s="3">
        <f t="shared" si="127"/>
        <v>1.2097517939395979</v>
      </c>
      <c r="AQ929">
        <v>120</v>
      </c>
      <c r="AR929" t="s">
        <v>14</v>
      </c>
      <c r="AT929" t="s">
        <v>3</v>
      </c>
      <c r="AU929" s="10" t="s">
        <v>2</v>
      </c>
      <c r="AV929" s="10" t="s">
        <v>3</v>
      </c>
      <c r="AW929" t="s">
        <v>1780</v>
      </c>
    </row>
    <row r="930" spans="1:49" x14ac:dyDescent="0.3">
      <c r="A930" s="8" t="s">
        <v>1607</v>
      </c>
      <c r="B930" t="s">
        <v>50</v>
      </c>
      <c r="C930" t="s">
        <v>1777</v>
      </c>
      <c r="D930" t="s">
        <v>1778</v>
      </c>
      <c r="E930" s="10" t="s">
        <v>1779</v>
      </c>
      <c r="F930" t="s">
        <v>2661</v>
      </c>
      <c r="G930" s="16" t="s">
        <v>34</v>
      </c>
      <c r="H930" s="10" t="s">
        <v>217</v>
      </c>
      <c r="I930" s="10" t="s">
        <v>1788</v>
      </c>
      <c r="J930" s="10" t="s">
        <v>1782</v>
      </c>
      <c r="K930" s="6">
        <v>4</v>
      </c>
      <c r="L930" s="6">
        <v>4</v>
      </c>
      <c r="N930" s="10">
        <v>50.35</v>
      </c>
      <c r="P930" s="10">
        <v>14.16</v>
      </c>
      <c r="W930" s="10">
        <v>30.79</v>
      </c>
      <c r="Y930" s="10">
        <v>7.6</v>
      </c>
      <c r="AD930" s="14">
        <f t="shared" si="115"/>
        <v>0.61151936444885791</v>
      </c>
      <c r="AE930" s="14">
        <f t="shared" si="126"/>
        <v>0.53672316384180785</v>
      </c>
      <c r="AI930" s="3">
        <f t="shared" si="127"/>
        <v>1.1482425282906656</v>
      </c>
      <c r="AQ930">
        <v>120</v>
      </c>
      <c r="AR930" t="s">
        <v>14</v>
      </c>
      <c r="AT930" t="s">
        <v>3</v>
      </c>
      <c r="AU930" s="10" t="s">
        <v>2</v>
      </c>
      <c r="AV930" s="10" t="s">
        <v>3</v>
      </c>
      <c r="AW930" t="s">
        <v>1780</v>
      </c>
    </row>
    <row r="931" spans="1:49" x14ac:dyDescent="0.3">
      <c r="A931" s="8" t="s">
        <v>1607</v>
      </c>
      <c r="B931" t="s">
        <v>50</v>
      </c>
      <c r="C931" t="s">
        <v>1777</v>
      </c>
      <c r="D931" t="s">
        <v>1778</v>
      </c>
      <c r="E931" s="10" t="s">
        <v>1779</v>
      </c>
      <c r="F931" t="s">
        <v>2661</v>
      </c>
      <c r="G931" s="16" t="s">
        <v>34</v>
      </c>
      <c r="H931" s="10" t="s">
        <v>217</v>
      </c>
      <c r="I931" s="10" t="s">
        <v>1789</v>
      </c>
      <c r="J931" s="10" t="s">
        <v>1782</v>
      </c>
      <c r="K931" s="6">
        <v>4</v>
      </c>
      <c r="L931" s="6">
        <v>4</v>
      </c>
      <c r="N931" s="10">
        <v>50.35</v>
      </c>
      <c r="P931" s="10">
        <v>14.16</v>
      </c>
      <c r="W931" s="10">
        <v>37.67</v>
      </c>
      <c r="Y931" s="10">
        <v>6.55</v>
      </c>
      <c r="AD931" s="14">
        <f t="shared" si="115"/>
        <v>0.74816285998013909</v>
      </c>
      <c r="AE931" s="14">
        <f t="shared" si="126"/>
        <v>0.46257062146892652</v>
      </c>
      <c r="AI931" s="3">
        <f t="shared" si="127"/>
        <v>1.2107334814490656</v>
      </c>
      <c r="AQ931">
        <v>120</v>
      </c>
      <c r="AR931" t="s">
        <v>14</v>
      </c>
      <c r="AT931" t="s">
        <v>3</v>
      </c>
      <c r="AU931" s="10" t="s">
        <v>2</v>
      </c>
      <c r="AV931" s="10" t="s">
        <v>3</v>
      </c>
      <c r="AW931" t="s">
        <v>1780</v>
      </c>
    </row>
    <row r="932" spans="1:49" x14ac:dyDescent="0.3">
      <c r="A932" s="8" t="s">
        <v>1607</v>
      </c>
      <c r="B932" t="s">
        <v>50</v>
      </c>
      <c r="C932" t="s">
        <v>1777</v>
      </c>
      <c r="D932" t="s">
        <v>1778</v>
      </c>
      <c r="E932" s="10" t="s">
        <v>1781</v>
      </c>
      <c r="F932" t="s">
        <v>2661</v>
      </c>
      <c r="G932" s="16" t="s">
        <v>34</v>
      </c>
      <c r="H932" s="10" t="s">
        <v>217</v>
      </c>
      <c r="I932" s="10" t="s">
        <v>1725</v>
      </c>
      <c r="J932" s="10" t="s">
        <v>1782</v>
      </c>
      <c r="K932" s="6">
        <v>4</v>
      </c>
      <c r="L932" s="6">
        <v>4</v>
      </c>
      <c r="N932" s="10">
        <v>53.59</v>
      </c>
      <c r="P932" s="10">
        <v>13.66</v>
      </c>
      <c r="W932" s="10">
        <v>19.989999999999998</v>
      </c>
      <c r="Y932" s="10">
        <v>9.9600000000000009</v>
      </c>
      <c r="AD932" s="14">
        <f t="shared" si="115"/>
        <v>0.37301735398395219</v>
      </c>
      <c r="AE932" s="14">
        <f t="shared" si="126"/>
        <v>0.72913616398243053</v>
      </c>
      <c r="AI932" s="3">
        <f t="shared" si="127"/>
        <v>1.1021535179663826</v>
      </c>
      <c r="AQ932">
        <v>120</v>
      </c>
      <c r="AR932" t="s">
        <v>14</v>
      </c>
      <c r="AT932" t="s">
        <v>3</v>
      </c>
      <c r="AU932" s="10" t="s">
        <v>2</v>
      </c>
      <c r="AV932" s="10" t="s">
        <v>3</v>
      </c>
      <c r="AW932" t="s">
        <v>1780</v>
      </c>
    </row>
    <row r="933" spans="1:49" x14ac:dyDescent="0.3">
      <c r="A933" s="8" t="s">
        <v>1607</v>
      </c>
      <c r="B933" t="s">
        <v>50</v>
      </c>
      <c r="C933" t="s">
        <v>1777</v>
      </c>
      <c r="D933" t="s">
        <v>1778</v>
      </c>
      <c r="E933" s="10" t="s">
        <v>1781</v>
      </c>
      <c r="F933" t="s">
        <v>2661</v>
      </c>
      <c r="G933" s="16" t="s">
        <v>34</v>
      </c>
      <c r="H933" s="10" t="s">
        <v>217</v>
      </c>
      <c r="I933" s="10" t="s">
        <v>1787</v>
      </c>
      <c r="J933" s="10" t="s">
        <v>1782</v>
      </c>
      <c r="K933" s="6">
        <v>4</v>
      </c>
      <c r="L933" s="6">
        <v>4</v>
      </c>
      <c r="N933" s="10">
        <v>53.59</v>
      </c>
      <c r="P933" s="10">
        <v>13.66</v>
      </c>
      <c r="W933" s="10">
        <v>29.86</v>
      </c>
      <c r="Y933" s="10">
        <v>8.41</v>
      </c>
      <c r="AD933" s="14">
        <f t="shared" si="115"/>
        <v>0.55719350625116626</v>
      </c>
      <c r="AE933" s="14">
        <f t="shared" si="126"/>
        <v>0.61566617862371886</v>
      </c>
      <c r="AI933" s="3">
        <f t="shared" si="127"/>
        <v>1.1728596848748851</v>
      </c>
      <c r="AQ933">
        <v>120</v>
      </c>
      <c r="AR933" t="s">
        <v>14</v>
      </c>
      <c r="AT933" t="s">
        <v>3</v>
      </c>
      <c r="AU933" s="10" t="s">
        <v>2</v>
      </c>
      <c r="AV933" s="10" t="s">
        <v>3</v>
      </c>
      <c r="AW933" t="s">
        <v>1780</v>
      </c>
    </row>
    <row r="934" spans="1:49" x14ac:dyDescent="0.3">
      <c r="A934" s="8" t="s">
        <v>1607</v>
      </c>
      <c r="B934" t="s">
        <v>50</v>
      </c>
      <c r="C934" t="s">
        <v>1777</v>
      </c>
      <c r="D934" t="s">
        <v>1778</v>
      </c>
      <c r="E934" s="10" t="s">
        <v>1781</v>
      </c>
      <c r="F934" t="s">
        <v>2661</v>
      </c>
      <c r="G934" s="16" t="s">
        <v>34</v>
      </c>
      <c r="H934" s="10" t="s">
        <v>217</v>
      </c>
      <c r="I934" s="10" t="s">
        <v>1788</v>
      </c>
      <c r="J934" s="10" t="s">
        <v>1782</v>
      </c>
      <c r="K934" s="6">
        <v>4</v>
      </c>
      <c r="L934" s="6">
        <v>4</v>
      </c>
      <c r="N934" s="10">
        <v>53.59</v>
      </c>
      <c r="P934" s="10">
        <v>13.66</v>
      </c>
      <c r="W934" s="10">
        <v>29.86</v>
      </c>
      <c r="Y934" s="10">
        <v>7.24</v>
      </c>
      <c r="AD934" s="14">
        <f t="shared" si="115"/>
        <v>0.55719350625116626</v>
      </c>
      <c r="AE934" s="14">
        <f t="shared" si="126"/>
        <v>0.53001464128843334</v>
      </c>
      <c r="AI934" s="3">
        <f t="shared" si="127"/>
        <v>1.0872081475395996</v>
      </c>
      <c r="AQ934">
        <v>120</v>
      </c>
      <c r="AR934" t="s">
        <v>14</v>
      </c>
      <c r="AT934" t="s">
        <v>3</v>
      </c>
      <c r="AU934" s="10" t="s">
        <v>2</v>
      </c>
      <c r="AV934" s="10" t="s">
        <v>3</v>
      </c>
      <c r="AW934" t="s">
        <v>1780</v>
      </c>
    </row>
    <row r="935" spans="1:49" x14ac:dyDescent="0.3">
      <c r="A935" s="8" t="s">
        <v>1607</v>
      </c>
      <c r="B935" t="s">
        <v>50</v>
      </c>
      <c r="C935" t="s">
        <v>1777</v>
      </c>
      <c r="D935" t="s">
        <v>1778</v>
      </c>
      <c r="E935" s="10" t="s">
        <v>1781</v>
      </c>
      <c r="F935" t="s">
        <v>2661</v>
      </c>
      <c r="G935" s="16" t="s">
        <v>34</v>
      </c>
      <c r="H935" s="10" t="s">
        <v>217</v>
      </c>
      <c r="I935" s="10" t="s">
        <v>1789</v>
      </c>
      <c r="J935" s="10" t="s">
        <v>1782</v>
      </c>
      <c r="K935" s="6">
        <v>4</v>
      </c>
      <c r="L935" s="6">
        <v>4</v>
      </c>
      <c r="N935" s="10">
        <v>53.59</v>
      </c>
      <c r="P935" s="10">
        <v>13.66</v>
      </c>
      <c r="W935" s="10">
        <v>39.99</v>
      </c>
      <c r="Y935" s="10">
        <v>6.26</v>
      </c>
      <c r="AD935" s="14">
        <f t="shared" si="115"/>
        <v>0.74622130994588542</v>
      </c>
      <c r="AE935" s="14">
        <f t="shared" si="126"/>
        <v>0.45827232796486089</v>
      </c>
      <c r="AI935" s="3">
        <f t="shared" si="127"/>
        <v>1.2044936379107463</v>
      </c>
      <c r="AQ935">
        <v>120</v>
      </c>
      <c r="AR935" t="s">
        <v>14</v>
      </c>
      <c r="AT935" t="s">
        <v>3</v>
      </c>
      <c r="AU935" s="10" t="s">
        <v>2</v>
      </c>
      <c r="AV935" s="10" t="s">
        <v>3</v>
      </c>
      <c r="AW935" t="s">
        <v>1780</v>
      </c>
    </row>
    <row r="936" spans="1:49" s="12" customFormat="1" x14ac:dyDescent="0.3">
      <c r="A936" s="23" t="s">
        <v>1598</v>
      </c>
      <c r="B936" s="10" t="s">
        <v>1631</v>
      </c>
      <c r="C936" s="10" t="s">
        <v>1814</v>
      </c>
      <c r="D936" s="10" t="s">
        <v>1813</v>
      </c>
      <c r="E936" s="10" t="s">
        <v>1815</v>
      </c>
      <c r="F936" t="s">
        <v>2661</v>
      </c>
      <c r="G936" s="16" t="s">
        <v>34</v>
      </c>
      <c r="H936" s="10" t="s">
        <v>17</v>
      </c>
      <c r="I936" s="10" t="s">
        <v>1725</v>
      </c>
      <c r="J936" s="10" t="s">
        <v>721</v>
      </c>
      <c r="K936" s="26">
        <v>3</v>
      </c>
      <c r="L936" s="26">
        <v>3</v>
      </c>
      <c r="M936" s="53"/>
      <c r="N936" s="10">
        <v>1510</v>
      </c>
      <c r="O936" s="10"/>
      <c r="P936" s="10"/>
      <c r="Q936" s="10"/>
      <c r="R936" s="10"/>
      <c r="S936" s="10"/>
      <c r="T936" s="10"/>
      <c r="U936" s="10"/>
      <c r="V936" s="10"/>
      <c r="W936" s="10">
        <v>1721</v>
      </c>
      <c r="X936" s="10"/>
      <c r="Y936" s="10"/>
      <c r="Z936" s="10"/>
      <c r="AA936" s="10"/>
      <c r="AB936" s="10"/>
      <c r="AC936" s="10"/>
      <c r="AD936" s="14">
        <f t="shared" si="115"/>
        <v>1.1397350993377484</v>
      </c>
      <c r="AE936" s="14"/>
      <c r="AF936" s="10"/>
      <c r="AG936" s="10"/>
      <c r="AH936" s="10"/>
      <c r="AI936" s="14">
        <f t="shared" si="127"/>
        <v>1.1397350993377484</v>
      </c>
      <c r="AJ936" s="10"/>
      <c r="AK936" s="10"/>
      <c r="AL936" s="10"/>
      <c r="AM936" s="10"/>
      <c r="AN936" s="10"/>
      <c r="AO936" s="10"/>
      <c r="AP936" s="10"/>
      <c r="AQ936" s="10">
        <v>60</v>
      </c>
      <c r="AR936" s="10" t="s">
        <v>14</v>
      </c>
      <c r="AS936" s="10" t="s">
        <v>2</v>
      </c>
      <c r="AT936" s="10"/>
      <c r="AU936" s="10" t="s">
        <v>2</v>
      </c>
      <c r="AV936" s="10" t="s">
        <v>2</v>
      </c>
      <c r="AW936" s="10"/>
    </row>
    <row r="937" spans="1:49" s="12" customFormat="1" x14ac:dyDescent="0.3">
      <c r="A937" s="23" t="s">
        <v>1598</v>
      </c>
      <c r="B937" s="10" t="s">
        <v>1631</v>
      </c>
      <c r="C937" s="10" t="s">
        <v>1814</v>
      </c>
      <c r="D937" s="10" t="s">
        <v>1813</v>
      </c>
      <c r="E937" s="10" t="s">
        <v>1815</v>
      </c>
      <c r="F937" t="s">
        <v>2661</v>
      </c>
      <c r="G937" s="16" t="s">
        <v>34</v>
      </c>
      <c r="H937" s="10" t="s">
        <v>17</v>
      </c>
      <c r="I937" s="10" t="s">
        <v>1736</v>
      </c>
      <c r="J937" s="10" t="s">
        <v>721</v>
      </c>
      <c r="K937" s="26">
        <v>3</v>
      </c>
      <c r="L937" s="26">
        <v>3</v>
      </c>
      <c r="M937" s="53"/>
      <c r="N937" s="10">
        <v>1510</v>
      </c>
      <c r="O937" s="10"/>
      <c r="P937" s="10"/>
      <c r="Q937" s="10"/>
      <c r="R937" s="10"/>
      <c r="S937" s="10"/>
      <c r="T937" s="10"/>
      <c r="U937" s="10"/>
      <c r="V937" s="10"/>
      <c r="W937" s="10">
        <v>1673</v>
      </c>
      <c r="X937" s="10"/>
      <c r="Y937" s="10"/>
      <c r="Z937" s="10"/>
      <c r="AA937" s="10"/>
      <c r="AB937" s="10"/>
      <c r="AC937" s="10"/>
      <c r="AD937" s="14">
        <f t="shared" si="115"/>
        <v>1.1079470198675496</v>
      </c>
      <c r="AE937" s="14"/>
      <c r="AF937" s="10"/>
      <c r="AG937" s="10"/>
      <c r="AH937" s="10"/>
      <c r="AI937" s="14">
        <f t="shared" si="127"/>
        <v>1.1079470198675496</v>
      </c>
      <c r="AJ937" s="10"/>
      <c r="AK937" s="10"/>
      <c r="AL937" s="10"/>
      <c r="AM937" s="10"/>
      <c r="AN937" s="10"/>
      <c r="AO937" s="10"/>
      <c r="AP937" s="10"/>
      <c r="AQ937" s="10">
        <v>60</v>
      </c>
      <c r="AR937" s="10" t="s">
        <v>14</v>
      </c>
      <c r="AS937" s="10" t="s">
        <v>2</v>
      </c>
      <c r="AT937" s="10"/>
      <c r="AU937" s="10" t="s">
        <v>2</v>
      </c>
      <c r="AV937" s="10" t="s">
        <v>2</v>
      </c>
      <c r="AW937" s="10"/>
    </row>
    <row r="938" spans="1:49" s="12" customFormat="1" x14ac:dyDescent="0.3">
      <c r="A938" s="23" t="s">
        <v>1598</v>
      </c>
      <c r="B938" s="10" t="s">
        <v>1631</v>
      </c>
      <c r="C938" s="10" t="s">
        <v>1814</v>
      </c>
      <c r="D938" s="10" t="s">
        <v>1813</v>
      </c>
      <c r="E938" s="10" t="s">
        <v>1815</v>
      </c>
      <c r="F938" t="s">
        <v>2661</v>
      </c>
      <c r="G938" s="16" t="s">
        <v>34</v>
      </c>
      <c r="H938" s="10" t="s">
        <v>17</v>
      </c>
      <c r="I938" s="10" t="s">
        <v>1728</v>
      </c>
      <c r="J938" s="10" t="s">
        <v>721</v>
      </c>
      <c r="K938" s="26">
        <v>3</v>
      </c>
      <c r="L938" s="26">
        <v>3</v>
      </c>
      <c r="M938" s="53"/>
      <c r="N938" s="10">
        <v>1510</v>
      </c>
      <c r="O938" s="10"/>
      <c r="P938" s="10"/>
      <c r="Q938" s="10"/>
      <c r="R938" s="10"/>
      <c r="S938" s="10"/>
      <c r="T938" s="10"/>
      <c r="U938" s="10"/>
      <c r="V938" s="10"/>
      <c r="W938" s="10">
        <v>1668</v>
      </c>
      <c r="X938" s="10"/>
      <c r="Y938" s="10"/>
      <c r="Z938" s="10"/>
      <c r="AA938" s="10"/>
      <c r="AB938" s="10"/>
      <c r="AC938" s="10"/>
      <c r="AD938" s="14">
        <f t="shared" si="115"/>
        <v>1.104635761589404</v>
      </c>
      <c r="AE938" s="14"/>
      <c r="AF938" s="10"/>
      <c r="AG938" s="10"/>
      <c r="AH938" s="10"/>
      <c r="AI938" s="14">
        <f t="shared" si="127"/>
        <v>1.104635761589404</v>
      </c>
      <c r="AJ938" s="10"/>
      <c r="AK938" s="10"/>
      <c r="AL938" s="10"/>
      <c r="AM938" s="10"/>
      <c r="AN938" s="10"/>
      <c r="AO938" s="10"/>
      <c r="AP938" s="10"/>
      <c r="AQ938" s="10">
        <v>60</v>
      </c>
      <c r="AR938" s="10" t="s">
        <v>14</v>
      </c>
      <c r="AS938" s="10" t="s">
        <v>2</v>
      </c>
      <c r="AT938" s="10"/>
      <c r="AU938" s="10" t="s">
        <v>2</v>
      </c>
      <c r="AV938" s="10" t="s">
        <v>2</v>
      </c>
      <c r="AW938" s="10"/>
    </row>
    <row r="939" spans="1:49" s="12" customFormat="1" x14ac:dyDescent="0.3">
      <c r="A939" s="23" t="s">
        <v>1599</v>
      </c>
      <c r="B939" s="10" t="s">
        <v>1818</v>
      </c>
      <c r="C939" s="10" t="s">
        <v>1817</v>
      </c>
      <c r="D939" s="10" t="s">
        <v>1816</v>
      </c>
      <c r="E939" s="10" t="s">
        <v>1781</v>
      </c>
      <c r="F939" t="s">
        <v>2661</v>
      </c>
      <c r="G939" s="16" t="s">
        <v>34</v>
      </c>
      <c r="H939" s="10" t="s">
        <v>17</v>
      </c>
      <c r="I939" s="10" t="s">
        <v>1821</v>
      </c>
      <c r="J939" s="10" t="s">
        <v>1819</v>
      </c>
      <c r="K939" s="26">
        <v>4</v>
      </c>
      <c r="L939" s="26">
        <v>4</v>
      </c>
      <c r="M939" s="53"/>
      <c r="N939" s="10">
        <v>2.5</v>
      </c>
      <c r="O939" s="10"/>
      <c r="P939" s="10"/>
      <c r="Q939" s="10"/>
      <c r="R939" s="10"/>
      <c r="S939" s="10"/>
      <c r="T939" s="10"/>
      <c r="U939" s="10"/>
      <c r="V939" s="10"/>
      <c r="W939" s="10">
        <v>3.7</v>
      </c>
      <c r="X939" s="10"/>
      <c r="Y939" s="10"/>
      <c r="Z939" s="10"/>
      <c r="AA939" s="10"/>
      <c r="AB939" s="10"/>
      <c r="AC939" s="10"/>
      <c r="AD939" s="14">
        <f t="shared" si="115"/>
        <v>1.48</v>
      </c>
      <c r="AE939" s="14"/>
      <c r="AF939" s="10"/>
      <c r="AG939" s="10"/>
      <c r="AH939" s="10"/>
      <c r="AI939" s="14">
        <f t="shared" si="127"/>
        <v>1.48</v>
      </c>
      <c r="AJ939" s="10"/>
      <c r="AK939" s="10"/>
      <c r="AL939" s="10"/>
      <c r="AM939" s="10"/>
      <c r="AN939" s="10"/>
      <c r="AO939" s="10"/>
      <c r="AP939" s="10"/>
      <c r="AQ939" s="10">
        <v>0</v>
      </c>
      <c r="AR939" s="10" t="s">
        <v>14</v>
      </c>
      <c r="AS939" s="10"/>
      <c r="AT939" s="10" t="s">
        <v>3</v>
      </c>
      <c r="AU939" s="10" t="s">
        <v>2</v>
      </c>
      <c r="AV939" s="10" t="s">
        <v>2</v>
      </c>
      <c r="AW939" s="10"/>
    </row>
    <row r="940" spans="1:49" s="12" customFormat="1" x14ac:dyDescent="0.3">
      <c r="A940" s="23" t="s">
        <v>1599</v>
      </c>
      <c r="B940" s="10" t="s">
        <v>1818</v>
      </c>
      <c r="C940" s="10" t="s">
        <v>1817</v>
      </c>
      <c r="D940" s="10" t="s">
        <v>1816</v>
      </c>
      <c r="E940" s="10" t="s">
        <v>1781</v>
      </c>
      <c r="F940" t="s">
        <v>2661</v>
      </c>
      <c r="G940" s="16" t="s">
        <v>34</v>
      </c>
      <c r="H940" s="10" t="s">
        <v>17</v>
      </c>
      <c r="I940" s="10" t="s">
        <v>1820</v>
      </c>
      <c r="J940" s="10" t="s">
        <v>1819</v>
      </c>
      <c r="K940" s="26">
        <v>4</v>
      </c>
      <c r="L940" s="26">
        <v>4</v>
      </c>
      <c r="M940" s="53"/>
      <c r="N940" s="10">
        <v>2.5</v>
      </c>
      <c r="O940" s="10"/>
      <c r="P940" s="10"/>
      <c r="Q940" s="10"/>
      <c r="R940" s="10"/>
      <c r="S940" s="10"/>
      <c r="T940" s="10"/>
      <c r="U940" s="10"/>
      <c r="V940" s="10"/>
      <c r="W940" s="10">
        <v>3.5</v>
      </c>
      <c r="X940" s="10"/>
      <c r="Y940" s="10"/>
      <c r="Z940" s="10"/>
      <c r="AA940" s="10"/>
      <c r="AB940" s="10"/>
      <c r="AC940" s="10"/>
      <c r="AD940" s="14">
        <f t="shared" si="115"/>
        <v>1.4</v>
      </c>
      <c r="AE940" s="14"/>
      <c r="AF940" s="10"/>
      <c r="AG940" s="10"/>
      <c r="AH940" s="10"/>
      <c r="AI940" s="14">
        <f t="shared" si="127"/>
        <v>1.4</v>
      </c>
      <c r="AJ940" s="10"/>
      <c r="AK940" s="10"/>
      <c r="AL940" s="10"/>
      <c r="AM940" s="10"/>
      <c r="AN940" s="10"/>
      <c r="AO940" s="10"/>
      <c r="AP940" s="10"/>
      <c r="AQ940" s="10">
        <v>0</v>
      </c>
      <c r="AR940" s="10" t="s">
        <v>14</v>
      </c>
      <c r="AS940" s="10"/>
      <c r="AT940" s="10" t="s">
        <v>3</v>
      </c>
      <c r="AU940" s="10" t="s">
        <v>2</v>
      </c>
      <c r="AV940" s="10" t="s">
        <v>2</v>
      </c>
      <c r="AW940" s="10"/>
    </row>
    <row r="941" spans="1:49" s="12" customFormat="1" x14ac:dyDescent="0.3">
      <c r="A941" s="23" t="s">
        <v>1599</v>
      </c>
      <c r="B941" s="10" t="s">
        <v>1818</v>
      </c>
      <c r="C941" s="10" t="s">
        <v>1817</v>
      </c>
      <c r="D941" s="10" t="s">
        <v>1816</v>
      </c>
      <c r="E941" s="10" t="s">
        <v>1781</v>
      </c>
      <c r="F941" t="s">
        <v>2661</v>
      </c>
      <c r="G941" s="16" t="s">
        <v>34</v>
      </c>
      <c r="H941" s="10" t="s">
        <v>17</v>
      </c>
      <c r="I941" s="10" t="s">
        <v>1822</v>
      </c>
      <c r="J941" s="10" t="s">
        <v>1819</v>
      </c>
      <c r="K941" s="26">
        <v>4</v>
      </c>
      <c r="L941" s="26">
        <v>4</v>
      </c>
      <c r="M941" s="53"/>
      <c r="N941" s="10">
        <v>4.5</v>
      </c>
      <c r="O941" s="10"/>
      <c r="P941" s="10"/>
      <c r="Q941" s="10"/>
      <c r="R941" s="10"/>
      <c r="S941" s="10"/>
      <c r="T941" s="10"/>
      <c r="U941" s="10"/>
      <c r="V941" s="10"/>
      <c r="W941" s="10">
        <v>5.0999999999999996</v>
      </c>
      <c r="X941" s="10"/>
      <c r="Y941" s="10"/>
      <c r="Z941" s="10"/>
      <c r="AA941" s="10"/>
      <c r="AB941" s="10"/>
      <c r="AC941" s="10"/>
      <c r="AD941" s="14">
        <f t="shared" si="115"/>
        <v>1.1333333333333333</v>
      </c>
      <c r="AE941" s="14"/>
      <c r="AF941" s="10"/>
      <c r="AG941" s="10"/>
      <c r="AH941" s="10"/>
      <c r="AI941" s="14">
        <f t="shared" si="127"/>
        <v>1.1333333333333333</v>
      </c>
      <c r="AJ941" s="10"/>
      <c r="AK941" s="10"/>
      <c r="AL941" s="10"/>
      <c r="AM941" s="10"/>
      <c r="AN941" s="10"/>
      <c r="AO941" s="10"/>
      <c r="AP941" s="10"/>
      <c r="AQ941" s="10">
        <v>200</v>
      </c>
      <c r="AR941" s="10" t="s">
        <v>14</v>
      </c>
      <c r="AS941" s="10"/>
      <c r="AT941" s="10" t="s">
        <v>3</v>
      </c>
      <c r="AU941" s="10" t="s">
        <v>2</v>
      </c>
      <c r="AV941" s="10" t="s">
        <v>2</v>
      </c>
      <c r="AW941" s="10" t="s">
        <v>1824</v>
      </c>
    </row>
    <row r="942" spans="1:49" s="12" customFormat="1" x14ac:dyDescent="0.3">
      <c r="A942" s="23" t="s">
        <v>1599</v>
      </c>
      <c r="B942" s="10" t="s">
        <v>1818</v>
      </c>
      <c r="C942" s="10" t="s">
        <v>1817</v>
      </c>
      <c r="D942" s="10" t="s">
        <v>1816</v>
      </c>
      <c r="E942" s="10" t="s">
        <v>1781</v>
      </c>
      <c r="F942" t="s">
        <v>2661</v>
      </c>
      <c r="G942" s="16" t="s">
        <v>34</v>
      </c>
      <c r="H942" s="10" t="s">
        <v>17</v>
      </c>
      <c r="I942" s="10" t="s">
        <v>1823</v>
      </c>
      <c r="J942" s="10" t="s">
        <v>1819</v>
      </c>
      <c r="K942" s="26">
        <v>4</v>
      </c>
      <c r="L942" s="26">
        <v>4</v>
      </c>
      <c r="M942" s="53"/>
      <c r="N942" s="10">
        <v>4.5</v>
      </c>
      <c r="O942" s="10"/>
      <c r="P942" s="10"/>
      <c r="Q942" s="10"/>
      <c r="R942" s="10"/>
      <c r="S942" s="10"/>
      <c r="T942" s="10"/>
      <c r="U942" s="10"/>
      <c r="V942" s="10"/>
      <c r="W942" s="10">
        <v>5</v>
      </c>
      <c r="X942" s="10"/>
      <c r="Y942" s="10"/>
      <c r="Z942" s="10"/>
      <c r="AA942" s="10"/>
      <c r="AB942" s="10"/>
      <c r="AC942" s="10"/>
      <c r="AD942" s="14">
        <f t="shared" ref="AD942:AD1005" si="128">W942/N942</f>
        <v>1.1111111111111112</v>
      </c>
      <c r="AE942" s="14"/>
      <c r="AF942" s="10"/>
      <c r="AG942" s="10"/>
      <c r="AH942" s="10"/>
      <c r="AI942" s="14">
        <f t="shared" si="127"/>
        <v>1.1111111111111112</v>
      </c>
      <c r="AJ942" s="10"/>
      <c r="AK942" s="10"/>
      <c r="AL942" s="10"/>
      <c r="AM942" s="10"/>
      <c r="AN942" s="10"/>
      <c r="AO942" s="10"/>
      <c r="AP942" s="10"/>
      <c r="AQ942" s="10">
        <v>200</v>
      </c>
      <c r="AR942" s="10" t="s">
        <v>14</v>
      </c>
      <c r="AS942" s="10"/>
      <c r="AT942" s="10" t="s">
        <v>3</v>
      </c>
      <c r="AU942" s="10" t="s">
        <v>2</v>
      </c>
      <c r="AV942" s="10" t="s">
        <v>2</v>
      </c>
      <c r="AW942" s="10" t="s">
        <v>1824</v>
      </c>
    </row>
    <row r="943" spans="1:49" s="10" customFormat="1" x14ac:dyDescent="0.3">
      <c r="A943" s="23" t="s">
        <v>1599</v>
      </c>
      <c r="B943" s="10" t="s">
        <v>1818</v>
      </c>
      <c r="C943" s="10" t="s">
        <v>1817</v>
      </c>
      <c r="D943" s="10" t="s">
        <v>1816</v>
      </c>
      <c r="E943" s="10" t="s">
        <v>1826</v>
      </c>
      <c r="F943" t="s">
        <v>2661</v>
      </c>
      <c r="G943" s="16" t="s">
        <v>34</v>
      </c>
      <c r="H943" s="10" t="s">
        <v>17</v>
      </c>
      <c r="I943" s="10" t="s">
        <v>1821</v>
      </c>
      <c r="J943" s="10" t="s">
        <v>1819</v>
      </c>
      <c r="K943" s="26">
        <v>5</v>
      </c>
      <c r="L943" s="26">
        <v>5</v>
      </c>
      <c r="M943" s="53"/>
      <c r="N943" s="10">
        <v>1.3</v>
      </c>
      <c r="P943" s="10">
        <v>8.8000000000000007</v>
      </c>
      <c r="W943" s="10">
        <v>1.1000000000000001</v>
      </c>
      <c r="Y943" s="10">
        <v>8.1</v>
      </c>
      <c r="AD943" s="14">
        <f t="shared" si="128"/>
        <v>0.84615384615384615</v>
      </c>
      <c r="AE943" s="14">
        <f t="shared" ref="AE943:AE969" si="129">Y943/P943</f>
        <v>0.9204545454545453</v>
      </c>
      <c r="AI943" s="14">
        <f t="shared" si="127"/>
        <v>1.7666083916083914</v>
      </c>
      <c r="AL943"/>
      <c r="AM943"/>
      <c r="AN943"/>
      <c r="AO943"/>
      <c r="AP943"/>
      <c r="AQ943" s="10">
        <v>0</v>
      </c>
      <c r="AR943" s="10" t="s">
        <v>14</v>
      </c>
      <c r="AT943" s="10" t="s">
        <v>3</v>
      </c>
      <c r="AU943" s="10" t="s">
        <v>2</v>
      </c>
      <c r="AV943" s="10" t="s">
        <v>3</v>
      </c>
      <c r="AW943" s="10" t="s">
        <v>1827</v>
      </c>
    </row>
    <row r="944" spans="1:49" s="10" customFormat="1" x14ac:dyDescent="0.3">
      <c r="A944" s="23" t="s">
        <v>1599</v>
      </c>
      <c r="B944" s="10" t="s">
        <v>1818</v>
      </c>
      <c r="C944" s="10" t="s">
        <v>1817</v>
      </c>
      <c r="D944" s="10" t="s">
        <v>1816</v>
      </c>
      <c r="E944" s="10" t="s">
        <v>1826</v>
      </c>
      <c r="F944" t="s">
        <v>2661</v>
      </c>
      <c r="G944" s="16" t="s">
        <v>34</v>
      </c>
      <c r="H944" s="10" t="s">
        <v>17</v>
      </c>
      <c r="I944" s="10" t="s">
        <v>1820</v>
      </c>
      <c r="J944" s="10" t="s">
        <v>1819</v>
      </c>
      <c r="K944" s="26">
        <v>5</v>
      </c>
      <c r="L944" s="26">
        <v>5</v>
      </c>
      <c r="M944" s="53"/>
      <c r="N944" s="10">
        <v>1.3</v>
      </c>
      <c r="P944" s="10">
        <v>8.8000000000000007</v>
      </c>
      <c r="W944" s="10">
        <v>1.6</v>
      </c>
      <c r="Y944" s="10">
        <v>8.6</v>
      </c>
      <c r="AD944" s="14">
        <f t="shared" si="128"/>
        <v>1.2307692307692308</v>
      </c>
      <c r="AE944" s="14">
        <f t="shared" si="129"/>
        <v>0.97727272727272718</v>
      </c>
      <c r="AI944" s="14">
        <f t="shared" si="127"/>
        <v>2.2080419580419579</v>
      </c>
      <c r="AL944"/>
      <c r="AM944"/>
      <c r="AN944"/>
      <c r="AO944"/>
      <c r="AP944"/>
      <c r="AQ944" s="10">
        <v>0</v>
      </c>
      <c r="AR944" s="10" t="s">
        <v>14</v>
      </c>
      <c r="AT944" s="10" t="s">
        <v>3</v>
      </c>
      <c r="AU944" s="10" t="s">
        <v>2</v>
      </c>
      <c r="AV944" s="10" t="s">
        <v>3</v>
      </c>
    </row>
    <row r="945" spans="1:49" s="10" customFormat="1" x14ac:dyDescent="0.3">
      <c r="A945" s="23" t="s">
        <v>1599</v>
      </c>
      <c r="B945" s="10" t="s">
        <v>1818</v>
      </c>
      <c r="C945" s="10" t="s">
        <v>1817</v>
      </c>
      <c r="D945" s="10" t="s">
        <v>1816</v>
      </c>
      <c r="E945" s="10" t="s">
        <v>1826</v>
      </c>
      <c r="F945" t="s">
        <v>2661</v>
      </c>
      <c r="G945" s="16" t="s">
        <v>34</v>
      </c>
      <c r="H945" s="10" t="s">
        <v>17</v>
      </c>
      <c r="I945" s="10" t="s">
        <v>1822</v>
      </c>
      <c r="J945" s="10" t="s">
        <v>1819</v>
      </c>
      <c r="K945" s="26">
        <v>5</v>
      </c>
      <c r="L945" s="26">
        <v>5</v>
      </c>
      <c r="M945" s="53"/>
      <c r="N945" s="10">
        <v>1.9</v>
      </c>
      <c r="P945" s="10">
        <v>8.1999999999999993</v>
      </c>
      <c r="W945" s="10">
        <v>2.6</v>
      </c>
      <c r="Y945" s="10">
        <v>8.8000000000000007</v>
      </c>
      <c r="AD945" s="14">
        <f t="shared" si="128"/>
        <v>1.368421052631579</v>
      </c>
      <c r="AE945" s="14">
        <f t="shared" si="129"/>
        <v>1.0731707317073174</v>
      </c>
      <c r="AI945" s="14">
        <f t="shared" si="127"/>
        <v>2.4415917843388963</v>
      </c>
      <c r="AL945"/>
      <c r="AM945"/>
      <c r="AN945"/>
      <c r="AO945"/>
      <c r="AP945"/>
      <c r="AQ945" s="10">
        <v>115</v>
      </c>
      <c r="AR945" s="10" t="s">
        <v>14</v>
      </c>
      <c r="AT945" s="10" t="s">
        <v>3</v>
      </c>
      <c r="AU945" s="10" t="s">
        <v>2</v>
      </c>
      <c r="AV945" s="10" t="s">
        <v>3</v>
      </c>
      <c r="AW945" s="10" t="s">
        <v>2413</v>
      </c>
    </row>
    <row r="946" spans="1:49" s="10" customFormat="1" x14ac:dyDescent="0.3">
      <c r="A946" s="23" t="s">
        <v>1599</v>
      </c>
      <c r="B946" s="10" t="s">
        <v>1818</v>
      </c>
      <c r="C946" s="10" t="s">
        <v>1817</v>
      </c>
      <c r="D946" s="10" t="s">
        <v>1816</v>
      </c>
      <c r="E946" s="10" t="s">
        <v>1826</v>
      </c>
      <c r="F946" t="s">
        <v>2661</v>
      </c>
      <c r="G946" s="16" t="s">
        <v>34</v>
      </c>
      <c r="H946" s="10" t="s">
        <v>17</v>
      </c>
      <c r="I946" s="10" t="s">
        <v>1823</v>
      </c>
      <c r="J946" s="10" t="s">
        <v>1819</v>
      </c>
      <c r="K946" s="26">
        <v>5</v>
      </c>
      <c r="L946" s="26">
        <v>5</v>
      </c>
      <c r="M946" s="53"/>
      <c r="N946" s="10">
        <v>1.9</v>
      </c>
      <c r="P946" s="10">
        <v>8.1999999999999993</v>
      </c>
      <c r="W946" s="10">
        <v>3</v>
      </c>
      <c r="Y946" s="10">
        <v>8.1</v>
      </c>
      <c r="AD946" s="14">
        <f t="shared" si="128"/>
        <v>1.5789473684210527</v>
      </c>
      <c r="AE946" s="14">
        <f t="shared" si="129"/>
        <v>0.98780487804878048</v>
      </c>
      <c r="AI946" s="14">
        <f t="shared" si="127"/>
        <v>2.5667522464698331</v>
      </c>
      <c r="AL946"/>
      <c r="AM946"/>
      <c r="AN946"/>
      <c r="AO946"/>
      <c r="AP946"/>
      <c r="AQ946" s="10">
        <v>115</v>
      </c>
      <c r="AR946" s="10" t="s">
        <v>14</v>
      </c>
      <c r="AT946" s="10" t="s">
        <v>3</v>
      </c>
      <c r="AU946" s="10" t="s">
        <v>2</v>
      </c>
      <c r="AV946" s="10" t="s">
        <v>3</v>
      </c>
      <c r="AW946" s="10" t="s">
        <v>1825</v>
      </c>
    </row>
    <row r="947" spans="1:49" x14ac:dyDescent="0.3">
      <c r="A947" s="23" t="s">
        <v>1600</v>
      </c>
      <c r="B947" s="10" t="s">
        <v>81</v>
      </c>
      <c r="C947" s="10" t="s">
        <v>1831</v>
      </c>
      <c r="D947" s="10" t="s">
        <v>1830</v>
      </c>
      <c r="E947" s="10">
        <v>2007</v>
      </c>
      <c r="F947" t="s">
        <v>2661</v>
      </c>
      <c r="G947" s="16" t="s">
        <v>1832</v>
      </c>
      <c r="H947" s="10" t="s">
        <v>217</v>
      </c>
      <c r="I947" s="10" t="s">
        <v>1828</v>
      </c>
      <c r="J947" s="10" t="s">
        <v>736</v>
      </c>
      <c r="K947" s="26">
        <v>3</v>
      </c>
      <c r="L947" s="26">
        <v>3</v>
      </c>
      <c r="N947" s="10">
        <v>5714.6</v>
      </c>
      <c r="P947" s="10">
        <v>10481.9</v>
      </c>
      <c r="W947" s="10">
        <v>3667.1</v>
      </c>
      <c r="Y947" s="10">
        <v>7423.7</v>
      </c>
      <c r="AD947" s="14">
        <f t="shared" si="128"/>
        <v>0.64170720610366427</v>
      </c>
      <c r="AE947" s="14">
        <f t="shared" si="129"/>
        <v>0.70823991833541633</v>
      </c>
      <c r="AI947" s="14">
        <f t="shared" si="127"/>
        <v>1.3499471244390806</v>
      </c>
      <c r="AQ947" s="10">
        <v>300</v>
      </c>
      <c r="AR947" s="10" t="s">
        <v>14</v>
      </c>
      <c r="AT947" s="10" t="s">
        <v>3</v>
      </c>
      <c r="AU947" s="10" t="s">
        <v>2</v>
      </c>
      <c r="AV947" s="10" t="s">
        <v>3</v>
      </c>
      <c r="AW947" s="10" t="s">
        <v>1833</v>
      </c>
    </row>
    <row r="948" spans="1:49" x14ac:dyDescent="0.3">
      <c r="A948" s="23" t="s">
        <v>1600</v>
      </c>
      <c r="B948" s="10" t="s">
        <v>81</v>
      </c>
      <c r="C948" s="10" t="s">
        <v>1831</v>
      </c>
      <c r="D948" s="10" t="s">
        <v>1830</v>
      </c>
      <c r="E948" s="10">
        <v>2007</v>
      </c>
      <c r="F948" t="s">
        <v>2661</v>
      </c>
      <c r="G948" s="16" t="s">
        <v>1832</v>
      </c>
      <c r="H948" s="10" t="s">
        <v>217</v>
      </c>
      <c r="I948" s="10" t="s">
        <v>1829</v>
      </c>
      <c r="J948" s="10" t="s">
        <v>736</v>
      </c>
      <c r="K948" s="26">
        <v>3</v>
      </c>
      <c r="L948" s="26">
        <v>3</v>
      </c>
      <c r="N948" s="10">
        <v>5714.6</v>
      </c>
      <c r="P948" s="10">
        <v>10763.1</v>
      </c>
      <c r="W948" s="10">
        <v>4013.8</v>
      </c>
      <c r="Y948" s="10">
        <v>6365.4</v>
      </c>
      <c r="AD948" s="14">
        <f t="shared" si="128"/>
        <v>0.7023763692996885</v>
      </c>
      <c r="AE948" s="14">
        <f t="shared" si="129"/>
        <v>0.59140953814421493</v>
      </c>
      <c r="AI948" s="14">
        <f t="shared" si="127"/>
        <v>1.2937859074439033</v>
      </c>
      <c r="AQ948" s="10">
        <v>300</v>
      </c>
      <c r="AR948" s="10" t="s">
        <v>14</v>
      </c>
      <c r="AT948" s="10" t="s">
        <v>3</v>
      </c>
      <c r="AU948" s="10" t="s">
        <v>2</v>
      </c>
      <c r="AV948" s="10" t="s">
        <v>3</v>
      </c>
    </row>
    <row r="949" spans="1:49" x14ac:dyDescent="0.3">
      <c r="A949" s="23" t="s">
        <v>1600</v>
      </c>
      <c r="B949" s="10" t="s">
        <v>81</v>
      </c>
      <c r="C949" s="10" t="s">
        <v>1831</v>
      </c>
      <c r="D949" s="10" t="s">
        <v>1830</v>
      </c>
      <c r="E949" s="10">
        <v>2008</v>
      </c>
      <c r="F949" t="s">
        <v>2661</v>
      </c>
      <c r="G949" s="16" t="s">
        <v>1832</v>
      </c>
      <c r="H949" s="10" t="s">
        <v>217</v>
      </c>
      <c r="I949" s="10" t="s">
        <v>1828</v>
      </c>
      <c r="J949" s="10" t="s">
        <v>736</v>
      </c>
      <c r="K949" s="26">
        <v>3</v>
      </c>
      <c r="L949" s="26">
        <v>3</v>
      </c>
      <c r="N949" s="10">
        <v>6972.6</v>
      </c>
      <c r="P949" s="10">
        <v>10954.9</v>
      </c>
      <c r="W949" s="10">
        <v>3876.5</v>
      </c>
      <c r="Y949" s="10">
        <v>7298.7</v>
      </c>
      <c r="AD949" s="14">
        <f t="shared" si="128"/>
        <v>0.55596190804004242</v>
      </c>
      <c r="AE949" s="14">
        <f t="shared" si="129"/>
        <v>0.66624980602287565</v>
      </c>
      <c r="AI949" s="14">
        <f t="shared" si="127"/>
        <v>1.2222117140629181</v>
      </c>
      <c r="AQ949" s="10">
        <v>300</v>
      </c>
      <c r="AR949" s="10" t="s">
        <v>14</v>
      </c>
      <c r="AT949" s="10" t="s">
        <v>3</v>
      </c>
      <c r="AU949" s="10" t="s">
        <v>2</v>
      </c>
      <c r="AV949" s="10" t="s">
        <v>3</v>
      </c>
      <c r="AW949" s="10" t="s">
        <v>1833</v>
      </c>
    </row>
    <row r="950" spans="1:49" x14ac:dyDescent="0.3">
      <c r="A950" s="23" t="s">
        <v>1600</v>
      </c>
      <c r="B950" s="10" t="s">
        <v>81</v>
      </c>
      <c r="C950" s="10" t="s">
        <v>1831</v>
      </c>
      <c r="D950" s="10" t="s">
        <v>1830</v>
      </c>
      <c r="E950" s="10">
        <v>2008</v>
      </c>
      <c r="F950" t="s">
        <v>2661</v>
      </c>
      <c r="G950" s="16" t="s">
        <v>1832</v>
      </c>
      <c r="H950" s="10" t="s">
        <v>217</v>
      </c>
      <c r="I950" s="10" t="s">
        <v>1829</v>
      </c>
      <c r="J950" s="10" t="s">
        <v>736</v>
      </c>
      <c r="K950" s="26">
        <v>3</v>
      </c>
      <c r="L950" s="26">
        <v>3</v>
      </c>
      <c r="N950" s="10">
        <v>6972.6</v>
      </c>
      <c r="P950" s="10">
        <v>11002.7</v>
      </c>
      <c r="W950" s="10">
        <v>3926.3</v>
      </c>
      <c r="Y950" s="10">
        <v>5883.7</v>
      </c>
      <c r="AD950" s="14">
        <f t="shared" si="128"/>
        <v>0.56310415053208274</v>
      </c>
      <c r="AE950" s="14">
        <f t="shared" si="129"/>
        <v>0.53475056122588083</v>
      </c>
      <c r="AI950" s="14">
        <f t="shared" si="127"/>
        <v>1.0978547117579636</v>
      </c>
      <c r="AQ950" s="10">
        <v>300</v>
      </c>
      <c r="AR950" s="10" t="s">
        <v>14</v>
      </c>
      <c r="AT950" s="10" t="s">
        <v>3</v>
      </c>
      <c r="AU950" s="10" t="s">
        <v>2</v>
      </c>
      <c r="AV950" s="10" t="s">
        <v>3</v>
      </c>
    </row>
    <row r="951" spans="1:49" x14ac:dyDescent="0.3">
      <c r="A951" s="23" t="s">
        <v>1600</v>
      </c>
      <c r="B951" s="10" t="s">
        <v>81</v>
      </c>
      <c r="C951" s="10" t="s">
        <v>1831</v>
      </c>
      <c r="D951" s="10" t="s">
        <v>1830</v>
      </c>
      <c r="E951" s="10">
        <v>2009</v>
      </c>
      <c r="F951" t="s">
        <v>2661</v>
      </c>
      <c r="G951" s="16" t="s">
        <v>1832</v>
      </c>
      <c r="H951" s="10" t="s">
        <v>217</v>
      </c>
      <c r="I951" s="10" t="s">
        <v>1828</v>
      </c>
      <c r="J951" s="10" t="s">
        <v>736</v>
      </c>
      <c r="K951" s="26">
        <v>3</v>
      </c>
      <c r="L951" s="26">
        <v>3</v>
      </c>
      <c r="N951" s="10">
        <v>5542</v>
      </c>
      <c r="P951" s="10">
        <v>10743.9</v>
      </c>
      <c r="W951" s="10">
        <v>3475.2</v>
      </c>
      <c r="Y951" s="10">
        <v>7482.5</v>
      </c>
      <c r="AD951" s="14">
        <f t="shared" si="128"/>
        <v>0.62706604114038245</v>
      </c>
      <c r="AE951" s="14">
        <f t="shared" si="129"/>
        <v>0.69644170180288356</v>
      </c>
      <c r="AI951" s="14">
        <f t="shared" si="127"/>
        <v>1.323507742943266</v>
      </c>
      <c r="AQ951" s="10">
        <v>300</v>
      </c>
      <c r="AR951" s="10" t="s">
        <v>14</v>
      </c>
      <c r="AT951" s="10" t="s">
        <v>3</v>
      </c>
      <c r="AU951" s="10" t="s">
        <v>2</v>
      </c>
      <c r="AV951" s="10" t="s">
        <v>3</v>
      </c>
      <c r="AW951" s="10" t="s">
        <v>1833</v>
      </c>
    </row>
    <row r="952" spans="1:49" x14ac:dyDescent="0.3">
      <c r="A952" s="23" t="s">
        <v>1600</v>
      </c>
      <c r="B952" s="10" t="s">
        <v>81</v>
      </c>
      <c r="C952" s="10" t="s">
        <v>1831</v>
      </c>
      <c r="D952" s="10" t="s">
        <v>1830</v>
      </c>
      <c r="E952" s="10">
        <v>2009</v>
      </c>
      <c r="F952" t="s">
        <v>2661</v>
      </c>
      <c r="G952" s="16" t="s">
        <v>1832</v>
      </c>
      <c r="H952" s="10" t="s">
        <v>217</v>
      </c>
      <c r="I952" s="10" t="s">
        <v>1829</v>
      </c>
      <c r="J952" s="10" t="s">
        <v>736</v>
      </c>
      <c r="K952" s="26">
        <v>3</v>
      </c>
      <c r="L952" s="26">
        <v>3</v>
      </c>
      <c r="N952" s="10">
        <v>5542</v>
      </c>
      <c r="P952" s="10">
        <v>10344.6</v>
      </c>
      <c r="W952" s="10">
        <v>3581.4</v>
      </c>
      <c r="Y952" s="10">
        <v>6701.9</v>
      </c>
      <c r="AD952" s="14">
        <f t="shared" si="128"/>
        <v>0.64622879826777335</v>
      </c>
      <c r="AE952" s="14">
        <f t="shared" si="129"/>
        <v>0.64786458635423305</v>
      </c>
      <c r="AI952" s="14">
        <f t="shared" si="127"/>
        <v>1.2940933846220064</v>
      </c>
      <c r="AQ952" s="10">
        <v>300</v>
      </c>
      <c r="AR952" s="10" t="s">
        <v>14</v>
      </c>
      <c r="AT952" s="10" t="s">
        <v>3</v>
      </c>
      <c r="AU952" s="10" t="s">
        <v>2</v>
      </c>
      <c r="AV952" s="10" t="s">
        <v>3</v>
      </c>
    </row>
    <row r="953" spans="1:49" x14ac:dyDescent="0.3">
      <c r="A953" s="8" t="s">
        <v>1601</v>
      </c>
      <c r="B953" s="10" t="s">
        <v>108</v>
      </c>
      <c r="C953" s="10" t="s">
        <v>1835</v>
      </c>
      <c r="D953" t="s">
        <v>1834</v>
      </c>
      <c r="E953" s="10">
        <v>2003</v>
      </c>
      <c r="F953" t="s">
        <v>2661</v>
      </c>
      <c r="G953" s="16" t="s">
        <v>34</v>
      </c>
      <c r="H953" s="10" t="s">
        <v>217</v>
      </c>
      <c r="J953" s="10" t="s">
        <v>1664</v>
      </c>
      <c r="K953" s="26">
        <v>4</v>
      </c>
      <c r="L953" s="26">
        <v>4</v>
      </c>
      <c r="N953" s="10">
        <v>2.33</v>
      </c>
      <c r="P953" s="10">
        <v>4.8499999999999996</v>
      </c>
      <c r="W953" s="10">
        <v>1.01</v>
      </c>
      <c r="Y953" s="10">
        <v>4.2300000000000004</v>
      </c>
      <c r="AD953" s="14">
        <f t="shared" si="128"/>
        <v>0.4334763948497854</v>
      </c>
      <c r="AE953" s="14">
        <f t="shared" si="129"/>
        <v>0.87216494845360837</v>
      </c>
      <c r="AI953" s="14">
        <f t="shared" si="127"/>
        <v>1.3056413433033938</v>
      </c>
      <c r="AS953" t="s">
        <v>3</v>
      </c>
      <c r="AU953" s="10" t="s">
        <v>2</v>
      </c>
      <c r="AV953" s="10" t="s">
        <v>3</v>
      </c>
    </row>
    <row r="954" spans="1:49" x14ac:dyDescent="0.3">
      <c r="A954" s="8" t="s">
        <v>1601</v>
      </c>
      <c r="B954" s="10" t="s">
        <v>108</v>
      </c>
      <c r="C954" s="10" t="s">
        <v>1835</v>
      </c>
      <c r="D954" t="s">
        <v>1834</v>
      </c>
      <c r="E954" s="10">
        <v>2003</v>
      </c>
      <c r="F954" t="s">
        <v>2661</v>
      </c>
      <c r="G954" s="16" t="s">
        <v>1013</v>
      </c>
      <c r="H954" s="10" t="s">
        <v>217</v>
      </c>
      <c r="J954" s="10" t="s">
        <v>1664</v>
      </c>
      <c r="K954" s="26">
        <v>4</v>
      </c>
      <c r="L954" s="26">
        <v>4</v>
      </c>
      <c r="N954" s="10">
        <v>2.33</v>
      </c>
      <c r="P954" s="10">
        <v>4.8499999999999996</v>
      </c>
      <c r="W954" s="10">
        <v>1.98</v>
      </c>
      <c r="Y954" s="10">
        <v>4.13</v>
      </c>
      <c r="AD954" s="14">
        <f t="shared" si="128"/>
        <v>0.84978540772532185</v>
      </c>
      <c r="AE954" s="14">
        <f t="shared" si="129"/>
        <v>0.8515463917525774</v>
      </c>
      <c r="AI954" s="14">
        <f t="shared" si="127"/>
        <v>1.7013317994778991</v>
      </c>
      <c r="AS954" t="s">
        <v>3</v>
      </c>
      <c r="AU954" s="10" t="s">
        <v>2</v>
      </c>
      <c r="AV954" s="10" t="s">
        <v>3</v>
      </c>
    </row>
    <row r="955" spans="1:49" x14ac:dyDescent="0.3">
      <c r="A955" s="8" t="s">
        <v>1601</v>
      </c>
      <c r="B955" s="10" t="s">
        <v>108</v>
      </c>
      <c r="C955" s="10" t="s">
        <v>1835</v>
      </c>
      <c r="D955" t="s">
        <v>1834</v>
      </c>
      <c r="E955" s="10">
        <v>2003</v>
      </c>
      <c r="F955" t="s">
        <v>2661</v>
      </c>
      <c r="G955" s="16" t="s">
        <v>22</v>
      </c>
      <c r="H955" s="10" t="s">
        <v>217</v>
      </c>
      <c r="J955" s="10" t="s">
        <v>1664</v>
      </c>
      <c r="K955" s="26">
        <v>4</v>
      </c>
      <c r="L955" s="26">
        <v>4</v>
      </c>
      <c r="N955" s="10">
        <v>2.33</v>
      </c>
      <c r="P955" s="10">
        <v>4.8499999999999996</v>
      </c>
      <c r="W955" s="10">
        <v>1.1100000000000001</v>
      </c>
      <c r="Y955" s="10">
        <v>4.21</v>
      </c>
      <c r="AD955" s="14">
        <f t="shared" si="128"/>
        <v>0.47639484978540775</v>
      </c>
      <c r="AE955" s="14">
        <f t="shared" si="129"/>
        <v>0.86804123711340209</v>
      </c>
      <c r="AI955" s="14">
        <f t="shared" si="127"/>
        <v>1.3444360868988099</v>
      </c>
      <c r="AS955" t="s">
        <v>3</v>
      </c>
      <c r="AU955" s="10" t="s">
        <v>2</v>
      </c>
      <c r="AV955" s="10" t="s">
        <v>3</v>
      </c>
    </row>
    <row r="956" spans="1:49" x14ac:dyDescent="0.3">
      <c r="A956" s="8" t="s">
        <v>1605</v>
      </c>
      <c r="B956" s="10" t="s">
        <v>1631</v>
      </c>
      <c r="C956" t="s">
        <v>1628</v>
      </c>
      <c r="E956" t="s">
        <v>882</v>
      </c>
      <c r="F956" t="s">
        <v>2661</v>
      </c>
      <c r="G956" s="16" t="s">
        <v>1837</v>
      </c>
      <c r="H956" s="10" t="s">
        <v>217</v>
      </c>
      <c r="I956" s="10" t="s">
        <v>1838</v>
      </c>
      <c r="J956" s="10" t="s">
        <v>1836</v>
      </c>
      <c r="K956" s="26">
        <v>4</v>
      </c>
      <c r="L956" s="26">
        <v>4</v>
      </c>
      <c r="N956" s="10">
        <v>4282</v>
      </c>
      <c r="P956" s="10">
        <v>1247.5</v>
      </c>
      <c r="W956" s="10">
        <v>3129</v>
      </c>
      <c r="Y956" s="10">
        <v>740</v>
      </c>
      <c r="AD956" s="14">
        <f t="shared" si="128"/>
        <v>0.73073330219523591</v>
      </c>
      <c r="AE956" s="14">
        <f t="shared" si="129"/>
        <v>0.59318637274549102</v>
      </c>
      <c r="AI956" s="14">
        <f t="shared" si="127"/>
        <v>1.3239196749407269</v>
      </c>
      <c r="AQ956">
        <v>100</v>
      </c>
      <c r="AR956" t="s">
        <v>14</v>
      </c>
      <c r="AT956" t="s">
        <v>3</v>
      </c>
      <c r="AU956" s="10" t="s">
        <v>2</v>
      </c>
      <c r="AV956" s="10" t="s">
        <v>3</v>
      </c>
    </row>
    <row r="957" spans="1:49" x14ac:dyDescent="0.3">
      <c r="A957" s="8" t="s">
        <v>1605</v>
      </c>
      <c r="B957" s="10" t="s">
        <v>1631</v>
      </c>
      <c r="C957" t="s">
        <v>1628</v>
      </c>
      <c r="E957" t="s">
        <v>882</v>
      </c>
      <c r="F957" t="s">
        <v>2661</v>
      </c>
      <c r="G957" s="16" t="s">
        <v>1837</v>
      </c>
      <c r="H957" s="10" t="s">
        <v>217</v>
      </c>
      <c r="I957" s="10" t="s">
        <v>1839</v>
      </c>
      <c r="J957" s="10" t="s">
        <v>1836</v>
      </c>
      <c r="K957" s="26">
        <v>4</v>
      </c>
      <c r="L957" s="26">
        <v>4</v>
      </c>
      <c r="N957" s="10">
        <v>4282</v>
      </c>
      <c r="P957" s="10">
        <v>1247.5</v>
      </c>
      <c r="W957" s="10">
        <v>3298</v>
      </c>
      <c r="Y957" s="10">
        <v>549.5</v>
      </c>
      <c r="AD957" s="14">
        <f t="shared" si="128"/>
        <v>0.77020084072863149</v>
      </c>
      <c r="AE957" s="14">
        <f t="shared" si="129"/>
        <v>0.44048096192384767</v>
      </c>
      <c r="AI957" s="14">
        <f t="shared" si="127"/>
        <v>1.2106818026524793</v>
      </c>
      <c r="AQ957">
        <v>100</v>
      </c>
      <c r="AR957" t="s">
        <v>14</v>
      </c>
      <c r="AT957" t="s">
        <v>3</v>
      </c>
      <c r="AU957" s="10" t="s">
        <v>2</v>
      </c>
      <c r="AV957" s="10" t="s">
        <v>3</v>
      </c>
    </row>
    <row r="958" spans="1:49" x14ac:dyDescent="0.3">
      <c r="A958" s="8" t="s">
        <v>1605</v>
      </c>
      <c r="B958" s="10" t="s">
        <v>1631</v>
      </c>
      <c r="C958" t="s">
        <v>1628</v>
      </c>
      <c r="E958" t="s">
        <v>882</v>
      </c>
      <c r="F958" t="s">
        <v>2661</v>
      </c>
      <c r="G958" s="16" t="s">
        <v>1837</v>
      </c>
      <c r="H958" s="10" t="s">
        <v>217</v>
      </c>
      <c r="I958" s="10" t="s">
        <v>1840</v>
      </c>
      <c r="J958" s="10" t="s">
        <v>1836</v>
      </c>
      <c r="K958" s="26">
        <v>4</v>
      </c>
      <c r="L958" s="26">
        <v>4</v>
      </c>
      <c r="N958" s="10">
        <v>4282</v>
      </c>
      <c r="P958" s="10">
        <v>1247.5</v>
      </c>
      <c r="W958" s="10">
        <v>3470</v>
      </c>
      <c r="Y958" s="10">
        <v>382</v>
      </c>
      <c r="AD958" s="14">
        <f t="shared" si="128"/>
        <v>0.81036898645492761</v>
      </c>
      <c r="AE958" s="14">
        <f t="shared" si="129"/>
        <v>0.30621242484969941</v>
      </c>
      <c r="AI958" s="14">
        <f t="shared" si="127"/>
        <v>1.1165814113046271</v>
      </c>
      <c r="AQ958">
        <v>100</v>
      </c>
      <c r="AR958" t="s">
        <v>14</v>
      </c>
      <c r="AT958" t="s">
        <v>3</v>
      </c>
      <c r="AU958" s="10" t="s">
        <v>2</v>
      </c>
      <c r="AV958" s="10" t="s">
        <v>3</v>
      </c>
    </row>
    <row r="959" spans="1:49" x14ac:dyDescent="0.3">
      <c r="A959" s="8" t="s">
        <v>1605</v>
      </c>
      <c r="B959" s="10" t="s">
        <v>1631</v>
      </c>
      <c r="C959" t="s">
        <v>1628</v>
      </c>
      <c r="E959" t="s">
        <v>882</v>
      </c>
      <c r="F959" t="s">
        <v>2661</v>
      </c>
      <c r="G959" s="16" t="s">
        <v>1837</v>
      </c>
      <c r="H959" s="10" t="s">
        <v>217</v>
      </c>
      <c r="I959" s="10" t="s">
        <v>1841</v>
      </c>
      <c r="J959" s="10" t="s">
        <v>1836</v>
      </c>
      <c r="K959" s="26">
        <v>4</v>
      </c>
      <c r="L959" s="26">
        <v>4</v>
      </c>
      <c r="N959" s="10">
        <v>4282</v>
      </c>
      <c r="P959" s="10">
        <v>1247.5</v>
      </c>
      <c r="W959" s="10">
        <v>3619</v>
      </c>
      <c r="Y959" s="10">
        <v>241.5</v>
      </c>
      <c r="AD959" s="14">
        <f t="shared" si="128"/>
        <v>0.84516581036898641</v>
      </c>
      <c r="AE959" s="14">
        <f t="shared" si="129"/>
        <v>0.19358717434869741</v>
      </c>
      <c r="AI959" s="14">
        <f t="shared" si="127"/>
        <v>1.0387529847176837</v>
      </c>
      <c r="AQ959">
        <v>100</v>
      </c>
      <c r="AR959" t="s">
        <v>14</v>
      </c>
      <c r="AT959" t="s">
        <v>3</v>
      </c>
      <c r="AU959" s="10" t="s">
        <v>2</v>
      </c>
      <c r="AV959" s="10" t="s">
        <v>3</v>
      </c>
    </row>
    <row r="960" spans="1:49" x14ac:dyDescent="0.3">
      <c r="A960" s="8" t="s">
        <v>1842</v>
      </c>
      <c r="B960" s="10" t="s">
        <v>1631</v>
      </c>
      <c r="C960" t="s">
        <v>1628</v>
      </c>
      <c r="D960" t="s">
        <v>1848</v>
      </c>
      <c r="E960" t="s">
        <v>922</v>
      </c>
      <c r="F960" t="s">
        <v>2661</v>
      </c>
      <c r="G960" s="16" t="s">
        <v>1067</v>
      </c>
      <c r="H960" s="10" t="s">
        <v>217</v>
      </c>
      <c r="I960" s="10" t="s">
        <v>1850</v>
      </c>
      <c r="J960" s="10" t="s">
        <v>1849</v>
      </c>
      <c r="K960" s="26">
        <v>3</v>
      </c>
      <c r="L960" s="26">
        <v>3</v>
      </c>
      <c r="N960" s="10">
        <v>819</v>
      </c>
      <c r="P960" s="10">
        <v>73.319999999999993</v>
      </c>
      <c r="W960" s="10">
        <v>835.35</v>
      </c>
      <c r="Y960" s="10">
        <v>42.37</v>
      </c>
      <c r="AD960" s="14">
        <f t="shared" si="128"/>
        <v>1.0199633699633699</v>
      </c>
      <c r="AE960" s="14">
        <f t="shared" si="129"/>
        <v>0.57787779596290234</v>
      </c>
      <c r="AI960" s="14">
        <f t="shared" si="127"/>
        <v>1.5978411659262721</v>
      </c>
      <c r="AQ960">
        <v>90</v>
      </c>
      <c r="AR960" t="s">
        <v>14</v>
      </c>
      <c r="AT960" t="s">
        <v>3</v>
      </c>
      <c r="AU960" s="10" t="s">
        <v>2</v>
      </c>
      <c r="AV960" s="10" t="s">
        <v>3</v>
      </c>
      <c r="AW960" t="s">
        <v>1853</v>
      </c>
    </row>
    <row r="961" spans="1:49" x14ac:dyDescent="0.3">
      <c r="A961" s="8" t="s">
        <v>1842</v>
      </c>
      <c r="B961" s="10" t="s">
        <v>1631</v>
      </c>
      <c r="C961" t="s">
        <v>1628</v>
      </c>
      <c r="D961" t="s">
        <v>1848</v>
      </c>
      <c r="E961" t="s">
        <v>922</v>
      </c>
      <c r="F961" t="s">
        <v>2661</v>
      </c>
      <c r="G961" s="16" t="s">
        <v>1067</v>
      </c>
      <c r="H961" s="10" t="s">
        <v>217</v>
      </c>
      <c r="I961" s="10" t="s">
        <v>1851</v>
      </c>
      <c r="J961" s="10" t="s">
        <v>1849</v>
      </c>
      <c r="K961" s="26">
        <v>3</v>
      </c>
      <c r="L961" s="26">
        <v>3</v>
      </c>
      <c r="N961" s="10">
        <v>827.12</v>
      </c>
      <c r="P961" s="10">
        <v>73.319999999999993</v>
      </c>
      <c r="W961" s="10">
        <v>784.73</v>
      </c>
      <c r="Y961" s="10">
        <v>59.68</v>
      </c>
      <c r="AD961" s="14">
        <f t="shared" si="128"/>
        <v>0.9487498790985589</v>
      </c>
      <c r="AE961" s="14">
        <f t="shared" si="129"/>
        <v>0.81396617566830343</v>
      </c>
      <c r="AI961" s="14">
        <f t="shared" si="127"/>
        <v>1.7627160547668623</v>
      </c>
      <c r="AQ961">
        <v>90</v>
      </c>
      <c r="AR961" t="s">
        <v>14</v>
      </c>
      <c r="AT961" t="s">
        <v>3</v>
      </c>
      <c r="AU961" s="10" t="s">
        <v>2</v>
      </c>
      <c r="AV961" s="10" t="s">
        <v>3</v>
      </c>
      <c r="AW961" t="s">
        <v>1853</v>
      </c>
    </row>
    <row r="962" spans="1:49" x14ac:dyDescent="0.3">
      <c r="A962" s="8" t="s">
        <v>1842</v>
      </c>
      <c r="B962" s="10" t="s">
        <v>1631</v>
      </c>
      <c r="C962" t="s">
        <v>1628</v>
      </c>
      <c r="D962" t="s">
        <v>1848</v>
      </c>
      <c r="E962" t="s">
        <v>922</v>
      </c>
      <c r="F962" t="s">
        <v>2661</v>
      </c>
      <c r="G962" s="16" t="s">
        <v>1067</v>
      </c>
      <c r="H962" s="10" t="s">
        <v>217</v>
      </c>
      <c r="I962" s="10" t="s">
        <v>1852</v>
      </c>
      <c r="J962" s="10" t="s">
        <v>1849</v>
      </c>
      <c r="K962" s="26">
        <v>3</v>
      </c>
      <c r="L962" s="26">
        <v>3</v>
      </c>
      <c r="N962" s="10">
        <v>716.01</v>
      </c>
      <c r="P962" s="10">
        <v>73.319999999999993</v>
      </c>
      <c r="W962" s="10">
        <v>740.29</v>
      </c>
      <c r="Y962" s="10">
        <v>61.08</v>
      </c>
      <c r="AD962" s="14">
        <f t="shared" si="128"/>
        <v>1.0339101409198195</v>
      </c>
      <c r="AE962" s="14">
        <f t="shared" si="129"/>
        <v>0.83306055646481181</v>
      </c>
      <c r="AI962" s="14">
        <f t="shared" si="127"/>
        <v>1.8669706973846312</v>
      </c>
      <c r="AQ962">
        <v>90</v>
      </c>
      <c r="AR962" t="s">
        <v>14</v>
      </c>
      <c r="AT962" t="s">
        <v>3</v>
      </c>
      <c r="AU962" s="10" t="s">
        <v>2</v>
      </c>
      <c r="AV962" s="10" t="s">
        <v>3</v>
      </c>
      <c r="AW962" t="s">
        <v>1853</v>
      </c>
    </row>
    <row r="963" spans="1:49" x14ac:dyDescent="0.3">
      <c r="A963" s="8" t="s">
        <v>1842</v>
      </c>
      <c r="B963" s="10" t="s">
        <v>1631</v>
      </c>
      <c r="C963" t="s">
        <v>1628</v>
      </c>
      <c r="D963" t="s">
        <v>1848</v>
      </c>
      <c r="E963" t="s">
        <v>923</v>
      </c>
      <c r="F963" t="s">
        <v>2661</v>
      </c>
      <c r="G963" s="16" t="s">
        <v>1067</v>
      </c>
      <c r="H963" s="10" t="s">
        <v>217</v>
      </c>
      <c r="I963" s="10" t="s">
        <v>1850</v>
      </c>
      <c r="J963" s="10" t="s">
        <v>1849</v>
      </c>
      <c r="K963" s="26">
        <v>3</v>
      </c>
      <c r="L963" s="26">
        <v>3</v>
      </c>
      <c r="N963" s="10">
        <v>1383.33</v>
      </c>
      <c r="P963" s="10">
        <v>17.41</v>
      </c>
      <c r="W963" s="10">
        <v>1386.67</v>
      </c>
      <c r="Y963" s="10">
        <v>13.71</v>
      </c>
      <c r="AD963" s="14">
        <f t="shared" si="128"/>
        <v>1.0024144636493102</v>
      </c>
      <c r="AE963" s="14">
        <f t="shared" si="129"/>
        <v>0.7874784606547961</v>
      </c>
      <c r="AI963" s="14">
        <f t="shared" si="127"/>
        <v>1.7898929243041062</v>
      </c>
      <c r="AQ963">
        <v>90</v>
      </c>
      <c r="AR963" t="s">
        <v>14</v>
      </c>
      <c r="AT963" t="s">
        <v>3</v>
      </c>
      <c r="AU963" s="10" t="s">
        <v>2</v>
      </c>
      <c r="AV963" s="10" t="s">
        <v>3</v>
      </c>
      <c r="AW963" t="s">
        <v>1853</v>
      </c>
    </row>
    <row r="964" spans="1:49" x14ac:dyDescent="0.3">
      <c r="A964" s="8" t="s">
        <v>1842</v>
      </c>
      <c r="B964" s="10" t="s">
        <v>1631</v>
      </c>
      <c r="C964" t="s">
        <v>1628</v>
      </c>
      <c r="D964" t="s">
        <v>1848</v>
      </c>
      <c r="E964" t="s">
        <v>923</v>
      </c>
      <c r="F964" t="s">
        <v>2661</v>
      </c>
      <c r="G964" s="16" t="s">
        <v>1067</v>
      </c>
      <c r="H964" s="10" t="s">
        <v>217</v>
      </c>
      <c r="I964" s="10" t="s">
        <v>1851</v>
      </c>
      <c r="J964" s="10" t="s">
        <v>1849</v>
      </c>
      <c r="K964" s="26">
        <v>3</v>
      </c>
      <c r="L964" s="26">
        <v>3</v>
      </c>
      <c r="N964" s="10">
        <v>1375</v>
      </c>
      <c r="P964" s="10">
        <v>17.41</v>
      </c>
      <c r="W964" s="10">
        <v>1335</v>
      </c>
      <c r="Y964" s="10">
        <v>14.58</v>
      </c>
      <c r="AD964" s="14">
        <f t="shared" si="128"/>
        <v>0.97090909090909094</v>
      </c>
      <c r="AE964" s="14">
        <f t="shared" si="129"/>
        <v>0.83744974152785756</v>
      </c>
      <c r="AI964" s="14">
        <f t="shared" si="127"/>
        <v>1.8083588324369484</v>
      </c>
      <c r="AQ964">
        <v>90</v>
      </c>
      <c r="AR964" t="s">
        <v>14</v>
      </c>
      <c r="AT964" t="s">
        <v>3</v>
      </c>
      <c r="AU964" s="10" t="s">
        <v>2</v>
      </c>
      <c r="AV964" s="10" t="s">
        <v>3</v>
      </c>
      <c r="AW964" t="s">
        <v>1853</v>
      </c>
    </row>
    <row r="965" spans="1:49" x14ac:dyDescent="0.3">
      <c r="A965" s="8" t="s">
        <v>1842</v>
      </c>
      <c r="B965" s="10" t="s">
        <v>1631</v>
      </c>
      <c r="C965" t="s">
        <v>1628</v>
      </c>
      <c r="D965" t="s">
        <v>1848</v>
      </c>
      <c r="E965" t="s">
        <v>923</v>
      </c>
      <c r="F965" t="s">
        <v>2661</v>
      </c>
      <c r="G965" s="16" t="s">
        <v>1067</v>
      </c>
      <c r="H965" s="10" t="s">
        <v>217</v>
      </c>
      <c r="I965" s="10" t="s">
        <v>1852</v>
      </c>
      <c r="J965" s="10" t="s">
        <v>1849</v>
      </c>
      <c r="K965" s="26">
        <v>3</v>
      </c>
      <c r="L965" s="26">
        <v>3</v>
      </c>
      <c r="N965" s="10">
        <v>1278</v>
      </c>
      <c r="P965" s="10">
        <v>17.41</v>
      </c>
      <c r="W965" s="10">
        <v>1260</v>
      </c>
      <c r="Y965" s="10">
        <v>15.02</v>
      </c>
      <c r="AD965" s="14">
        <f t="shared" si="128"/>
        <v>0.9859154929577465</v>
      </c>
      <c r="AE965" s="14">
        <f t="shared" si="129"/>
        <v>0.86272257323377366</v>
      </c>
      <c r="AI965" s="14">
        <f t="shared" si="127"/>
        <v>1.84863806619152</v>
      </c>
      <c r="AQ965">
        <v>90</v>
      </c>
      <c r="AR965" t="s">
        <v>14</v>
      </c>
      <c r="AT965" t="s">
        <v>3</v>
      </c>
      <c r="AU965" s="10" t="s">
        <v>2</v>
      </c>
      <c r="AV965" s="10" t="s">
        <v>3</v>
      </c>
      <c r="AW965" t="s">
        <v>1853</v>
      </c>
    </row>
    <row r="966" spans="1:49" x14ac:dyDescent="0.3">
      <c r="A966" s="8" t="s">
        <v>1842</v>
      </c>
      <c r="B966" s="10" t="s">
        <v>1631</v>
      </c>
      <c r="C966" t="s">
        <v>1628</v>
      </c>
      <c r="D966" t="s">
        <v>1848</v>
      </c>
      <c r="E966" t="s">
        <v>924</v>
      </c>
      <c r="F966" t="s">
        <v>2661</v>
      </c>
      <c r="G966" s="16" t="s">
        <v>1067</v>
      </c>
      <c r="H966" s="10" t="s">
        <v>217</v>
      </c>
      <c r="I966" s="10" t="s">
        <v>1850</v>
      </c>
      <c r="J966" s="10" t="s">
        <v>1849</v>
      </c>
      <c r="K966" s="26">
        <v>3</v>
      </c>
      <c r="L966" s="26">
        <v>3</v>
      </c>
      <c r="N966" s="10">
        <v>991.75</v>
      </c>
      <c r="P966">
        <v>44.9</v>
      </c>
      <c r="W966" s="10">
        <v>901.26</v>
      </c>
      <c r="Y966" s="10">
        <v>35.6</v>
      </c>
      <c r="AD966" s="14">
        <f t="shared" si="128"/>
        <v>0.90875724729014362</v>
      </c>
      <c r="AE966" s="14">
        <f t="shared" si="129"/>
        <v>0.79287305122494434</v>
      </c>
      <c r="AI966" s="14">
        <f t="shared" si="127"/>
        <v>1.701630298515088</v>
      </c>
      <c r="AQ966">
        <v>90</v>
      </c>
      <c r="AR966" t="s">
        <v>14</v>
      </c>
      <c r="AT966" t="s">
        <v>3</v>
      </c>
      <c r="AU966" s="10" t="s">
        <v>2</v>
      </c>
      <c r="AV966" s="10" t="s">
        <v>3</v>
      </c>
      <c r="AW966" t="s">
        <v>1853</v>
      </c>
    </row>
    <row r="967" spans="1:49" x14ac:dyDescent="0.3">
      <c r="A967" s="8" t="s">
        <v>1842</v>
      </c>
      <c r="B967" s="10" t="s">
        <v>1631</v>
      </c>
      <c r="C967" t="s">
        <v>1628</v>
      </c>
      <c r="D967" t="s">
        <v>1848</v>
      </c>
      <c r="E967" t="s">
        <v>924</v>
      </c>
      <c r="F967" t="s">
        <v>2661</v>
      </c>
      <c r="G967" s="16" t="s">
        <v>1067</v>
      </c>
      <c r="H967" s="10" t="s">
        <v>217</v>
      </c>
      <c r="I967" s="10" t="s">
        <v>1851</v>
      </c>
      <c r="J967" s="10" t="s">
        <v>1849</v>
      </c>
      <c r="K967" s="26">
        <v>3</v>
      </c>
      <c r="L967" s="26">
        <v>3</v>
      </c>
      <c r="N967" s="10">
        <v>796.32</v>
      </c>
      <c r="P967">
        <v>44.9</v>
      </c>
      <c r="W967" s="10">
        <v>830.06</v>
      </c>
      <c r="Y967" s="10">
        <v>37.01</v>
      </c>
      <c r="AD967" s="14">
        <f t="shared" si="128"/>
        <v>1.0423699015471166</v>
      </c>
      <c r="AE967" s="14">
        <f t="shared" si="129"/>
        <v>0.82427616926503344</v>
      </c>
      <c r="AI967" s="14">
        <f t="shared" si="127"/>
        <v>1.8666460708121502</v>
      </c>
      <c r="AQ967">
        <v>90</v>
      </c>
      <c r="AR967" t="s">
        <v>14</v>
      </c>
      <c r="AT967" t="s">
        <v>3</v>
      </c>
      <c r="AU967" s="10" t="s">
        <v>2</v>
      </c>
      <c r="AV967" s="10" t="s">
        <v>3</v>
      </c>
      <c r="AW967" t="s">
        <v>1853</v>
      </c>
    </row>
    <row r="968" spans="1:49" x14ac:dyDescent="0.3">
      <c r="A968" s="8" t="s">
        <v>1842</v>
      </c>
      <c r="B968" s="10" t="s">
        <v>1631</v>
      </c>
      <c r="C968" t="s">
        <v>1628</v>
      </c>
      <c r="D968" t="s">
        <v>1848</v>
      </c>
      <c r="E968" t="s">
        <v>924</v>
      </c>
      <c r="F968" t="s">
        <v>2661</v>
      </c>
      <c r="G968" s="16" t="s">
        <v>1067</v>
      </c>
      <c r="H968" s="10" t="s">
        <v>217</v>
      </c>
      <c r="I968" s="10" t="s">
        <v>1852</v>
      </c>
      <c r="J968" s="10" t="s">
        <v>1849</v>
      </c>
      <c r="K968" s="26">
        <v>3</v>
      </c>
      <c r="L968" s="26">
        <v>3</v>
      </c>
      <c r="N968" s="10">
        <v>716.07</v>
      </c>
      <c r="P968">
        <v>44.9</v>
      </c>
      <c r="W968" s="10">
        <v>711.95</v>
      </c>
      <c r="Y968" s="10">
        <v>37.85</v>
      </c>
      <c r="AD968" s="14">
        <f t="shared" si="128"/>
        <v>0.99424637256134174</v>
      </c>
      <c r="AE968" s="14">
        <f t="shared" si="129"/>
        <v>0.84298440979955458</v>
      </c>
      <c r="AI968" s="14">
        <f t="shared" si="127"/>
        <v>1.8372307823608964</v>
      </c>
      <c r="AQ968">
        <v>90</v>
      </c>
      <c r="AR968" t="s">
        <v>14</v>
      </c>
      <c r="AT968" t="s">
        <v>3</v>
      </c>
      <c r="AU968" s="10" t="s">
        <v>2</v>
      </c>
      <c r="AV968" s="10" t="s">
        <v>3</v>
      </c>
      <c r="AW968" t="s">
        <v>1853</v>
      </c>
    </row>
    <row r="969" spans="1:49" x14ac:dyDescent="0.3">
      <c r="A969" s="8" t="s">
        <v>1843</v>
      </c>
      <c r="B969" s="10" t="s">
        <v>81</v>
      </c>
      <c r="C969" t="s">
        <v>1855</v>
      </c>
      <c r="D969" t="s">
        <v>1854</v>
      </c>
      <c r="E969" t="s">
        <v>1815</v>
      </c>
      <c r="F969" t="s">
        <v>2661</v>
      </c>
      <c r="G969" s="16" t="s">
        <v>1067</v>
      </c>
      <c r="H969" s="10" t="s">
        <v>217</v>
      </c>
      <c r="I969" s="4" t="s">
        <v>1856</v>
      </c>
      <c r="J969" s="10" t="s">
        <v>736</v>
      </c>
      <c r="K969" s="26">
        <v>3</v>
      </c>
      <c r="L969" s="26">
        <v>3</v>
      </c>
      <c r="N969" s="10">
        <v>3473</v>
      </c>
      <c r="P969">
        <v>11228</v>
      </c>
      <c r="W969" s="10">
        <v>1732</v>
      </c>
      <c r="Y969" s="10">
        <v>9788</v>
      </c>
      <c r="AD969" s="14">
        <f t="shared" si="128"/>
        <v>0.49870429023898649</v>
      </c>
      <c r="AE969" s="14">
        <f t="shared" si="129"/>
        <v>0.87174919843249021</v>
      </c>
      <c r="AI969" s="14">
        <f t="shared" si="127"/>
        <v>1.3704534886714768</v>
      </c>
      <c r="AQ969" t="s">
        <v>1857</v>
      </c>
      <c r="AR969" t="s">
        <v>2037</v>
      </c>
      <c r="AT969" t="s">
        <v>3</v>
      </c>
      <c r="AU969" s="10" t="s">
        <v>2</v>
      </c>
      <c r="AV969" s="10" t="s">
        <v>3</v>
      </c>
      <c r="AW969" t="s">
        <v>1858</v>
      </c>
    </row>
    <row r="970" spans="1:49" x14ac:dyDescent="0.3">
      <c r="A970" s="8" t="s">
        <v>1844</v>
      </c>
      <c r="B970" s="10" t="s">
        <v>123</v>
      </c>
      <c r="C970" t="s">
        <v>124</v>
      </c>
      <c r="D970" s="4" t="s">
        <v>1859</v>
      </c>
      <c r="E970">
        <v>2000</v>
      </c>
      <c r="F970" t="s">
        <v>2661</v>
      </c>
      <c r="G970" s="16" t="s">
        <v>34</v>
      </c>
      <c r="H970" s="10" t="s">
        <v>1861</v>
      </c>
      <c r="J970" s="10" t="s">
        <v>1862</v>
      </c>
      <c r="K970" s="26">
        <v>3</v>
      </c>
      <c r="L970" s="26">
        <v>3</v>
      </c>
      <c r="N970" s="10">
        <v>32904</v>
      </c>
      <c r="W970" s="10">
        <v>31674</v>
      </c>
      <c r="AD970" s="14">
        <f t="shared" si="128"/>
        <v>0.96261852662290304</v>
      </c>
      <c r="AI970">
        <v>1.24</v>
      </c>
      <c r="AQ970" t="s">
        <v>121</v>
      </c>
      <c r="AR970" t="s">
        <v>2037</v>
      </c>
      <c r="AT970" t="s">
        <v>3</v>
      </c>
      <c r="AU970" s="10" t="s">
        <v>2</v>
      </c>
      <c r="AV970" s="10" t="s">
        <v>3</v>
      </c>
      <c r="AW970" t="s">
        <v>1860</v>
      </c>
    </row>
    <row r="971" spans="1:49" x14ac:dyDescent="0.3">
      <c r="A971" s="8" t="s">
        <v>1844</v>
      </c>
      <c r="B971" s="10" t="s">
        <v>123</v>
      </c>
      <c r="C971" t="s">
        <v>124</v>
      </c>
      <c r="D971" s="4" t="s">
        <v>1859</v>
      </c>
      <c r="E971">
        <v>2000</v>
      </c>
      <c r="F971" t="s">
        <v>2661</v>
      </c>
      <c r="G971" s="16" t="s">
        <v>34</v>
      </c>
      <c r="H971" s="10" t="s">
        <v>1861</v>
      </c>
      <c r="J971" s="10" t="s">
        <v>1863</v>
      </c>
      <c r="K971" s="26">
        <v>3</v>
      </c>
      <c r="L971" s="26">
        <v>3</v>
      </c>
      <c r="N971" s="10">
        <v>32904</v>
      </c>
      <c r="W971" s="10">
        <v>31926</v>
      </c>
      <c r="AD971" s="14">
        <f t="shared" si="128"/>
        <v>0.97027716994894242</v>
      </c>
      <c r="AI971">
        <v>1.32</v>
      </c>
      <c r="AQ971" t="s">
        <v>121</v>
      </c>
      <c r="AR971" t="s">
        <v>2037</v>
      </c>
      <c r="AT971" t="s">
        <v>3</v>
      </c>
      <c r="AU971" s="10" t="s">
        <v>2</v>
      </c>
      <c r="AV971" s="10" t="s">
        <v>3</v>
      </c>
      <c r="AW971" t="s">
        <v>1860</v>
      </c>
    </row>
    <row r="972" spans="1:49" x14ac:dyDescent="0.3">
      <c r="A972" s="8" t="s">
        <v>1844</v>
      </c>
      <c r="B972" s="10" t="s">
        <v>123</v>
      </c>
      <c r="C972" t="s">
        <v>124</v>
      </c>
      <c r="D972" s="4" t="s">
        <v>1859</v>
      </c>
      <c r="E972">
        <v>2000</v>
      </c>
      <c r="F972" t="s">
        <v>2661</v>
      </c>
      <c r="G972" s="16" t="s">
        <v>34</v>
      </c>
      <c r="H972" s="10" t="s">
        <v>1861</v>
      </c>
      <c r="J972" s="10" t="s">
        <v>1864</v>
      </c>
      <c r="K972" s="26">
        <v>3</v>
      </c>
      <c r="L972" s="26">
        <v>3</v>
      </c>
      <c r="N972" s="10">
        <v>32904</v>
      </c>
      <c r="W972" s="10">
        <v>29659</v>
      </c>
      <c r="AD972" s="14">
        <f t="shared" si="128"/>
        <v>0.90137977145635784</v>
      </c>
      <c r="AI972">
        <v>1.07</v>
      </c>
      <c r="AQ972" t="s">
        <v>121</v>
      </c>
      <c r="AR972" t="s">
        <v>2037</v>
      </c>
      <c r="AT972" t="s">
        <v>3</v>
      </c>
      <c r="AU972" s="10" t="s">
        <v>2</v>
      </c>
      <c r="AV972" s="10" t="s">
        <v>3</v>
      </c>
      <c r="AW972" t="s">
        <v>1860</v>
      </c>
    </row>
    <row r="973" spans="1:49" x14ac:dyDescent="0.3">
      <c r="A973" s="8" t="s">
        <v>1844</v>
      </c>
      <c r="B973" s="10" t="s">
        <v>123</v>
      </c>
      <c r="C973" t="s">
        <v>124</v>
      </c>
      <c r="D973" s="4" t="s">
        <v>1859</v>
      </c>
      <c r="E973">
        <v>2000</v>
      </c>
      <c r="F973" t="s">
        <v>2661</v>
      </c>
      <c r="G973" s="16" t="s">
        <v>34</v>
      </c>
      <c r="H973" s="10" t="s">
        <v>1861</v>
      </c>
      <c r="J973" s="10" t="s">
        <v>1865</v>
      </c>
      <c r="K973" s="26">
        <v>3</v>
      </c>
      <c r="L973" s="26">
        <v>3</v>
      </c>
      <c r="N973" s="10">
        <v>32904</v>
      </c>
      <c r="W973" s="10">
        <v>31867</v>
      </c>
      <c r="AD973" s="14">
        <f t="shared" si="128"/>
        <v>0.96848407488451249</v>
      </c>
      <c r="AI973">
        <v>1.18</v>
      </c>
      <c r="AQ973" t="s">
        <v>121</v>
      </c>
      <c r="AR973" t="s">
        <v>2037</v>
      </c>
      <c r="AT973" t="s">
        <v>3</v>
      </c>
      <c r="AU973" s="10" t="s">
        <v>2</v>
      </c>
      <c r="AV973" s="10" t="s">
        <v>3</v>
      </c>
      <c r="AW973" t="s">
        <v>1860</v>
      </c>
    </row>
    <row r="974" spans="1:49" x14ac:dyDescent="0.3">
      <c r="A974" s="8" t="s">
        <v>1844</v>
      </c>
      <c r="B974" s="10" t="s">
        <v>123</v>
      </c>
      <c r="C974" t="s">
        <v>124</v>
      </c>
      <c r="D974" s="4" t="s">
        <v>1859</v>
      </c>
      <c r="E974">
        <v>2000</v>
      </c>
      <c r="F974" t="s">
        <v>2661</v>
      </c>
      <c r="G974" s="16" t="s">
        <v>34</v>
      </c>
      <c r="H974" s="10" t="s">
        <v>1861</v>
      </c>
      <c r="J974" s="10" t="s">
        <v>1866</v>
      </c>
      <c r="K974" s="26">
        <v>3</v>
      </c>
      <c r="L974" s="26">
        <v>3</v>
      </c>
      <c r="N974" s="10">
        <v>32904</v>
      </c>
      <c r="W974" s="10">
        <v>31703</v>
      </c>
      <c r="AD974" s="14">
        <f t="shared" si="128"/>
        <v>0.9634998784342329</v>
      </c>
      <c r="AI974">
        <v>1.26</v>
      </c>
      <c r="AQ974" t="s">
        <v>121</v>
      </c>
      <c r="AR974" t="s">
        <v>2037</v>
      </c>
      <c r="AT974" t="s">
        <v>3</v>
      </c>
      <c r="AU974" s="10" t="s">
        <v>2</v>
      </c>
      <c r="AV974" s="10" t="s">
        <v>3</v>
      </c>
      <c r="AW974" t="s">
        <v>1860</v>
      </c>
    </row>
    <row r="975" spans="1:49" x14ac:dyDescent="0.3">
      <c r="A975" s="8" t="s">
        <v>1844</v>
      </c>
      <c r="B975" s="10" t="s">
        <v>123</v>
      </c>
      <c r="C975" t="s">
        <v>124</v>
      </c>
      <c r="D975" s="4" t="s">
        <v>1859</v>
      </c>
      <c r="E975">
        <v>2001</v>
      </c>
      <c r="F975" t="s">
        <v>2661</v>
      </c>
      <c r="G975" s="16" t="s">
        <v>34</v>
      </c>
      <c r="H975" s="10" t="s">
        <v>1861</v>
      </c>
      <c r="J975" s="10" t="s">
        <v>1862</v>
      </c>
      <c r="K975" s="26">
        <v>3</v>
      </c>
      <c r="L975" s="26">
        <v>3</v>
      </c>
      <c r="N975" s="10">
        <v>33319</v>
      </c>
      <c r="W975" s="10">
        <v>31111</v>
      </c>
      <c r="AD975" s="14">
        <f t="shared" si="128"/>
        <v>0.93373150454695519</v>
      </c>
      <c r="AI975">
        <v>1.22</v>
      </c>
      <c r="AQ975" t="s">
        <v>121</v>
      </c>
      <c r="AR975" t="s">
        <v>2037</v>
      </c>
      <c r="AT975" t="s">
        <v>3</v>
      </c>
      <c r="AU975" s="10" t="s">
        <v>2</v>
      </c>
      <c r="AV975" s="10" t="s">
        <v>3</v>
      </c>
      <c r="AW975" t="s">
        <v>1860</v>
      </c>
    </row>
    <row r="976" spans="1:49" x14ac:dyDescent="0.3">
      <c r="A976" s="8" t="s">
        <v>1844</v>
      </c>
      <c r="B976" s="10" t="s">
        <v>123</v>
      </c>
      <c r="C976" t="s">
        <v>124</v>
      </c>
      <c r="D976" s="4" t="s">
        <v>1859</v>
      </c>
      <c r="E976">
        <v>2001</v>
      </c>
      <c r="F976" t="s">
        <v>2661</v>
      </c>
      <c r="G976" s="16" t="s">
        <v>34</v>
      </c>
      <c r="H976" s="10" t="s">
        <v>1861</v>
      </c>
      <c r="J976" s="10" t="s">
        <v>1863</v>
      </c>
      <c r="K976" s="26">
        <v>3</v>
      </c>
      <c r="L976" s="26">
        <v>3</v>
      </c>
      <c r="N976" s="10">
        <v>33319</v>
      </c>
      <c r="W976" s="10">
        <v>33185</v>
      </c>
      <c r="AD976" s="14">
        <f t="shared" si="128"/>
        <v>0.99597827065638223</v>
      </c>
      <c r="AI976">
        <v>1.35</v>
      </c>
      <c r="AQ976" t="s">
        <v>121</v>
      </c>
      <c r="AR976" t="s">
        <v>2037</v>
      </c>
      <c r="AT976" t="s">
        <v>3</v>
      </c>
      <c r="AU976" s="10" t="s">
        <v>2</v>
      </c>
      <c r="AV976" s="10" t="s">
        <v>3</v>
      </c>
      <c r="AW976" t="s">
        <v>1860</v>
      </c>
    </row>
    <row r="977" spans="1:49" x14ac:dyDescent="0.3">
      <c r="A977" s="8" t="s">
        <v>1844</v>
      </c>
      <c r="B977" s="10" t="s">
        <v>123</v>
      </c>
      <c r="C977" t="s">
        <v>124</v>
      </c>
      <c r="D977" s="4" t="s">
        <v>1859</v>
      </c>
      <c r="E977">
        <v>2001</v>
      </c>
      <c r="F977" t="s">
        <v>2661</v>
      </c>
      <c r="G977" s="16" t="s">
        <v>34</v>
      </c>
      <c r="H977" s="10" t="s">
        <v>1861</v>
      </c>
      <c r="J977" s="10" t="s">
        <v>1864</v>
      </c>
      <c r="K977" s="26">
        <v>3</v>
      </c>
      <c r="L977" s="26">
        <v>3</v>
      </c>
      <c r="N977" s="10">
        <v>33319</v>
      </c>
      <c r="W977" s="10">
        <v>30948</v>
      </c>
      <c r="AD977" s="14">
        <f t="shared" si="128"/>
        <v>0.92883940094240525</v>
      </c>
      <c r="AI977">
        <v>1.1000000000000001</v>
      </c>
      <c r="AQ977" t="s">
        <v>121</v>
      </c>
      <c r="AR977" t="s">
        <v>2037</v>
      </c>
      <c r="AT977" t="s">
        <v>3</v>
      </c>
      <c r="AU977" s="10" t="s">
        <v>2</v>
      </c>
      <c r="AV977" s="10" t="s">
        <v>3</v>
      </c>
      <c r="AW977" t="s">
        <v>1860</v>
      </c>
    </row>
    <row r="978" spans="1:49" x14ac:dyDescent="0.3">
      <c r="A978" s="8" t="s">
        <v>1844</v>
      </c>
      <c r="B978" s="10" t="s">
        <v>123</v>
      </c>
      <c r="C978" t="s">
        <v>124</v>
      </c>
      <c r="D978" s="4" t="s">
        <v>1859</v>
      </c>
      <c r="E978">
        <v>2001</v>
      </c>
      <c r="F978" t="s">
        <v>2661</v>
      </c>
      <c r="G978" s="16" t="s">
        <v>34</v>
      </c>
      <c r="H978" s="10" t="s">
        <v>1861</v>
      </c>
      <c r="J978" s="10" t="s">
        <v>1865</v>
      </c>
      <c r="K978" s="26">
        <v>3</v>
      </c>
      <c r="L978" s="26">
        <v>3</v>
      </c>
      <c r="N978" s="10">
        <v>33319</v>
      </c>
      <c r="W978" s="10">
        <v>32385</v>
      </c>
      <c r="AD978" s="14">
        <f t="shared" si="128"/>
        <v>0.97196794621687321</v>
      </c>
      <c r="AI978">
        <v>1.18</v>
      </c>
      <c r="AQ978" t="s">
        <v>121</v>
      </c>
      <c r="AR978" t="s">
        <v>2037</v>
      </c>
      <c r="AT978" t="s">
        <v>3</v>
      </c>
      <c r="AU978" s="10" t="s">
        <v>2</v>
      </c>
      <c r="AV978" s="10" t="s">
        <v>3</v>
      </c>
      <c r="AW978" t="s">
        <v>1860</v>
      </c>
    </row>
    <row r="979" spans="1:49" x14ac:dyDescent="0.3">
      <c r="A979" s="8" t="s">
        <v>1844</v>
      </c>
      <c r="B979" s="10" t="s">
        <v>123</v>
      </c>
      <c r="C979" t="s">
        <v>124</v>
      </c>
      <c r="D979" s="4" t="s">
        <v>1859</v>
      </c>
      <c r="E979">
        <v>2001</v>
      </c>
      <c r="F979" t="s">
        <v>2661</v>
      </c>
      <c r="G979" s="16" t="s">
        <v>34</v>
      </c>
      <c r="H979" s="10" t="s">
        <v>1861</v>
      </c>
      <c r="J979" s="10" t="s">
        <v>1866</v>
      </c>
      <c r="K979" s="26">
        <v>3</v>
      </c>
      <c r="L979" s="26">
        <v>3</v>
      </c>
      <c r="N979" s="10">
        <v>33319</v>
      </c>
      <c r="W979" s="10">
        <v>33111</v>
      </c>
      <c r="AD979" s="14">
        <f t="shared" si="128"/>
        <v>0.99375731564572767</v>
      </c>
      <c r="AI979">
        <v>1.31</v>
      </c>
      <c r="AQ979" t="s">
        <v>121</v>
      </c>
      <c r="AR979" t="s">
        <v>2037</v>
      </c>
      <c r="AT979" t="s">
        <v>3</v>
      </c>
      <c r="AU979" s="10" t="s">
        <v>2</v>
      </c>
      <c r="AV979" s="10" t="s">
        <v>3</v>
      </c>
      <c r="AW979" t="s">
        <v>1860</v>
      </c>
    </row>
    <row r="980" spans="1:49" x14ac:dyDescent="0.3">
      <c r="A980" s="8" t="s">
        <v>1844</v>
      </c>
      <c r="B980" s="10" t="s">
        <v>123</v>
      </c>
      <c r="C980" t="s">
        <v>124</v>
      </c>
      <c r="D980" s="4" t="s">
        <v>1859</v>
      </c>
      <c r="E980">
        <v>2002</v>
      </c>
      <c r="F980" t="s">
        <v>2661</v>
      </c>
      <c r="G980" s="16" t="s">
        <v>34</v>
      </c>
      <c r="H980" s="10" t="s">
        <v>1861</v>
      </c>
      <c r="J980" s="10" t="s">
        <v>1862</v>
      </c>
      <c r="K980" s="26">
        <v>3</v>
      </c>
      <c r="L980" s="26">
        <v>3</v>
      </c>
      <c r="N980" s="10">
        <v>33366</v>
      </c>
      <c r="W980" s="10">
        <v>31700</v>
      </c>
      <c r="AD980" s="14">
        <f t="shared" si="128"/>
        <v>0.95006893244620272</v>
      </c>
      <c r="AI980">
        <v>1.25</v>
      </c>
      <c r="AQ980" t="s">
        <v>121</v>
      </c>
      <c r="AR980" t="s">
        <v>2037</v>
      </c>
      <c r="AT980" t="s">
        <v>3</v>
      </c>
      <c r="AU980" s="10" t="s">
        <v>2</v>
      </c>
      <c r="AV980" s="10" t="s">
        <v>3</v>
      </c>
      <c r="AW980" t="s">
        <v>1860</v>
      </c>
    </row>
    <row r="981" spans="1:49" x14ac:dyDescent="0.3">
      <c r="A981" s="8" t="s">
        <v>1844</v>
      </c>
      <c r="B981" s="10" t="s">
        <v>123</v>
      </c>
      <c r="C981" t="s">
        <v>124</v>
      </c>
      <c r="D981" s="4" t="s">
        <v>1859</v>
      </c>
      <c r="E981">
        <v>2002</v>
      </c>
      <c r="F981" t="s">
        <v>2661</v>
      </c>
      <c r="G981" s="16" t="s">
        <v>34</v>
      </c>
      <c r="H981" s="10" t="s">
        <v>1861</v>
      </c>
      <c r="J981" s="10" t="s">
        <v>1863</v>
      </c>
      <c r="K981" s="26">
        <v>3</v>
      </c>
      <c r="L981" s="26">
        <v>3</v>
      </c>
      <c r="N981" s="10">
        <v>33366</v>
      </c>
      <c r="W981" s="10">
        <v>33400</v>
      </c>
      <c r="AD981" s="14">
        <f t="shared" si="128"/>
        <v>1.0010190013786489</v>
      </c>
      <c r="AI981">
        <v>1.36</v>
      </c>
      <c r="AQ981" t="s">
        <v>121</v>
      </c>
      <c r="AR981" t="s">
        <v>2037</v>
      </c>
      <c r="AT981" t="s">
        <v>3</v>
      </c>
      <c r="AU981" s="10" t="s">
        <v>2</v>
      </c>
      <c r="AV981" s="10" t="s">
        <v>3</v>
      </c>
      <c r="AW981" t="s">
        <v>1860</v>
      </c>
    </row>
    <row r="982" spans="1:49" x14ac:dyDescent="0.3">
      <c r="A982" s="8" t="s">
        <v>1844</v>
      </c>
      <c r="B982" s="10" t="s">
        <v>123</v>
      </c>
      <c r="C982" t="s">
        <v>124</v>
      </c>
      <c r="D982" s="4" t="s">
        <v>1859</v>
      </c>
      <c r="E982">
        <v>2002</v>
      </c>
      <c r="F982" t="s">
        <v>2661</v>
      </c>
      <c r="G982" s="16" t="s">
        <v>34</v>
      </c>
      <c r="H982" s="10" t="s">
        <v>1861</v>
      </c>
      <c r="J982" s="10" t="s">
        <v>1864</v>
      </c>
      <c r="K982" s="26">
        <v>3</v>
      </c>
      <c r="L982" s="26">
        <v>3</v>
      </c>
      <c r="N982" s="10">
        <v>33366</v>
      </c>
      <c r="W982" s="10">
        <v>30366</v>
      </c>
      <c r="AD982" s="14">
        <f t="shared" si="128"/>
        <v>0.9100881136486243</v>
      </c>
      <c r="AI982">
        <v>1.08</v>
      </c>
      <c r="AQ982" t="s">
        <v>121</v>
      </c>
      <c r="AR982" t="s">
        <v>2037</v>
      </c>
      <c r="AT982" t="s">
        <v>3</v>
      </c>
      <c r="AU982" s="10" t="s">
        <v>2</v>
      </c>
      <c r="AV982" s="10" t="s">
        <v>3</v>
      </c>
      <c r="AW982" t="s">
        <v>1860</v>
      </c>
    </row>
    <row r="983" spans="1:49" x14ac:dyDescent="0.3">
      <c r="A983" s="8" t="s">
        <v>1844</v>
      </c>
      <c r="B983" s="10" t="s">
        <v>123</v>
      </c>
      <c r="C983" t="s">
        <v>124</v>
      </c>
      <c r="D983" s="4" t="s">
        <v>1859</v>
      </c>
      <c r="E983">
        <v>2002</v>
      </c>
      <c r="F983" t="s">
        <v>2661</v>
      </c>
      <c r="G983" s="16" t="s">
        <v>34</v>
      </c>
      <c r="H983" s="10" t="s">
        <v>1861</v>
      </c>
      <c r="J983" s="10" t="s">
        <v>1865</v>
      </c>
      <c r="K983" s="26">
        <v>3</v>
      </c>
      <c r="L983" s="26">
        <v>3</v>
      </c>
      <c r="N983" s="10">
        <v>33366</v>
      </c>
      <c r="W983" s="10">
        <v>32667</v>
      </c>
      <c r="AD983" s="14">
        <f t="shared" si="128"/>
        <v>0.97905053048012947</v>
      </c>
      <c r="AI983">
        <v>1.1200000000000001</v>
      </c>
      <c r="AQ983" t="s">
        <v>121</v>
      </c>
      <c r="AR983" t="s">
        <v>2037</v>
      </c>
      <c r="AT983" t="s">
        <v>3</v>
      </c>
      <c r="AU983" s="10" t="s">
        <v>2</v>
      </c>
      <c r="AV983" s="10" t="s">
        <v>3</v>
      </c>
      <c r="AW983" t="s">
        <v>1860</v>
      </c>
    </row>
    <row r="984" spans="1:49" x14ac:dyDescent="0.3">
      <c r="A984" s="8" t="s">
        <v>1844</v>
      </c>
      <c r="B984" s="10" t="s">
        <v>123</v>
      </c>
      <c r="C984" t="s">
        <v>124</v>
      </c>
      <c r="D984" s="4" t="s">
        <v>1859</v>
      </c>
      <c r="E984">
        <v>2002</v>
      </c>
      <c r="F984" t="s">
        <v>2661</v>
      </c>
      <c r="G984" s="16" t="s">
        <v>34</v>
      </c>
      <c r="H984" s="10" t="s">
        <v>1861</v>
      </c>
      <c r="J984" s="10" t="s">
        <v>1866</v>
      </c>
      <c r="K984" s="26">
        <v>3</v>
      </c>
      <c r="L984" s="26">
        <v>3</v>
      </c>
      <c r="N984" s="10">
        <v>33366</v>
      </c>
      <c r="W984" s="10">
        <v>32567</v>
      </c>
      <c r="AD984" s="14">
        <f t="shared" si="128"/>
        <v>0.97605346760175027</v>
      </c>
      <c r="AI984">
        <v>1.29</v>
      </c>
      <c r="AQ984" t="s">
        <v>121</v>
      </c>
      <c r="AR984" t="s">
        <v>2037</v>
      </c>
      <c r="AT984" t="s">
        <v>3</v>
      </c>
      <c r="AU984" s="10" t="s">
        <v>2</v>
      </c>
      <c r="AV984" s="10" t="s">
        <v>3</v>
      </c>
      <c r="AW984" t="s">
        <v>1860</v>
      </c>
    </row>
    <row r="985" spans="1:49" x14ac:dyDescent="0.3">
      <c r="A985" s="8" t="s">
        <v>1847</v>
      </c>
      <c r="B985" s="10" t="s">
        <v>1868</v>
      </c>
      <c r="D985" s="4" t="s">
        <v>1867</v>
      </c>
      <c r="E985">
        <v>2000</v>
      </c>
      <c r="F985" t="s">
        <v>2661</v>
      </c>
      <c r="G985" s="16" t="s">
        <v>1883</v>
      </c>
      <c r="H985" s="10" t="s">
        <v>17</v>
      </c>
      <c r="I985" t="s">
        <v>1871</v>
      </c>
      <c r="J985" s="10" t="s">
        <v>1869</v>
      </c>
      <c r="K985" s="26">
        <v>2</v>
      </c>
      <c r="L985" s="26">
        <v>2</v>
      </c>
      <c r="N985" s="10">
        <v>2330</v>
      </c>
      <c r="W985" s="10">
        <v>2140</v>
      </c>
      <c r="AD985" s="14">
        <f t="shared" si="128"/>
        <v>0.91845493562231761</v>
      </c>
      <c r="AI985" s="3">
        <f>AD985</f>
        <v>0.91845493562231761</v>
      </c>
      <c r="AQ985">
        <v>25</v>
      </c>
      <c r="AR985" t="s">
        <v>14</v>
      </c>
      <c r="AT985" t="s">
        <v>2</v>
      </c>
      <c r="AU985" s="10" t="s">
        <v>2</v>
      </c>
      <c r="AV985" s="10" t="s">
        <v>3</v>
      </c>
      <c r="AW985" t="s">
        <v>1870</v>
      </c>
    </row>
    <row r="986" spans="1:49" x14ac:dyDescent="0.3">
      <c r="A986" s="8" t="s">
        <v>1847</v>
      </c>
      <c r="B986" s="10" t="s">
        <v>1868</v>
      </c>
      <c r="D986" s="4" t="s">
        <v>1867</v>
      </c>
      <c r="E986">
        <v>2001</v>
      </c>
      <c r="F986" t="s">
        <v>2661</v>
      </c>
      <c r="G986" s="16" t="s">
        <v>1883</v>
      </c>
      <c r="H986" s="10" t="s">
        <v>17</v>
      </c>
      <c r="I986" t="s">
        <v>1871</v>
      </c>
      <c r="J986" s="10" t="s">
        <v>1869</v>
      </c>
      <c r="K986" s="26">
        <v>2</v>
      </c>
      <c r="L986" s="26">
        <v>2</v>
      </c>
      <c r="N986" s="10">
        <v>2220</v>
      </c>
      <c r="W986" s="10">
        <v>2040</v>
      </c>
      <c r="AD986" s="14">
        <f t="shared" si="128"/>
        <v>0.91891891891891897</v>
      </c>
      <c r="AI986" s="3">
        <f t="shared" ref="AI986:AI1010" si="130">AD986</f>
        <v>0.91891891891891897</v>
      </c>
      <c r="AQ986">
        <v>25</v>
      </c>
      <c r="AR986" t="s">
        <v>14</v>
      </c>
      <c r="AT986" t="s">
        <v>2</v>
      </c>
      <c r="AU986" s="10" t="s">
        <v>2</v>
      </c>
      <c r="AV986" s="10" t="s">
        <v>3</v>
      </c>
      <c r="AW986" t="s">
        <v>1870</v>
      </c>
    </row>
    <row r="987" spans="1:49" x14ac:dyDescent="0.3">
      <c r="A987" s="8" t="s">
        <v>1847</v>
      </c>
      <c r="B987" s="10" t="s">
        <v>1868</v>
      </c>
      <c r="D987" s="4" t="s">
        <v>1867</v>
      </c>
      <c r="E987">
        <v>2002</v>
      </c>
      <c r="F987" t="s">
        <v>2661</v>
      </c>
      <c r="G987" s="16" t="s">
        <v>1883</v>
      </c>
      <c r="H987" s="10" t="s">
        <v>17</v>
      </c>
      <c r="I987" t="s">
        <v>1871</v>
      </c>
      <c r="J987" s="10" t="s">
        <v>1869</v>
      </c>
      <c r="K987" s="26">
        <v>2</v>
      </c>
      <c r="L987" s="26">
        <v>2</v>
      </c>
      <c r="N987" s="10">
        <v>2740</v>
      </c>
      <c r="W987" s="10">
        <v>3200</v>
      </c>
      <c r="AD987" s="14">
        <f t="shared" si="128"/>
        <v>1.167883211678832</v>
      </c>
      <c r="AI987" s="3">
        <f t="shared" si="130"/>
        <v>1.167883211678832</v>
      </c>
      <c r="AQ987">
        <v>25</v>
      </c>
      <c r="AR987" t="s">
        <v>14</v>
      </c>
      <c r="AT987" t="s">
        <v>2</v>
      </c>
      <c r="AU987" s="10" t="s">
        <v>2</v>
      </c>
      <c r="AV987" s="10" t="s">
        <v>3</v>
      </c>
      <c r="AW987" t="s">
        <v>1870</v>
      </c>
    </row>
    <row r="988" spans="1:49" x14ac:dyDescent="0.3">
      <c r="A988" s="8" t="s">
        <v>1847</v>
      </c>
      <c r="B988" s="10" t="s">
        <v>1868</v>
      </c>
      <c r="D988" s="4" t="s">
        <v>1867</v>
      </c>
      <c r="E988">
        <v>2003</v>
      </c>
      <c r="F988" t="s">
        <v>2661</v>
      </c>
      <c r="G988" s="16" t="s">
        <v>1883</v>
      </c>
      <c r="H988" s="10" t="s">
        <v>17</v>
      </c>
      <c r="I988" t="s">
        <v>1871</v>
      </c>
      <c r="J988" s="10" t="s">
        <v>1869</v>
      </c>
      <c r="K988" s="26">
        <v>2</v>
      </c>
      <c r="L988" s="26">
        <v>2</v>
      </c>
      <c r="N988" s="10">
        <v>350</v>
      </c>
      <c r="W988" s="10">
        <v>430</v>
      </c>
      <c r="AD988" s="14">
        <f t="shared" si="128"/>
        <v>1.2285714285714286</v>
      </c>
      <c r="AI988" s="3">
        <f t="shared" si="130"/>
        <v>1.2285714285714286</v>
      </c>
      <c r="AQ988">
        <v>25</v>
      </c>
      <c r="AR988" t="s">
        <v>14</v>
      </c>
      <c r="AT988" t="s">
        <v>2</v>
      </c>
      <c r="AU988" s="10" t="s">
        <v>2</v>
      </c>
      <c r="AV988" s="10" t="s">
        <v>3</v>
      </c>
      <c r="AW988" t="s">
        <v>1870</v>
      </c>
    </row>
    <row r="989" spans="1:49" x14ac:dyDescent="0.3">
      <c r="A989" s="8" t="s">
        <v>1847</v>
      </c>
      <c r="B989" s="10" t="s">
        <v>1868</v>
      </c>
      <c r="D989" s="4" t="s">
        <v>1867</v>
      </c>
      <c r="E989">
        <v>2000</v>
      </c>
      <c r="F989" t="s">
        <v>2661</v>
      </c>
      <c r="G989" s="16" t="s">
        <v>1883</v>
      </c>
      <c r="H989" s="10" t="s">
        <v>17</v>
      </c>
      <c r="I989" t="s">
        <v>1872</v>
      </c>
      <c r="J989" s="10" t="s">
        <v>1869</v>
      </c>
      <c r="K989" s="26">
        <v>2</v>
      </c>
      <c r="L989" s="26">
        <v>2</v>
      </c>
      <c r="N989" s="10">
        <v>3530</v>
      </c>
      <c r="W989" s="10">
        <v>3720</v>
      </c>
      <c r="AD989" s="14">
        <f t="shared" si="128"/>
        <v>1.0538243626062322</v>
      </c>
      <c r="AI989" s="3">
        <f t="shared" si="130"/>
        <v>1.0538243626062322</v>
      </c>
      <c r="AQ989">
        <v>25</v>
      </c>
      <c r="AR989" t="s">
        <v>14</v>
      </c>
      <c r="AT989" t="s">
        <v>2</v>
      </c>
      <c r="AU989" s="10" t="s">
        <v>2</v>
      </c>
      <c r="AV989" s="10" t="s">
        <v>3</v>
      </c>
      <c r="AW989" t="s">
        <v>1870</v>
      </c>
    </row>
    <row r="990" spans="1:49" x14ac:dyDescent="0.3">
      <c r="A990" s="8" t="s">
        <v>1847</v>
      </c>
      <c r="B990" s="10" t="s">
        <v>1868</v>
      </c>
      <c r="D990" s="4" t="s">
        <v>1867</v>
      </c>
      <c r="E990">
        <v>2001</v>
      </c>
      <c r="F990" t="s">
        <v>2661</v>
      </c>
      <c r="G990" s="16" t="s">
        <v>1883</v>
      </c>
      <c r="H990" s="10" t="s">
        <v>17</v>
      </c>
      <c r="I990" t="s">
        <v>1872</v>
      </c>
      <c r="J990" s="10" t="s">
        <v>1869</v>
      </c>
      <c r="K990" s="26">
        <v>2</v>
      </c>
      <c r="L990" s="26">
        <v>2</v>
      </c>
      <c r="N990" s="10">
        <v>2180</v>
      </c>
      <c r="W990" s="10">
        <v>3300</v>
      </c>
      <c r="AD990" s="14">
        <f t="shared" si="128"/>
        <v>1.5137614678899083</v>
      </c>
      <c r="AI990" s="3">
        <f t="shared" si="130"/>
        <v>1.5137614678899083</v>
      </c>
      <c r="AQ990">
        <v>25</v>
      </c>
      <c r="AR990" t="s">
        <v>14</v>
      </c>
      <c r="AT990" t="s">
        <v>2</v>
      </c>
      <c r="AU990" s="10" t="s">
        <v>2</v>
      </c>
      <c r="AV990" s="10" t="s">
        <v>3</v>
      </c>
      <c r="AW990" t="s">
        <v>1870</v>
      </c>
    </row>
    <row r="991" spans="1:49" x14ac:dyDescent="0.3">
      <c r="A991" s="23" t="s">
        <v>1847</v>
      </c>
      <c r="B991" s="10" t="s">
        <v>1868</v>
      </c>
      <c r="D991" s="4" t="s">
        <v>1867</v>
      </c>
      <c r="E991">
        <v>2002</v>
      </c>
      <c r="F991" t="s">
        <v>2661</v>
      </c>
      <c r="G991" s="16" t="s">
        <v>1883</v>
      </c>
      <c r="H991" s="10" t="s">
        <v>17</v>
      </c>
      <c r="I991" t="s">
        <v>1872</v>
      </c>
      <c r="J991" s="10" t="s">
        <v>1869</v>
      </c>
      <c r="K991" s="26">
        <v>2</v>
      </c>
      <c r="L991" s="26">
        <v>2</v>
      </c>
      <c r="N991" s="10">
        <v>2350</v>
      </c>
      <c r="W991" s="10">
        <v>2370</v>
      </c>
      <c r="AD991" s="14">
        <f t="shared" si="128"/>
        <v>1.0085106382978724</v>
      </c>
      <c r="AI991" s="3">
        <f t="shared" si="130"/>
        <v>1.0085106382978724</v>
      </c>
      <c r="AQ991">
        <v>25</v>
      </c>
      <c r="AR991" t="s">
        <v>14</v>
      </c>
      <c r="AT991" t="s">
        <v>2</v>
      </c>
      <c r="AU991" s="10" t="s">
        <v>2</v>
      </c>
      <c r="AV991" s="10" t="s">
        <v>3</v>
      </c>
      <c r="AW991" t="s">
        <v>1870</v>
      </c>
    </row>
    <row r="992" spans="1:49" x14ac:dyDescent="0.3">
      <c r="A992" s="23" t="s">
        <v>1847</v>
      </c>
      <c r="B992" s="10" t="s">
        <v>1868</v>
      </c>
      <c r="D992" s="4" t="s">
        <v>1867</v>
      </c>
      <c r="E992">
        <v>2003</v>
      </c>
      <c r="F992" t="s">
        <v>2661</v>
      </c>
      <c r="G992" s="16" t="s">
        <v>1883</v>
      </c>
      <c r="H992" s="10" t="s">
        <v>17</v>
      </c>
      <c r="I992" t="s">
        <v>1872</v>
      </c>
      <c r="J992" s="10" t="s">
        <v>1869</v>
      </c>
      <c r="K992" s="26">
        <v>2</v>
      </c>
      <c r="L992" s="26">
        <v>2</v>
      </c>
      <c r="N992" s="10">
        <v>3320</v>
      </c>
      <c r="W992" s="10">
        <v>3540</v>
      </c>
      <c r="AD992" s="14">
        <f t="shared" si="128"/>
        <v>1.0662650602409638</v>
      </c>
      <c r="AI992" s="3">
        <f t="shared" si="130"/>
        <v>1.0662650602409638</v>
      </c>
      <c r="AQ992">
        <v>25</v>
      </c>
      <c r="AR992" t="s">
        <v>14</v>
      </c>
      <c r="AT992" t="s">
        <v>2</v>
      </c>
      <c r="AU992" s="10" t="s">
        <v>2</v>
      </c>
      <c r="AV992" s="10" t="s">
        <v>3</v>
      </c>
      <c r="AW992" t="s">
        <v>1870</v>
      </c>
    </row>
    <row r="993" spans="1:49" x14ac:dyDescent="0.3">
      <c r="A993" s="23" t="s">
        <v>1847</v>
      </c>
      <c r="B993" s="10" t="s">
        <v>1868</v>
      </c>
      <c r="D993" s="4" t="s">
        <v>1873</v>
      </c>
      <c r="E993">
        <v>2002</v>
      </c>
      <c r="F993" t="s">
        <v>2661</v>
      </c>
      <c r="G993" s="16" t="s">
        <v>1883</v>
      </c>
      <c r="H993" s="10" t="s">
        <v>17</v>
      </c>
      <c r="I993" t="s">
        <v>1871</v>
      </c>
      <c r="J993" s="10" t="s">
        <v>1869</v>
      </c>
      <c r="K993" s="26">
        <v>2</v>
      </c>
      <c r="L993" s="26">
        <v>2</v>
      </c>
      <c r="N993" s="10">
        <v>2310</v>
      </c>
      <c r="W993" s="10">
        <v>2250</v>
      </c>
      <c r="AD993" s="14">
        <f t="shared" si="128"/>
        <v>0.97402597402597402</v>
      </c>
      <c r="AI993" s="3">
        <f t="shared" si="130"/>
        <v>0.97402597402597402</v>
      </c>
      <c r="AR993" t="s">
        <v>14</v>
      </c>
      <c r="AT993" t="s">
        <v>2</v>
      </c>
      <c r="AU993" s="10" t="s">
        <v>2</v>
      </c>
      <c r="AV993" s="10" t="s">
        <v>3</v>
      </c>
      <c r="AW993" t="s">
        <v>1870</v>
      </c>
    </row>
    <row r="994" spans="1:49" x14ac:dyDescent="0.3">
      <c r="A994" s="23" t="s">
        <v>1847</v>
      </c>
      <c r="B994" s="10" t="s">
        <v>1868</v>
      </c>
      <c r="D994" s="4" t="s">
        <v>1873</v>
      </c>
      <c r="E994">
        <v>2003</v>
      </c>
      <c r="F994" t="s">
        <v>2661</v>
      </c>
      <c r="G994" s="16" t="s">
        <v>1883</v>
      </c>
      <c r="H994" s="10" t="s">
        <v>17</v>
      </c>
      <c r="I994" t="s">
        <v>1871</v>
      </c>
      <c r="J994" s="10" t="s">
        <v>1869</v>
      </c>
      <c r="K994" s="26">
        <v>2</v>
      </c>
      <c r="L994" s="26">
        <v>2</v>
      </c>
      <c r="N994" s="10">
        <v>540</v>
      </c>
      <c r="W994" s="10">
        <v>670</v>
      </c>
      <c r="AD994" s="14">
        <f t="shared" si="128"/>
        <v>1.2407407407407407</v>
      </c>
      <c r="AI994" s="3">
        <f t="shared" si="130"/>
        <v>1.2407407407407407</v>
      </c>
      <c r="AR994" t="s">
        <v>14</v>
      </c>
      <c r="AT994" t="s">
        <v>2</v>
      </c>
      <c r="AU994" s="10" t="s">
        <v>2</v>
      </c>
      <c r="AV994" s="10" t="s">
        <v>3</v>
      </c>
      <c r="AW994" t="s">
        <v>1870</v>
      </c>
    </row>
    <row r="995" spans="1:49" x14ac:dyDescent="0.3">
      <c r="A995" s="23" t="s">
        <v>1847</v>
      </c>
      <c r="B995" s="10" t="s">
        <v>1868</v>
      </c>
      <c r="D995" s="4" t="s">
        <v>1873</v>
      </c>
      <c r="E995">
        <v>2004</v>
      </c>
      <c r="F995" t="s">
        <v>2661</v>
      </c>
      <c r="G995" s="16" t="s">
        <v>1883</v>
      </c>
      <c r="H995" s="10" t="s">
        <v>17</v>
      </c>
      <c r="I995" t="s">
        <v>1871</v>
      </c>
      <c r="J995" s="10" t="s">
        <v>1869</v>
      </c>
      <c r="K995" s="26">
        <v>2</v>
      </c>
      <c r="L995" s="26">
        <v>2</v>
      </c>
      <c r="N995" s="10">
        <v>1780</v>
      </c>
      <c r="W995" s="10">
        <v>1660</v>
      </c>
      <c r="AD995" s="14">
        <f t="shared" si="128"/>
        <v>0.93258426966292129</v>
      </c>
      <c r="AI995" s="3">
        <f t="shared" si="130"/>
        <v>0.93258426966292129</v>
      </c>
      <c r="AR995" t="s">
        <v>14</v>
      </c>
      <c r="AT995" t="s">
        <v>2</v>
      </c>
      <c r="AU995" s="10" t="s">
        <v>2</v>
      </c>
      <c r="AV995" s="10" t="s">
        <v>3</v>
      </c>
      <c r="AW995" t="s">
        <v>1870</v>
      </c>
    </row>
    <row r="996" spans="1:49" x14ac:dyDescent="0.3">
      <c r="A996" s="23" t="s">
        <v>1847</v>
      </c>
      <c r="B996" s="10" t="s">
        <v>1868</v>
      </c>
      <c r="D996" s="4" t="s">
        <v>1873</v>
      </c>
      <c r="E996">
        <v>2002</v>
      </c>
      <c r="F996" t="s">
        <v>2661</v>
      </c>
      <c r="G996" s="16" t="s">
        <v>1883</v>
      </c>
      <c r="H996" s="10" t="s">
        <v>17</v>
      </c>
      <c r="I996" t="s">
        <v>1872</v>
      </c>
      <c r="J996" s="10" t="s">
        <v>1869</v>
      </c>
      <c r="K996" s="26">
        <v>2</v>
      </c>
      <c r="L996" s="26">
        <v>2</v>
      </c>
      <c r="N996" s="10">
        <v>2410</v>
      </c>
      <c r="W996" s="10">
        <v>2200</v>
      </c>
      <c r="AD996" s="14">
        <f t="shared" si="128"/>
        <v>0.91286307053941906</v>
      </c>
      <c r="AI996" s="3">
        <f t="shared" si="130"/>
        <v>0.91286307053941906</v>
      </c>
      <c r="AR996" t="s">
        <v>14</v>
      </c>
      <c r="AT996" t="s">
        <v>2</v>
      </c>
      <c r="AU996" s="10" t="s">
        <v>2</v>
      </c>
      <c r="AV996" s="10" t="s">
        <v>3</v>
      </c>
      <c r="AW996" t="s">
        <v>1870</v>
      </c>
    </row>
    <row r="997" spans="1:49" x14ac:dyDescent="0.3">
      <c r="A997" s="23" t="s">
        <v>1847</v>
      </c>
      <c r="B997" s="10" t="s">
        <v>1868</v>
      </c>
      <c r="D997" s="4" t="s">
        <v>1873</v>
      </c>
      <c r="E997">
        <v>2003</v>
      </c>
      <c r="F997" t="s">
        <v>2661</v>
      </c>
      <c r="G997" s="16" t="s">
        <v>1883</v>
      </c>
      <c r="H997" s="10" t="s">
        <v>17</v>
      </c>
      <c r="I997" t="s">
        <v>1872</v>
      </c>
      <c r="J997" s="10" t="s">
        <v>1869</v>
      </c>
      <c r="K997" s="26">
        <v>2</v>
      </c>
      <c r="L997" s="26">
        <v>2</v>
      </c>
      <c r="N997" s="10">
        <v>1120</v>
      </c>
      <c r="W997" s="10">
        <v>1230</v>
      </c>
      <c r="AD997" s="14">
        <f t="shared" si="128"/>
        <v>1.0982142857142858</v>
      </c>
      <c r="AI997" s="3">
        <f t="shared" si="130"/>
        <v>1.0982142857142858</v>
      </c>
      <c r="AR997" t="s">
        <v>14</v>
      </c>
      <c r="AT997" t="s">
        <v>2</v>
      </c>
      <c r="AU997" s="10" t="s">
        <v>2</v>
      </c>
      <c r="AV997" s="10" t="s">
        <v>3</v>
      </c>
      <c r="AW997" t="s">
        <v>1870</v>
      </c>
    </row>
    <row r="998" spans="1:49" x14ac:dyDescent="0.3">
      <c r="A998" s="23" t="s">
        <v>1847</v>
      </c>
      <c r="B998" s="10" t="s">
        <v>1868</v>
      </c>
      <c r="D998" s="4" t="s">
        <v>1873</v>
      </c>
      <c r="E998">
        <v>2004</v>
      </c>
      <c r="F998" t="s">
        <v>2661</v>
      </c>
      <c r="G998" s="16" t="s">
        <v>1883</v>
      </c>
      <c r="H998" s="10" t="s">
        <v>17</v>
      </c>
      <c r="I998" t="s">
        <v>1872</v>
      </c>
      <c r="J998" s="10" t="s">
        <v>1869</v>
      </c>
      <c r="K998" s="26">
        <v>2</v>
      </c>
      <c r="L998" s="26">
        <v>2</v>
      </c>
      <c r="N998" s="10">
        <v>2110</v>
      </c>
      <c r="W998" s="10">
        <v>2170</v>
      </c>
      <c r="AD998" s="14">
        <f t="shared" si="128"/>
        <v>1.028436018957346</v>
      </c>
      <c r="AI998" s="3">
        <f t="shared" si="130"/>
        <v>1.028436018957346</v>
      </c>
      <c r="AR998" t="s">
        <v>14</v>
      </c>
      <c r="AT998" t="s">
        <v>2</v>
      </c>
      <c r="AU998" s="10" t="s">
        <v>2</v>
      </c>
      <c r="AV998" s="10" t="s">
        <v>3</v>
      </c>
      <c r="AW998" t="s">
        <v>1870</v>
      </c>
    </row>
    <row r="999" spans="1:49" x14ac:dyDescent="0.3">
      <c r="A999" s="23" t="s">
        <v>1847</v>
      </c>
      <c r="B999" s="10" t="s">
        <v>1868</v>
      </c>
      <c r="D999" s="4" t="s">
        <v>1874</v>
      </c>
      <c r="E999">
        <v>2002</v>
      </c>
      <c r="F999" t="s">
        <v>2661</v>
      </c>
      <c r="G999" s="16" t="s">
        <v>1883</v>
      </c>
      <c r="H999" s="10" t="s">
        <v>17</v>
      </c>
      <c r="I999" t="s">
        <v>1871</v>
      </c>
      <c r="J999" s="10" t="s">
        <v>1869</v>
      </c>
      <c r="K999" s="26">
        <v>2</v>
      </c>
      <c r="L999" s="26">
        <v>2</v>
      </c>
      <c r="N999" s="10">
        <v>3660</v>
      </c>
      <c r="W999" s="10">
        <v>3750</v>
      </c>
      <c r="AD999" s="14">
        <f t="shared" si="128"/>
        <v>1.0245901639344261</v>
      </c>
      <c r="AI999" s="3">
        <f t="shared" si="130"/>
        <v>1.0245901639344261</v>
      </c>
      <c r="AR999" t="s">
        <v>14</v>
      </c>
      <c r="AT999" t="s">
        <v>2</v>
      </c>
      <c r="AU999" s="10" t="s">
        <v>2</v>
      </c>
      <c r="AV999" s="10" t="s">
        <v>3</v>
      </c>
      <c r="AW999" t="s">
        <v>1870</v>
      </c>
    </row>
    <row r="1000" spans="1:49" x14ac:dyDescent="0.3">
      <c r="A1000" s="23" t="s">
        <v>1847</v>
      </c>
      <c r="B1000" s="10" t="s">
        <v>1868</v>
      </c>
      <c r="D1000" s="4" t="s">
        <v>1874</v>
      </c>
      <c r="E1000">
        <v>2003</v>
      </c>
      <c r="F1000" t="s">
        <v>2661</v>
      </c>
      <c r="G1000" s="16" t="s">
        <v>1883</v>
      </c>
      <c r="H1000" s="10" t="s">
        <v>17</v>
      </c>
      <c r="I1000" t="s">
        <v>1871</v>
      </c>
      <c r="J1000" s="10" t="s">
        <v>1869</v>
      </c>
      <c r="K1000" s="26">
        <v>2</v>
      </c>
      <c r="L1000" s="26">
        <v>2</v>
      </c>
      <c r="N1000" s="10">
        <v>2310</v>
      </c>
      <c r="W1000" s="10">
        <v>3200</v>
      </c>
      <c r="AD1000" s="14">
        <f t="shared" si="128"/>
        <v>1.3852813852813852</v>
      </c>
      <c r="AI1000" s="3">
        <f t="shared" si="130"/>
        <v>1.3852813852813852</v>
      </c>
      <c r="AR1000" t="s">
        <v>14</v>
      </c>
      <c r="AT1000" t="s">
        <v>2</v>
      </c>
      <c r="AU1000" s="10" t="s">
        <v>2</v>
      </c>
      <c r="AV1000" s="10" t="s">
        <v>3</v>
      </c>
      <c r="AW1000" t="s">
        <v>1870</v>
      </c>
    </row>
    <row r="1001" spans="1:49" x14ac:dyDescent="0.3">
      <c r="A1001" s="23" t="s">
        <v>1847</v>
      </c>
      <c r="B1001" s="10" t="s">
        <v>1868</v>
      </c>
      <c r="D1001" s="4" t="s">
        <v>1874</v>
      </c>
      <c r="E1001">
        <v>2004</v>
      </c>
      <c r="F1001" t="s">
        <v>2661</v>
      </c>
      <c r="G1001" s="16" t="s">
        <v>1883</v>
      </c>
      <c r="H1001" s="10" t="s">
        <v>17</v>
      </c>
      <c r="I1001" t="s">
        <v>1871</v>
      </c>
      <c r="J1001" s="10" t="s">
        <v>1869</v>
      </c>
      <c r="K1001" s="26">
        <v>2</v>
      </c>
      <c r="L1001" s="26">
        <v>2</v>
      </c>
      <c r="N1001" s="10">
        <v>4080</v>
      </c>
      <c r="W1001" s="10">
        <v>4440</v>
      </c>
      <c r="AD1001" s="14">
        <f t="shared" si="128"/>
        <v>1.088235294117647</v>
      </c>
      <c r="AI1001" s="3">
        <f t="shared" si="130"/>
        <v>1.088235294117647</v>
      </c>
      <c r="AR1001" t="s">
        <v>14</v>
      </c>
      <c r="AT1001" t="s">
        <v>2</v>
      </c>
      <c r="AU1001" s="10" t="s">
        <v>2</v>
      </c>
      <c r="AV1001" s="10" t="s">
        <v>3</v>
      </c>
      <c r="AW1001" t="s">
        <v>1870</v>
      </c>
    </row>
    <row r="1002" spans="1:49" x14ac:dyDescent="0.3">
      <c r="A1002" s="23" t="s">
        <v>1847</v>
      </c>
      <c r="B1002" s="10" t="s">
        <v>1868</v>
      </c>
      <c r="D1002" s="4" t="s">
        <v>1874</v>
      </c>
      <c r="E1002">
        <v>2002</v>
      </c>
      <c r="F1002" t="s">
        <v>2661</v>
      </c>
      <c r="G1002" s="16" t="s">
        <v>1883</v>
      </c>
      <c r="H1002" s="10" t="s">
        <v>17</v>
      </c>
      <c r="I1002" t="s">
        <v>1872</v>
      </c>
      <c r="J1002" s="10" t="s">
        <v>1869</v>
      </c>
      <c r="K1002" s="26">
        <v>2</v>
      </c>
      <c r="L1002" s="26">
        <v>2</v>
      </c>
      <c r="N1002" s="10">
        <v>3370</v>
      </c>
      <c r="W1002" s="10">
        <v>3330</v>
      </c>
      <c r="AD1002" s="14">
        <f t="shared" si="128"/>
        <v>0.98813056379821962</v>
      </c>
      <c r="AI1002" s="3">
        <f t="shared" si="130"/>
        <v>0.98813056379821962</v>
      </c>
      <c r="AR1002" t="s">
        <v>14</v>
      </c>
      <c r="AT1002" t="s">
        <v>2</v>
      </c>
      <c r="AU1002" s="10" t="s">
        <v>2</v>
      </c>
      <c r="AV1002" s="10" t="s">
        <v>3</v>
      </c>
      <c r="AW1002" t="s">
        <v>1870</v>
      </c>
    </row>
    <row r="1003" spans="1:49" x14ac:dyDescent="0.3">
      <c r="A1003" s="23" t="s">
        <v>1847</v>
      </c>
      <c r="B1003" s="10" t="s">
        <v>1868</v>
      </c>
      <c r="D1003" s="4" t="s">
        <v>1874</v>
      </c>
      <c r="E1003">
        <v>2003</v>
      </c>
      <c r="F1003" t="s">
        <v>2661</v>
      </c>
      <c r="G1003" s="16" t="s">
        <v>1883</v>
      </c>
      <c r="H1003" s="10" t="s">
        <v>17</v>
      </c>
      <c r="I1003" t="s">
        <v>1872</v>
      </c>
      <c r="J1003" s="10" t="s">
        <v>1869</v>
      </c>
      <c r="K1003" s="26">
        <v>2</v>
      </c>
      <c r="L1003" s="26">
        <v>2</v>
      </c>
      <c r="N1003" s="10">
        <v>2010</v>
      </c>
      <c r="W1003" s="10">
        <v>2580</v>
      </c>
      <c r="AD1003" s="14">
        <f t="shared" si="128"/>
        <v>1.2835820895522387</v>
      </c>
      <c r="AI1003" s="3">
        <f t="shared" si="130"/>
        <v>1.2835820895522387</v>
      </c>
      <c r="AR1003" t="s">
        <v>14</v>
      </c>
      <c r="AT1003" t="s">
        <v>2</v>
      </c>
      <c r="AU1003" s="10" t="s">
        <v>2</v>
      </c>
      <c r="AV1003" s="10" t="s">
        <v>3</v>
      </c>
      <c r="AW1003" t="s">
        <v>1870</v>
      </c>
    </row>
    <row r="1004" spans="1:49" x14ac:dyDescent="0.3">
      <c r="A1004" s="23" t="s">
        <v>1847</v>
      </c>
      <c r="B1004" s="10" t="s">
        <v>1868</v>
      </c>
      <c r="D1004" s="4" t="s">
        <v>1874</v>
      </c>
      <c r="E1004">
        <v>2004</v>
      </c>
      <c r="F1004" t="s">
        <v>2661</v>
      </c>
      <c r="G1004" s="16" t="s">
        <v>1883</v>
      </c>
      <c r="H1004" s="10" t="s">
        <v>17</v>
      </c>
      <c r="I1004" t="s">
        <v>1872</v>
      </c>
      <c r="J1004" s="10" t="s">
        <v>1869</v>
      </c>
      <c r="K1004" s="26">
        <v>2</v>
      </c>
      <c r="L1004" s="26">
        <v>2</v>
      </c>
      <c r="N1004" s="10">
        <v>2840</v>
      </c>
      <c r="W1004" s="10">
        <v>3010</v>
      </c>
      <c r="AD1004" s="14">
        <f t="shared" si="128"/>
        <v>1.0598591549295775</v>
      </c>
      <c r="AI1004" s="3">
        <f t="shared" si="130"/>
        <v>1.0598591549295775</v>
      </c>
      <c r="AR1004" t="s">
        <v>14</v>
      </c>
      <c r="AT1004" t="s">
        <v>2</v>
      </c>
      <c r="AU1004" s="10" t="s">
        <v>2</v>
      </c>
      <c r="AV1004" s="10" t="s">
        <v>3</v>
      </c>
      <c r="AW1004" t="s">
        <v>1870</v>
      </c>
    </row>
    <row r="1005" spans="1:49" x14ac:dyDescent="0.3">
      <c r="A1005" s="23" t="s">
        <v>1847</v>
      </c>
      <c r="B1005" s="10" t="s">
        <v>1868</v>
      </c>
      <c r="D1005" s="4" t="s">
        <v>1875</v>
      </c>
      <c r="E1005">
        <v>2002</v>
      </c>
      <c r="F1005" t="s">
        <v>2661</v>
      </c>
      <c r="G1005" s="16" t="s">
        <v>1883</v>
      </c>
      <c r="H1005" s="10" t="s">
        <v>17</v>
      </c>
      <c r="I1005" t="s">
        <v>1871</v>
      </c>
      <c r="J1005" s="10" t="s">
        <v>1869</v>
      </c>
      <c r="K1005" s="26">
        <v>2</v>
      </c>
      <c r="L1005" s="26">
        <v>2</v>
      </c>
      <c r="N1005" s="10">
        <v>2590</v>
      </c>
      <c r="W1005" s="10">
        <v>2550</v>
      </c>
      <c r="AD1005" s="14">
        <f t="shared" si="128"/>
        <v>0.98455598455598459</v>
      </c>
      <c r="AI1005" s="3">
        <f t="shared" si="130"/>
        <v>0.98455598455598459</v>
      </c>
      <c r="AR1005" t="s">
        <v>14</v>
      </c>
      <c r="AT1005" t="s">
        <v>2</v>
      </c>
      <c r="AU1005" s="10" t="s">
        <v>2</v>
      </c>
      <c r="AV1005" s="10" t="s">
        <v>3</v>
      </c>
      <c r="AW1005" t="s">
        <v>1870</v>
      </c>
    </row>
    <row r="1006" spans="1:49" x14ac:dyDescent="0.3">
      <c r="A1006" s="23" t="s">
        <v>1847</v>
      </c>
      <c r="B1006" s="10" t="s">
        <v>1868</v>
      </c>
      <c r="D1006" s="4" t="s">
        <v>1875</v>
      </c>
      <c r="E1006">
        <v>2003</v>
      </c>
      <c r="F1006" t="s">
        <v>2661</v>
      </c>
      <c r="G1006" s="16" t="s">
        <v>1883</v>
      </c>
      <c r="H1006" s="10" t="s">
        <v>17</v>
      </c>
      <c r="I1006" t="s">
        <v>1871</v>
      </c>
      <c r="J1006" s="10" t="s">
        <v>1869</v>
      </c>
      <c r="K1006" s="26">
        <v>2</v>
      </c>
      <c r="L1006" s="26">
        <v>2</v>
      </c>
      <c r="N1006" s="10">
        <v>1420</v>
      </c>
      <c r="W1006" s="10">
        <v>1540</v>
      </c>
      <c r="AD1006" s="14">
        <f t="shared" ref="AD1006:AD1025" si="131">W1006/N1006</f>
        <v>1.0845070422535212</v>
      </c>
      <c r="AI1006" s="3">
        <f t="shared" si="130"/>
        <v>1.0845070422535212</v>
      </c>
      <c r="AR1006" t="s">
        <v>14</v>
      </c>
      <c r="AT1006" t="s">
        <v>2</v>
      </c>
      <c r="AU1006" s="10" t="s">
        <v>2</v>
      </c>
      <c r="AV1006" s="10" t="s">
        <v>3</v>
      </c>
      <c r="AW1006" t="s">
        <v>1870</v>
      </c>
    </row>
    <row r="1007" spans="1:49" x14ac:dyDescent="0.3">
      <c r="A1007" s="23" t="s">
        <v>1847</v>
      </c>
      <c r="B1007" s="10" t="s">
        <v>1868</v>
      </c>
      <c r="D1007" s="4" t="s">
        <v>1875</v>
      </c>
      <c r="E1007">
        <v>2004</v>
      </c>
      <c r="F1007" t="s">
        <v>2661</v>
      </c>
      <c r="G1007" s="16" t="s">
        <v>1883</v>
      </c>
      <c r="H1007" s="10" t="s">
        <v>17</v>
      </c>
      <c r="I1007" t="s">
        <v>1871</v>
      </c>
      <c r="J1007" s="10" t="s">
        <v>1869</v>
      </c>
      <c r="K1007" s="26">
        <v>2</v>
      </c>
      <c r="L1007" s="26">
        <v>2</v>
      </c>
      <c r="N1007" s="10">
        <v>1780</v>
      </c>
      <c r="W1007" s="10">
        <v>2240</v>
      </c>
      <c r="AD1007" s="14">
        <f t="shared" si="131"/>
        <v>1.2584269662921348</v>
      </c>
      <c r="AI1007" s="3">
        <f t="shared" si="130"/>
        <v>1.2584269662921348</v>
      </c>
      <c r="AR1007" t="s">
        <v>14</v>
      </c>
      <c r="AT1007" t="s">
        <v>2</v>
      </c>
      <c r="AU1007" s="10" t="s">
        <v>2</v>
      </c>
      <c r="AV1007" s="10" t="s">
        <v>3</v>
      </c>
      <c r="AW1007" t="s">
        <v>1870</v>
      </c>
    </row>
    <row r="1008" spans="1:49" x14ac:dyDescent="0.3">
      <c r="A1008" s="23" t="s">
        <v>1847</v>
      </c>
      <c r="B1008" s="10" t="s">
        <v>1868</v>
      </c>
      <c r="D1008" s="4" t="s">
        <v>1875</v>
      </c>
      <c r="E1008">
        <v>2002</v>
      </c>
      <c r="F1008" t="s">
        <v>2661</v>
      </c>
      <c r="G1008" s="16" t="s">
        <v>1883</v>
      </c>
      <c r="H1008" s="10" t="s">
        <v>17</v>
      </c>
      <c r="I1008" t="s">
        <v>1872</v>
      </c>
      <c r="J1008" s="10" t="s">
        <v>1869</v>
      </c>
      <c r="K1008" s="26">
        <v>2</v>
      </c>
      <c r="L1008" s="26">
        <v>2</v>
      </c>
      <c r="N1008" s="10">
        <v>3130</v>
      </c>
      <c r="W1008" s="10">
        <v>2930</v>
      </c>
      <c r="AD1008" s="14">
        <f t="shared" si="131"/>
        <v>0.93610223642172519</v>
      </c>
      <c r="AI1008" s="3">
        <f t="shared" si="130"/>
        <v>0.93610223642172519</v>
      </c>
      <c r="AR1008" t="s">
        <v>14</v>
      </c>
      <c r="AT1008" t="s">
        <v>2</v>
      </c>
      <c r="AU1008" s="10" t="s">
        <v>2</v>
      </c>
      <c r="AV1008" s="10" t="s">
        <v>3</v>
      </c>
      <c r="AW1008" t="s">
        <v>1870</v>
      </c>
    </row>
    <row r="1009" spans="1:49" x14ac:dyDescent="0.3">
      <c r="A1009" s="23" t="s">
        <v>1847</v>
      </c>
      <c r="B1009" s="10" t="s">
        <v>1868</v>
      </c>
      <c r="D1009" s="4" t="s">
        <v>1875</v>
      </c>
      <c r="E1009">
        <v>2003</v>
      </c>
      <c r="F1009" t="s">
        <v>2661</v>
      </c>
      <c r="G1009" s="16" t="s">
        <v>1883</v>
      </c>
      <c r="H1009" s="10" t="s">
        <v>17</v>
      </c>
      <c r="I1009" t="s">
        <v>1872</v>
      </c>
      <c r="J1009" s="10" t="s">
        <v>1869</v>
      </c>
      <c r="K1009" s="26">
        <v>2</v>
      </c>
      <c r="L1009" s="26">
        <v>2</v>
      </c>
      <c r="N1009" s="10">
        <v>1480</v>
      </c>
      <c r="W1009" s="10">
        <v>1600</v>
      </c>
      <c r="AD1009" s="14">
        <f t="shared" si="131"/>
        <v>1.0810810810810811</v>
      </c>
      <c r="AI1009" s="3">
        <f t="shared" si="130"/>
        <v>1.0810810810810811</v>
      </c>
      <c r="AR1009" t="s">
        <v>14</v>
      </c>
      <c r="AT1009" t="s">
        <v>2</v>
      </c>
      <c r="AU1009" s="10" t="s">
        <v>2</v>
      </c>
      <c r="AV1009" s="10" t="s">
        <v>3</v>
      </c>
      <c r="AW1009" t="s">
        <v>1870</v>
      </c>
    </row>
    <row r="1010" spans="1:49" x14ac:dyDescent="0.3">
      <c r="A1010" s="23" t="s">
        <v>1847</v>
      </c>
      <c r="B1010" s="10" t="s">
        <v>1868</v>
      </c>
      <c r="D1010" s="4" t="s">
        <v>1875</v>
      </c>
      <c r="E1010">
        <v>2004</v>
      </c>
      <c r="F1010" t="s">
        <v>2661</v>
      </c>
      <c r="G1010" s="16" t="s">
        <v>1883</v>
      </c>
      <c r="H1010" s="10" t="s">
        <v>17</v>
      </c>
      <c r="I1010" t="s">
        <v>1872</v>
      </c>
      <c r="J1010" s="10" t="s">
        <v>1869</v>
      </c>
      <c r="K1010" s="26">
        <v>2</v>
      </c>
      <c r="L1010" s="26">
        <v>2</v>
      </c>
      <c r="N1010" s="10">
        <v>1950</v>
      </c>
      <c r="W1010" s="10">
        <v>2060</v>
      </c>
      <c r="AD1010" s="14">
        <f t="shared" si="131"/>
        <v>1.0564102564102564</v>
      </c>
      <c r="AI1010" s="3">
        <f t="shared" si="130"/>
        <v>1.0564102564102564</v>
      </c>
      <c r="AR1010" t="s">
        <v>14</v>
      </c>
      <c r="AT1010" t="s">
        <v>2</v>
      </c>
      <c r="AU1010" s="10" t="s">
        <v>2</v>
      </c>
      <c r="AV1010" s="10" t="s">
        <v>3</v>
      </c>
      <c r="AW1010" t="s">
        <v>1870</v>
      </c>
    </row>
    <row r="1011" spans="1:49" x14ac:dyDescent="0.3">
      <c r="A1011" s="23" t="s">
        <v>1845</v>
      </c>
      <c r="B1011" s="10" t="s">
        <v>50</v>
      </c>
      <c r="C1011" t="s">
        <v>1876</v>
      </c>
      <c r="D1011" s="4" t="s">
        <v>1877</v>
      </c>
      <c r="E1011" t="s">
        <v>1446</v>
      </c>
      <c r="F1011" t="s">
        <v>2661</v>
      </c>
      <c r="G1011" t="s">
        <v>34</v>
      </c>
      <c r="H1011" s="10" t="s">
        <v>17</v>
      </c>
      <c r="I1011" t="s">
        <v>1880</v>
      </c>
      <c r="J1011" s="10" t="s">
        <v>1879</v>
      </c>
      <c r="K1011" s="26">
        <v>4</v>
      </c>
      <c r="L1011" s="26">
        <v>4</v>
      </c>
      <c r="N1011" s="10">
        <v>585</v>
      </c>
      <c r="P1011">
        <v>445</v>
      </c>
      <c r="W1011" s="10">
        <v>491</v>
      </c>
      <c r="Y1011">
        <v>389</v>
      </c>
      <c r="AD1011" s="14">
        <f t="shared" si="131"/>
        <v>0.83931623931623933</v>
      </c>
      <c r="AE1011" s="3">
        <f t="shared" ref="AE1011:AE1024" si="132">Y1011/P1011</f>
        <v>0.87415730337078656</v>
      </c>
      <c r="AI1011" s="3">
        <f>AD1011+AE1011</f>
        <v>1.713473542687026</v>
      </c>
      <c r="AQ1011">
        <v>60</v>
      </c>
      <c r="AT1011" t="s">
        <v>2</v>
      </c>
      <c r="AU1011" s="10" t="s">
        <v>2</v>
      </c>
      <c r="AV1011" s="10" t="s">
        <v>3</v>
      </c>
    </row>
    <row r="1012" spans="1:49" x14ac:dyDescent="0.3">
      <c r="A1012" s="23" t="s">
        <v>1845</v>
      </c>
      <c r="B1012" s="10" t="s">
        <v>50</v>
      </c>
      <c r="C1012" t="s">
        <v>1876</v>
      </c>
      <c r="D1012" s="4" t="s">
        <v>1877</v>
      </c>
      <c r="E1012" t="s">
        <v>1446</v>
      </c>
      <c r="F1012" t="s">
        <v>2661</v>
      </c>
      <c r="G1012" t="s">
        <v>34</v>
      </c>
      <c r="H1012" s="10" t="s">
        <v>17</v>
      </c>
      <c r="I1012" t="s">
        <v>1882</v>
      </c>
      <c r="J1012" s="10" t="s">
        <v>1879</v>
      </c>
      <c r="K1012" s="26">
        <v>4</v>
      </c>
      <c r="L1012" s="26">
        <v>4</v>
      </c>
      <c r="N1012" s="10">
        <v>585</v>
      </c>
      <c r="P1012">
        <v>445</v>
      </c>
      <c r="W1012" s="10">
        <v>599</v>
      </c>
      <c r="Y1012">
        <v>211</v>
      </c>
      <c r="AD1012" s="14">
        <f t="shared" si="131"/>
        <v>1.0239316239316238</v>
      </c>
      <c r="AE1012" s="3">
        <f t="shared" si="132"/>
        <v>0.47415730337078654</v>
      </c>
      <c r="AI1012" s="3">
        <f t="shared" ref="AI1012:AI1024" si="133">AD1012+AE1012</f>
        <v>1.4980889273024105</v>
      </c>
      <c r="AQ1012">
        <v>60</v>
      </c>
      <c r="AT1012" t="s">
        <v>2</v>
      </c>
      <c r="AU1012" s="10" t="s">
        <v>2</v>
      </c>
      <c r="AV1012" s="10" t="s">
        <v>3</v>
      </c>
    </row>
    <row r="1013" spans="1:49" x14ac:dyDescent="0.3">
      <c r="A1013" s="23" t="s">
        <v>1845</v>
      </c>
      <c r="B1013" s="10" t="s">
        <v>50</v>
      </c>
      <c r="C1013" t="s">
        <v>1876</v>
      </c>
      <c r="D1013" s="4" t="s">
        <v>1877</v>
      </c>
      <c r="E1013" t="s">
        <v>1446</v>
      </c>
      <c r="F1013" t="s">
        <v>2661</v>
      </c>
      <c r="G1013" t="s">
        <v>34</v>
      </c>
      <c r="H1013" s="10" t="s">
        <v>17</v>
      </c>
      <c r="I1013" t="s">
        <v>1881</v>
      </c>
      <c r="J1013" s="10" t="s">
        <v>1879</v>
      </c>
      <c r="K1013" s="26">
        <v>4</v>
      </c>
      <c r="L1013" s="26">
        <v>4</v>
      </c>
      <c r="N1013" s="10">
        <v>585</v>
      </c>
      <c r="P1013">
        <v>445</v>
      </c>
      <c r="W1013" s="10">
        <v>400</v>
      </c>
      <c r="Y1013">
        <v>309</v>
      </c>
      <c r="AD1013" s="14">
        <f t="shared" si="131"/>
        <v>0.68376068376068377</v>
      </c>
      <c r="AE1013" s="3">
        <f t="shared" si="132"/>
        <v>0.69438202247191017</v>
      </c>
      <c r="AI1013" s="3">
        <f t="shared" si="133"/>
        <v>1.3781427062325939</v>
      </c>
      <c r="AQ1013">
        <v>60</v>
      </c>
      <c r="AT1013" t="s">
        <v>2</v>
      </c>
      <c r="AU1013" s="10" t="s">
        <v>2</v>
      </c>
      <c r="AV1013" s="10" t="s">
        <v>3</v>
      </c>
    </row>
    <row r="1014" spans="1:49" x14ac:dyDescent="0.3">
      <c r="A1014" s="23" t="s">
        <v>1845</v>
      </c>
      <c r="B1014" s="10" t="s">
        <v>50</v>
      </c>
      <c r="C1014" t="s">
        <v>1876</v>
      </c>
      <c r="D1014" s="4" t="s">
        <v>1877</v>
      </c>
      <c r="E1014" t="s">
        <v>1446</v>
      </c>
      <c r="F1014" t="s">
        <v>2661</v>
      </c>
      <c r="G1014" t="s">
        <v>34</v>
      </c>
      <c r="H1014" s="10" t="s">
        <v>17</v>
      </c>
      <c r="I1014" t="s">
        <v>1880</v>
      </c>
      <c r="J1014" s="10" t="s">
        <v>1878</v>
      </c>
      <c r="K1014" s="26">
        <v>4</v>
      </c>
      <c r="L1014" s="26">
        <v>4</v>
      </c>
      <c r="N1014" s="10">
        <v>585</v>
      </c>
      <c r="P1014">
        <v>681</v>
      </c>
      <c r="W1014" s="10">
        <v>598</v>
      </c>
      <c r="Y1014">
        <v>486</v>
      </c>
      <c r="AD1014" s="14">
        <f t="shared" si="131"/>
        <v>1.0222222222222221</v>
      </c>
      <c r="AE1014" s="3">
        <f t="shared" si="132"/>
        <v>0.71365638766519823</v>
      </c>
      <c r="AI1014" s="3">
        <f t="shared" si="133"/>
        <v>1.7358786098874204</v>
      </c>
      <c r="AQ1014">
        <v>60</v>
      </c>
      <c r="AT1014" t="s">
        <v>2</v>
      </c>
      <c r="AU1014" s="10" t="s">
        <v>2</v>
      </c>
      <c r="AV1014" s="10" t="s">
        <v>3</v>
      </c>
    </row>
    <row r="1015" spans="1:49" x14ac:dyDescent="0.3">
      <c r="A1015" s="23" t="s">
        <v>1845</v>
      </c>
      <c r="B1015" s="10" t="s">
        <v>50</v>
      </c>
      <c r="C1015" t="s">
        <v>1876</v>
      </c>
      <c r="D1015" s="4" t="s">
        <v>1877</v>
      </c>
      <c r="E1015" t="s">
        <v>1446</v>
      </c>
      <c r="F1015" t="s">
        <v>2661</v>
      </c>
      <c r="G1015" t="s">
        <v>34</v>
      </c>
      <c r="H1015" s="10" t="s">
        <v>17</v>
      </c>
      <c r="I1015" t="s">
        <v>1882</v>
      </c>
      <c r="J1015" s="10" t="s">
        <v>1878</v>
      </c>
      <c r="K1015" s="26">
        <v>4</v>
      </c>
      <c r="L1015" s="26">
        <v>4</v>
      </c>
      <c r="N1015" s="10">
        <v>585</v>
      </c>
      <c r="P1015">
        <v>681</v>
      </c>
      <c r="W1015" s="10">
        <v>430</v>
      </c>
      <c r="Y1015">
        <v>231</v>
      </c>
      <c r="AD1015" s="14">
        <f t="shared" si="131"/>
        <v>0.7350427350427351</v>
      </c>
      <c r="AE1015" s="3">
        <f t="shared" si="132"/>
        <v>0.33920704845814981</v>
      </c>
      <c r="AI1015" s="3">
        <f t="shared" si="133"/>
        <v>1.0742497835008848</v>
      </c>
      <c r="AQ1015">
        <v>60</v>
      </c>
      <c r="AT1015" t="s">
        <v>2</v>
      </c>
      <c r="AU1015" s="10" t="s">
        <v>2</v>
      </c>
      <c r="AV1015" s="10" t="s">
        <v>3</v>
      </c>
    </row>
    <row r="1016" spans="1:49" x14ac:dyDescent="0.3">
      <c r="A1016" s="23" t="s">
        <v>1845</v>
      </c>
      <c r="B1016" s="10" t="s">
        <v>50</v>
      </c>
      <c r="C1016" t="s">
        <v>1876</v>
      </c>
      <c r="D1016" s="4" t="s">
        <v>1877</v>
      </c>
      <c r="E1016" t="s">
        <v>1446</v>
      </c>
      <c r="F1016" t="s">
        <v>2661</v>
      </c>
      <c r="G1016" t="s">
        <v>34</v>
      </c>
      <c r="H1016" s="10" t="s">
        <v>17</v>
      </c>
      <c r="I1016" t="s">
        <v>1881</v>
      </c>
      <c r="J1016" s="10" t="s">
        <v>1878</v>
      </c>
      <c r="K1016" s="26">
        <v>4</v>
      </c>
      <c r="L1016" s="26">
        <v>4</v>
      </c>
      <c r="N1016" s="10">
        <v>585</v>
      </c>
      <c r="P1016">
        <v>681</v>
      </c>
      <c r="W1016" s="10">
        <v>579</v>
      </c>
      <c r="Y1016">
        <v>300</v>
      </c>
      <c r="AD1016" s="14">
        <f t="shared" si="131"/>
        <v>0.98974358974358978</v>
      </c>
      <c r="AE1016" s="3">
        <f t="shared" si="132"/>
        <v>0.44052863436123346</v>
      </c>
      <c r="AI1016" s="3">
        <f t="shared" si="133"/>
        <v>1.4302722241048231</v>
      </c>
      <c r="AQ1016">
        <v>60</v>
      </c>
      <c r="AT1016" t="s">
        <v>2</v>
      </c>
      <c r="AU1016" s="10" t="s">
        <v>2</v>
      </c>
      <c r="AV1016" s="10" t="s">
        <v>3</v>
      </c>
    </row>
    <row r="1017" spans="1:49" x14ac:dyDescent="0.3">
      <c r="A1017" s="23" t="s">
        <v>1884</v>
      </c>
      <c r="B1017" s="10" t="s">
        <v>29</v>
      </c>
      <c r="C1017" t="s">
        <v>1679</v>
      </c>
      <c r="D1017" s="4" t="s">
        <v>1888</v>
      </c>
      <c r="E1017" t="s">
        <v>1886</v>
      </c>
      <c r="F1017" t="s">
        <v>2661</v>
      </c>
      <c r="G1017" t="s">
        <v>1067</v>
      </c>
      <c r="H1017" s="10" t="s">
        <v>17</v>
      </c>
      <c r="J1017" s="10" t="s">
        <v>1890</v>
      </c>
      <c r="K1017" s="26">
        <v>4</v>
      </c>
      <c r="L1017" s="26">
        <v>4</v>
      </c>
      <c r="N1017" s="10">
        <v>1415</v>
      </c>
      <c r="P1017">
        <v>3614</v>
      </c>
      <c r="W1017" s="10">
        <v>1484</v>
      </c>
      <c r="Y1017">
        <v>1035</v>
      </c>
      <c r="AD1017" s="14">
        <f t="shared" si="131"/>
        <v>1.0487632508833922</v>
      </c>
      <c r="AE1017" s="3">
        <f t="shared" si="132"/>
        <v>0.2863862755949087</v>
      </c>
      <c r="AI1017" s="3">
        <f t="shared" si="133"/>
        <v>1.3351495264783009</v>
      </c>
      <c r="AQ1017">
        <v>100</v>
      </c>
      <c r="AS1017" t="s">
        <v>3</v>
      </c>
      <c r="AU1017" s="10" t="s">
        <v>2</v>
      </c>
      <c r="AV1017" s="10" t="s">
        <v>3</v>
      </c>
    </row>
    <row r="1018" spans="1:49" x14ac:dyDescent="0.3">
      <c r="A1018" s="23" t="s">
        <v>1884</v>
      </c>
      <c r="B1018" s="10" t="s">
        <v>29</v>
      </c>
      <c r="C1018" t="s">
        <v>1679</v>
      </c>
      <c r="D1018" s="4" t="s">
        <v>1888</v>
      </c>
      <c r="E1018" t="s">
        <v>1886</v>
      </c>
      <c r="F1018" t="s">
        <v>2661</v>
      </c>
      <c r="G1018" t="s">
        <v>1067</v>
      </c>
      <c r="H1018" s="10" t="s">
        <v>17</v>
      </c>
      <c r="J1018" s="10" t="s">
        <v>1891</v>
      </c>
      <c r="K1018" s="26">
        <v>4</v>
      </c>
      <c r="L1018" s="26">
        <v>4</v>
      </c>
      <c r="N1018" s="10">
        <v>1415</v>
      </c>
      <c r="P1018">
        <v>2750</v>
      </c>
      <c r="W1018" s="10">
        <v>1531</v>
      </c>
      <c r="Y1018">
        <v>0</v>
      </c>
      <c r="AD1018" s="14">
        <f t="shared" si="131"/>
        <v>1.0819787985865725</v>
      </c>
      <c r="AE1018" s="3">
        <f t="shared" si="132"/>
        <v>0</v>
      </c>
      <c r="AI1018" s="3">
        <f t="shared" si="133"/>
        <v>1.0819787985865725</v>
      </c>
      <c r="AQ1018">
        <v>220</v>
      </c>
      <c r="AS1018" t="s">
        <v>3</v>
      </c>
      <c r="AU1018" s="10" t="s">
        <v>2</v>
      </c>
      <c r="AV1018" s="10" t="s">
        <v>3</v>
      </c>
    </row>
    <row r="1019" spans="1:49" x14ac:dyDescent="0.3">
      <c r="A1019" s="23" t="s">
        <v>1884</v>
      </c>
      <c r="B1019" s="10" t="s">
        <v>29</v>
      </c>
      <c r="C1019" t="s">
        <v>1679</v>
      </c>
      <c r="D1019" s="4" t="s">
        <v>1889</v>
      </c>
      <c r="E1019" t="s">
        <v>1886</v>
      </c>
      <c r="F1019" t="s">
        <v>2661</v>
      </c>
      <c r="G1019" t="s">
        <v>1067</v>
      </c>
      <c r="H1019" s="10" t="s">
        <v>17</v>
      </c>
      <c r="J1019" s="10" t="s">
        <v>1890</v>
      </c>
      <c r="K1019" s="26">
        <v>4</v>
      </c>
      <c r="L1019" s="26">
        <v>4</v>
      </c>
      <c r="N1019" s="10">
        <v>940</v>
      </c>
      <c r="P1019">
        <v>4429</v>
      </c>
      <c r="W1019" s="10">
        <v>775</v>
      </c>
      <c r="Y1019">
        <v>494</v>
      </c>
      <c r="AD1019" s="14">
        <f t="shared" si="131"/>
        <v>0.82446808510638303</v>
      </c>
      <c r="AE1019" s="3">
        <f t="shared" si="132"/>
        <v>0.11153759313614811</v>
      </c>
      <c r="AI1019" s="3">
        <f t="shared" si="133"/>
        <v>0.93600567824253111</v>
      </c>
      <c r="AQ1019">
        <v>100</v>
      </c>
      <c r="AS1019" t="s">
        <v>3</v>
      </c>
      <c r="AU1019" s="10" t="s">
        <v>2</v>
      </c>
      <c r="AV1019" s="10" t="s">
        <v>3</v>
      </c>
    </row>
    <row r="1020" spans="1:49" x14ac:dyDescent="0.3">
      <c r="A1020" s="23" t="s">
        <v>1884</v>
      </c>
      <c r="B1020" s="10" t="s">
        <v>29</v>
      </c>
      <c r="C1020" t="s">
        <v>1679</v>
      </c>
      <c r="D1020" s="4" t="s">
        <v>1889</v>
      </c>
      <c r="E1020" t="s">
        <v>1886</v>
      </c>
      <c r="F1020" t="s">
        <v>2661</v>
      </c>
      <c r="G1020" t="s">
        <v>1067</v>
      </c>
      <c r="H1020" s="10" t="s">
        <v>17</v>
      </c>
      <c r="J1020" s="10" t="s">
        <v>1891</v>
      </c>
      <c r="K1020" s="26">
        <v>4</v>
      </c>
      <c r="L1020" s="26">
        <v>4</v>
      </c>
      <c r="N1020" s="10">
        <v>940</v>
      </c>
      <c r="P1020">
        <v>1804</v>
      </c>
      <c r="W1020" s="10">
        <v>963</v>
      </c>
      <c r="Y1020">
        <v>0</v>
      </c>
      <c r="AD1020" s="14">
        <f t="shared" si="131"/>
        <v>1.024468085106383</v>
      </c>
      <c r="AE1020" s="3">
        <f t="shared" si="132"/>
        <v>0</v>
      </c>
      <c r="AI1020" s="3">
        <f t="shared" si="133"/>
        <v>1.024468085106383</v>
      </c>
      <c r="AQ1020">
        <v>220</v>
      </c>
      <c r="AS1020" t="s">
        <v>3</v>
      </c>
      <c r="AU1020" s="10" t="s">
        <v>2</v>
      </c>
      <c r="AV1020" s="10" t="s">
        <v>3</v>
      </c>
    </row>
    <row r="1021" spans="1:49" x14ac:dyDescent="0.3">
      <c r="A1021" s="23" t="s">
        <v>1884</v>
      </c>
      <c r="B1021" s="10" t="s">
        <v>29</v>
      </c>
      <c r="C1021" t="s">
        <v>1885</v>
      </c>
      <c r="D1021" t="s">
        <v>1887</v>
      </c>
      <c r="E1021">
        <v>2012</v>
      </c>
      <c r="F1021" t="s">
        <v>2661</v>
      </c>
      <c r="G1021" t="s">
        <v>1067</v>
      </c>
      <c r="H1021" s="10" t="s">
        <v>17</v>
      </c>
      <c r="J1021" s="10" t="s">
        <v>1890</v>
      </c>
      <c r="K1021" s="26">
        <v>4</v>
      </c>
      <c r="L1021" s="26">
        <v>4</v>
      </c>
      <c r="N1021" s="10">
        <v>278</v>
      </c>
      <c r="P1021">
        <v>3719</v>
      </c>
      <c r="W1021" s="10">
        <v>344</v>
      </c>
      <c r="Y1021">
        <v>1977</v>
      </c>
      <c r="AD1021" s="14">
        <f t="shared" si="131"/>
        <v>1.2374100719424461</v>
      </c>
      <c r="AE1021" s="3">
        <f t="shared" si="132"/>
        <v>0.53159451465447705</v>
      </c>
      <c r="AI1021" s="3">
        <f t="shared" si="133"/>
        <v>1.7690045865969233</v>
      </c>
      <c r="AQ1021">
        <v>100</v>
      </c>
      <c r="AS1021" t="s">
        <v>3</v>
      </c>
      <c r="AU1021" s="10" t="s">
        <v>2</v>
      </c>
      <c r="AV1021" s="10" t="s">
        <v>3</v>
      </c>
    </row>
    <row r="1022" spans="1:49" x14ac:dyDescent="0.3">
      <c r="A1022" s="23" t="s">
        <v>1884</v>
      </c>
      <c r="B1022" s="10" t="s">
        <v>29</v>
      </c>
      <c r="C1022" t="s">
        <v>1885</v>
      </c>
      <c r="D1022" t="s">
        <v>1887</v>
      </c>
      <c r="E1022">
        <v>2012</v>
      </c>
      <c r="F1022" t="s">
        <v>2661</v>
      </c>
      <c r="G1022" t="s">
        <v>1067</v>
      </c>
      <c r="H1022" s="10" t="s">
        <v>17</v>
      </c>
      <c r="J1022" s="10" t="s">
        <v>1891</v>
      </c>
      <c r="K1022" s="26">
        <v>4</v>
      </c>
      <c r="L1022" s="26">
        <v>4</v>
      </c>
      <c r="N1022" s="10">
        <v>278</v>
      </c>
      <c r="P1022">
        <v>12857</v>
      </c>
      <c r="W1022" s="10">
        <v>214</v>
      </c>
      <c r="Y1022">
        <v>3234</v>
      </c>
      <c r="AD1022" s="14">
        <f t="shared" si="131"/>
        <v>0.76978417266187049</v>
      </c>
      <c r="AE1022" s="3">
        <f t="shared" si="132"/>
        <v>0.25153612817920201</v>
      </c>
      <c r="AI1022" s="3">
        <f t="shared" si="133"/>
        <v>1.0213203008410725</v>
      </c>
      <c r="AQ1022">
        <v>220</v>
      </c>
      <c r="AS1022" t="s">
        <v>3</v>
      </c>
      <c r="AU1022" s="10" t="s">
        <v>2</v>
      </c>
      <c r="AV1022" s="10" t="s">
        <v>3</v>
      </c>
    </row>
    <row r="1023" spans="1:49" x14ac:dyDescent="0.3">
      <c r="A1023" s="23" t="s">
        <v>1884</v>
      </c>
      <c r="B1023" s="10" t="s">
        <v>29</v>
      </c>
      <c r="C1023" t="s">
        <v>1885</v>
      </c>
      <c r="D1023" t="s">
        <v>1887</v>
      </c>
      <c r="E1023">
        <v>2013</v>
      </c>
      <c r="F1023" t="s">
        <v>2661</v>
      </c>
      <c r="G1023" t="s">
        <v>1067</v>
      </c>
      <c r="H1023" s="10" t="s">
        <v>17</v>
      </c>
      <c r="J1023" s="10" t="s">
        <v>1890</v>
      </c>
      <c r="K1023" s="26">
        <v>4</v>
      </c>
      <c r="L1023" s="26">
        <v>4</v>
      </c>
      <c r="N1023" s="10">
        <v>1745</v>
      </c>
      <c r="P1023">
        <v>3610</v>
      </c>
      <c r="W1023" s="10">
        <v>1932</v>
      </c>
      <c r="Y1023">
        <v>1917</v>
      </c>
      <c r="AD1023" s="14">
        <f t="shared" si="131"/>
        <v>1.1071633237822349</v>
      </c>
      <c r="AE1023" s="3">
        <f t="shared" si="132"/>
        <v>0.53102493074792245</v>
      </c>
      <c r="AI1023" s="3">
        <f t="shared" si="133"/>
        <v>1.6381882545301574</v>
      </c>
      <c r="AQ1023">
        <v>100</v>
      </c>
      <c r="AS1023" t="s">
        <v>3</v>
      </c>
      <c r="AU1023" s="10" t="s">
        <v>2</v>
      </c>
      <c r="AV1023" s="10" t="s">
        <v>3</v>
      </c>
    </row>
    <row r="1024" spans="1:49" x14ac:dyDescent="0.3">
      <c r="A1024" s="23" t="s">
        <v>1884</v>
      </c>
      <c r="B1024" s="10" t="s">
        <v>29</v>
      </c>
      <c r="C1024" t="s">
        <v>1885</v>
      </c>
      <c r="D1024" t="s">
        <v>1887</v>
      </c>
      <c r="E1024">
        <v>2013</v>
      </c>
      <c r="F1024" t="s">
        <v>2661</v>
      </c>
      <c r="G1024" t="s">
        <v>1067</v>
      </c>
      <c r="H1024" s="10" t="s">
        <v>17</v>
      </c>
      <c r="J1024" s="10" t="s">
        <v>1891</v>
      </c>
      <c r="K1024" s="26">
        <v>4</v>
      </c>
      <c r="L1024" s="26">
        <v>4</v>
      </c>
      <c r="N1024" s="10">
        <v>1745</v>
      </c>
      <c r="P1024">
        <v>16738</v>
      </c>
      <c r="W1024" s="10">
        <v>1553</v>
      </c>
      <c r="Y1024">
        <v>6922</v>
      </c>
      <c r="AD1024" s="14">
        <f t="shared" si="131"/>
        <v>0.8899713467048711</v>
      </c>
      <c r="AE1024" s="3">
        <f t="shared" si="132"/>
        <v>0.41355000597442942</v>
      </c>
      <c r="AI1024" s="3">
        <f t="shared" si="133"/>
        <v>1.3035213526793006</v>
      </c>
      <c r="AQ1024">
        <v>220</v>
      </c>
      <c r="AS1024" t="s">
        <v>3</v>
      </c>
      <c r="AU1024" s="10" t="s">
        <v>2</v>
      </c>
      <c r="AV1024" s="10" t="s">
        <v>3</v>
      </c>
    </row>
    <row r="1025" spans="1:50" s="17" customFormat="1" x14ac:dyDescent="0.3">
      <c r="A1025" s="23" t="s">
        <v>1897</v>
      </c>
      <c r="B1025" s="26" t="s">
        <v>1631</v>
      </c>
      <c r="C1025" s="26" t="s">
        <v>1628</v>
      </c>
      <c r="D1025" s="26" t="s">
        <v>1898</v>
      </c>
      <c r="E1025" s="26" t="s">
        <v>1899</v>
      </c>
      <c r="F1025" t="s">
        <v>2661</v>
      </c>
      <c r="G1025" s="26" t="s">
        <v>1067</v>
      </c>
      <c r="H1025" s="26" t="s">
        <v>17</v>
      </c>
      <c r="I1025" s="26"/>
      <c r="J1025" s="26" t="s">
        <v>1900</v>
      </c>
      <c r="K1025" s="26">
        <v>4</v>
      </c>
      <c r="L1025" s="26">
        <v>4</v>
      </c>
      <c r="M1025" s="53"/>
      <c r="N1025" s="26">
        <v>11.88</v>
      </c>
      <c r="O1025" s="26"/>
      <c r="P1025" s="26"/>
      <c r="Q1025" s="26"/>
      <c r="R1025" s="26"/>
      <c r="S1025" s="26"/>
      <c r="T1025" s="26"/>
      <c r="U1025" s="26"/>
      <c r="V1025" s="26"/>
      <c r="W1025" s="26">
        <v>12.01</v>
      </c>
      <c r="X1025" s="26"/>
      <c r="Y1025" s="26">
        <v>6.04</v>
      </c>
      <c r="Z1025" s="26"/>
      <c r="AA1025" s="26"/>
      <c r="AB1025" s="26"/>
      <c r="AC1025" s="26"/>
      <c r="AD1025" s="20">
        <f t="shared" si="131"/>
        <v>1.0109427609427608</v>
      </c>
      <c r="AE1025" s="26"/>
      <c r="AF1025" s="26"/>
      <c r="AG1025" s="26"/>
      <c r="AH1025" s="26"/>
      <c r="AI1025" s="20">
        <f>AD1025</f>
        <v>1.0109427609427608</v>
      </c>
      <c r="AJ1025" s="26"/>
      <c r="AK1025" s="26"/>
      <c r="AL1025" s="10"/>
      <c r="AM1025" s="10"/>
      <c r="AN1025" s="10"/>
      <c r="AO1025" s="10"/>
      <c r="AP1025" s="10"/>
      <c r="AQ1025" s="26">
        <v>75</v>
      </c>
      <c r="AR1025" s="26" t="s">
        <v>14</v>
      </c>
      <c r="AS1025" s="26" t="s">
        <v>3</v>
      </c>
      <c r="AT1025" s="26" t="s">
        <v>3</v>
      </c>
      <c r="AU1025" s="26" t="s">
        <v>2</v>
      </c>
      <c r="AV1025" s="26" t="s">
        <v>2</v>
      </c>
    </row>
    <row r="1026" spans="1:50" s="12" customFormat="1" x14ac:dyDescent="0.3">
      <c r="A1026" s="23" t="s">
        <v>1324</v>
      </c>
      <c r="B1026" s="10"/>
      <c r="C1026" s="10"/>
      <c r="D1026" s="10"/>
      <c r="E1026" s="10"/>
      <c r="F1026" t="s">
        <v>2661</v>
      </c>
      <c r="G1026" s="10" t="s">
        <v>1013</v>
      </c>
      <c r="H1026" s="10" t="s">
        <v>17</v>
      </c>
      <c r="I1026" s="10"/>
      <c r="J1026" s="10" t="s">
        <v>1895</v>
      </c>
      <c r="K1026" s="26">
        <v>61</v>
      </c>
      <c r="L1026" s="10">
        <v>61</v>
      </c>
      <c r="M1026" s="53">
        <v>32</v>
      </c>
      <c r="N1026" s="10"/>
      <c r="O1026" s="10"/>
      <c r="P1026" s="10"/>
      <c r="Q1026" s="10"/>
      <c r="R1026" s="10"/>
      <c r="S1026" s="10"/>
      <c r="T1026" s="10"/>
      <c r="U1026" s="10"/>
      <c r="V1026" s="10"/>
      <c r="W1026" s="10"/>
      <c r="X1026" s="10"/>
      <c r="Y1026" s="10"/>
      <c r="Z1026" s="10"/>
      <c r="AA1026" s="10"/>
      <c r="AB1026" s="10"/>
      <c r="AC1026" s="10"/>
      <c r="AD1026" s="14">
        <f>EXP(0.3286)</f>
        <v>1.3890221355967833</v>
      </c>
      <c r="AE1026" s="10"/>
      <c r="AF1026" s="10"/>
      <c r="AG1026" s="10"/>
      <c r="AH1026" s="10"/>
      <c r="AI1026" s="20">
        <f t="shared" ref="AI1026:AI1027" si="134">AD1026</f>
        <v>1.3890221355967833</v>
      </c>
      <c r="AJ1026" s="14">
        <f>EXP(0.2514)</f>
        <v>1.285824311203446</v>
      </c>
      <c r="AK1026" s="14">
        <f>EXP(0.4039)</f>
        <v>1.4976541740522131</v>
      </c>
      <c r="AL1026" s="10"/>
      <c r="AM1026" s="10"/>
      <c r="AN1026" s="10"/>
      <c r="AO1026" s="10"/>
      <c r="AP1026" s="10"/>
      <c r="AQ1026" s="10"/>
      <c r="AR1026" s="10"/>
      <c r="AS1026" s="10"/>
      <c r="AT1026" s="10"/>
      <c r="AU1026" s="10" t="s">
        <v>3</v>
      </c>
      <c r="AV1026" s="26" t="s">
        <v>2</v>
      </c>
    </row>
    <row r="1027" spans="1:50" s="12" customFormat="1" x14ac:dyDescent="0.3">
      <c r="A1027" s="23" t="s">
        <v>1324</v>
      </c>
      <c r="B1027" s="10"/>
      <c r="C1027" s="10"/>
      <c r="D1027" s="10"/>
      <c r="E1027" s="10"/>
      <c r="F1027" t="s">
        <v>2661</v>
      </c>
      <c r="G1027" s="10" t="s">
        <v>1013</v>
      </c>
      <c r="H1027" s="10" t="s">
        <v>17</v>
      </c>
      <c r="I1027" s="10"/>
      <c r="J1027" s="10" t="s">
        <v>1896</v>
      </c>
      <c r="K1027" s="26">
        <v>56</v>
      </c>
      <c r="L1027" s="10">
        <v>56</v>
      </c>
      <c r="M1027" s="53">
        <v>32</v>
      </c>
      <c r="N1027" s="10"/>
      <c r="O1027" s="10"/>
      <c r="P1027" s="10"/>
      <c r="Q1027" s="10"/>
      <c r="R1027" s="10"/>
      <c r="S1027" s="10"/>
      <c r="T1027" s="10"/>
      <c r="U1027" s="10"/>
      <c r="V1027" s="10"/>
      <c r="W1027" s="10"/>
      <c r="X1027" s="10"/>
      <c r="Y1027" s="10"/>
      <c r="Z1027" s="10"/>
      <c r="AA1027" s="10"/>
      <c r="AB1027" s="10"/>
      <c r="AC1027" s="10"/>
      <c r="AD1027" s="14">
        <f>EXP(0.0378)</f>
        <v>1.0385235074051617</v>
      </c>
      <c r="AE1027" s="10"/>
      <c r="AF1027" s="10"/>
      <c r="AG1027" s="10"/>
      <c r="AH1027" s="10"/>
      <c r="AI1027" s="20">
        <f t="shared" si="134"/>
        <v>1.0385235074051617</v>
      </c>
      <c r="AJ1027" s="14">
        <f>EXP(-0.107)</f>
        <v>0.8985256729903055</v>
      </c>
      <c r="AK1027" s="14">
        <f>EXP(0.1868)</f>
        <v>1.2053861837038531</v>
      </c>
      <c r="AL1027" s="10"/>
      <c r="AM1027" s="10"/>
      <c r="AN1027" s="10"/>
      <c r="AO1027" s="10"/>
      <c r="AP1027" s="10"/>
      <c r="AQ1027" s="10"/>
      <c r="AR1027" s="10"/>
      <c r="AS1027" s="10"/>
      <c r="AT1027" s="10"/>
      <c r="AU1027" s="10" t="s">
        <v>3</v>
      </c>
      <c r="AV1027" s="26" t="s">
        <v>2</v>
      </c>
    </row>
    <row r="1028" spans="1:50" s="10" customFormat="1" x14ac:dyDescent="0.3">
      <c r="A1028" s="23" t="s">
        <v>1606</v>
      </c>
      <c r="B1028" s="10" t="s">
        <v>1631</v>
      </c>
      <c r="C1028" s="10" t="s">
        <v>1814</v>
      </c>
      <c r="D1028" s="10" t="s">
        <v>1901</v>
      </c>
      <c r="E1028" s="10" t="s">
        <v>1737</v>
      </c>
      <c r="F1028" t="s">
        <v>2661</v>
      </c>
      <c r="G1028" s="10" t="s">
        <v>6</v>
      </c>
      <c r="H1028" s="10" t="s">
        <v>17</v>
      </c>
      <c r="I1028" s="10" t="s">
        <v>1903</v>
      </c>
      <c r="J1028" s="10" t="s">
        <v>721</v>
      </c>
      <c r="K1028" s="26">
        <v>4</v>
      </c>
      <c r="L1028" s="26">
        <v>4</v>
      </c>
      <c r="M1028" s="53"/>
      <c r="N1028" s="10">
        <v>1762.1</v>
      </c>
      <c r="P1028" s="10">
        <v>1392.3</v>
      </c>
      <c r="W1028" s="10">
        <v>1666.6</v>
      </c>
      <c r="Y1028" s="10">
        <v>816.3</v>
      </c>
      <c r="AD1028" s="14">
        <f t="shared" ref="AD1028:AD1057" si="135">W1028/N1028</f>
        <v>0.94580330287724879</v>
      </c>
      <c r="AE1028" s="14">
        <f t="shared" ref="AE1028:AE1035" si="136">Y1028/P1028</f>
        <v>0.5862960568842922</v>
      </c>
      <c r="AI1028" s="14">
        <f>AD1028+AE1028</f>
        <v>1.5320993597615411</v>
      </c>
      <c r="AJ1028" s="14"/>
      <c r="AK1028" s="14"/>
      <c r="AQ1028" s="10">
        <v>20</v>
      </c>
      <c r="AR1028" s="10" t="s">
        <v>14</v>
      </c>
      <c r="AU1028" s="10" t="s">
        <v>2</v>
      </c>
      <c r="AV1028" s="10" t="s">
        <v>3</v>
      </c>
    </row>
    <row r="1029" spans="1:50" s="10" customFormat="1" x14ac:dyDescent="0.3">
      <c r="A1029" s="23" t="s">
        <v>1606</v>
      </c>
      <c r="B1029" s="10" t="s">
        <v>1631</v>
      </c>
      <c r="C1029" s="10" t="s">
        <v>1814</v>
      </c>
      <c r="D1029" s="10" t="s">
        <v>1901</v>
      </c>
      <c r="E1029" s="10" t="s">
        <v>1737</v>
      </c>
      <c r="F1029" t="s">
        <v>2661</v>
      </c>
      <c r="G1029" s="10" t="s">
        <v>6</v>
      </c>
      <c r="H1029" s="10" t="s">
        <v>17</v>
      </c>
      <c r="I1029" s="10" t="s">
        <v>1904</v>
      </c>
      <c r="J1029" s="10" t="s">
        <v>721</v>
      </c>
      <c r="K1029" s="26">
        <v>4</v>
      </c>
      <c r="L1029" s="26">
        <v>4</v>
      </c>
      <c r="M1029" s="53"/>
      <c r="N1029" s="10">
        <v>1762.1</v>
      </c>
      <c r="P1029" s="10">
        <v>1392.3</v>
      </c>
      <c r="W1029" s="10">
        <v>1524.3</v>
      </c>
      <c r="Y1029" s="10">
        <v>782.7</v>
      </c>
      <c r="AD1029" s="14">
        <f t="shared" si="135"/>
        <v>0.86504738664093983</v>
      </c>
      <c r="AE1029" s="14">
        <f t="shared" si="136"/>
        <v>0.56216332686920922</v>
      </c>
      <c r="AI1029" s="14">
        <f t="shared" ref="AI1029:AI1035" si="137">AD1029+AE1029</f>
        <v>1.4272107135101491</v>
      </c>
      <c r="AL1029"/>
      <c r="AM1029"/>
      <c r="AN1029"/>
      <c r="AO1029"/>
      <c r="AP1029"/>
      <c r="AQ1029" s="10">
        <v>20</v>
      </c>
      <c r="AR1029" s="10" t="s">
        <v>14</v>
      </c>
      <c r="AU1029" s="10" t="s">
        <v>2</v>
      </c>
      <c r="AV1029" s="10" t="s">
        <v>3</v>
      </c>
    </row>
    <row r="1030" spans="1:50" s="10" customFormat="1" x14ac:dyDescent="0.3">
      <c r="A1030" s="23" t="s">
        <v>1606</v>
      </c>
      <c r="B1030" s="10" t="s">
        <v>1631</v>
      </c>
      <c r="C1030" s="10" t="s">
        <v>1814</v>
      </c>
      <c r="D1030" s="10" t="s">
        <v>1901</v>
      </c>
      <c r="E1030" s="10" t="s">
        <v>922</v>
      </c>
      <c r="F1030" t="s">
        <v>2661</v>
      </c>
      <c r="G1030" s="10" t="s">
        <v>6</v>
      </c>
      <c r="H1030" s="10" t="s">
        <v>17</v>
      </c>
      <c r="I1030" s="10" t="s">
        <v>1903</v>
      </c>
      <c r="J1030" s="10" t="s">
        <v>721</v>
      </c>
      <c r="K1030" s="26">
        <v>4</v>
      </c>
      <c r="L1030" s="26">
        <v>4</v>
      </c>
      <c r="M1030" s="53"/>
      <c r="N1030" s="10">
        <v>1780</v>
      </c>
      <c r="P1030" s="10">
        <v>1944.6</v>
      </c>
      <c r="W1030" s="10">
        <v>1496.7</v>
      </c>
      <c r="Y1030" s="10">
        <v>1425.9</v>
      </c>
      <c r="AD1030" s="14">
        <f t="shared" si="135"/>
        <v>0.84084269662921352</v>
      </c>
      <c r="AE1030" s="14">
        <f t="shared" si="136"/>
        <v>0.73326133909287261</v>
      </c>
      <c r="AI1030" s="14">
        <f t="shared" si="137"/>
        <v>1.5741040357220861</v>
      </c>
      <c r="AL1030"/>
      <c r="AM1030"/>
      <c r="AN1030"/>
      <c r="AO1030"/>
      <c r="AP1030"/>
      <c r="AQ1030" s="10">
        <v>20</v>
      </c>
      <c r="AR1030" s="10" t="s">
        <v>14</v>
      </c>
      <c r="AU1030" s="10" t="s">
        <v>2</v>
      </c>
      <c r="AV1030" s="10" t="s">
        <v>3</v>
      </c>
    </row>
    <row r="1031" spans="1:50" s="10" customFormat="1" x14ac:dyDescent="0.3">
      <c r="A1031" s="23" t="s">
        <v>1606</v>
      </c>
      <c r="B1031" s="10" t="s">
        <v>1631</v>
      </c>
      <c r="C1031" s="10" t="s">
        <v>1814</v>
      </c>
      <c r="D1031" s="10" t="s">
        <v>1901</v>
      </c>
      <c r="E1031" s="10" t="s">
        <v>922</v>
      </c>
      <c r="F1031" t="s">
        <v>2661</v>
      </c>
      <c r="G1031" s="10" t="s">
        <v>6</v>
      </c>
      <c r="H1031" s="10" t="s">
        <v>17</v>
      </c>
      <c r="I1031" s="10" t="s">
        <v>1904</v>
      </c>
      <c r="J1031" s="10" t="s">
        <v>721</v>
      </c>
      <c r="K1031" s="26">
        <v>4</v>
      </c>
      <c r="L1031" s="26">
        <v>4</v>
      </c>
      <c r="M1031" s="53"/>
      <c r="N1031" s="10">
        <v>1780</v>
      </c>
      <c r="P1031" s="10">
        <v>1944.6</v>
      </c>
      <c r="W1031" s="10">
        <v>1817.8</v>
      </c>
      <c r="Y1031" s="10">
        <v>1376.8</v>
      </c>
      <c r="AD1031" s="14">
        <f t="shared" si="135"/>
        <v>1.0212359550561798</v>
      </c>
      <c r="AE1031" s="14">
        <f t="shared" si="136"/>
        <v>0.70801193047413347</v>
      </c>
      <c r="AI1031" s="14">
        <f t="shared" si="137"/>
        <v>1.7292478855303133</v>
      </c>
      <c r="AL1031"/>
      <c r="AM1031"/>
      <c r="AN1031"/>
      <c r="AO1031"/>
      <c r="AP1031"/>
      <c r="AQ1031" s="10">
        <v>20</v>
      </c>
      <c r="AR1031" s="10" t="s">
        <v>14</v>
      </c>
      <c r="AU1031" s="10" t="s">
        <v>2</v>
      </c>
      <c r="AV1031" s="10" t="s">
        <v>3</v>
      </c>
    </row>
    <row r="1032" spans="1:50" s="10" customFormat="1" x14ac:dyDescent="0.3">
      <c r="A1032" s="23" t="s">
        <v>1606</v>
      </c>
      <c r="B1032" s="10" t="s">
        <v>1631</v>
      </c>
      <c r="C1032" s="10" t="s">
        <v>1814</v>
      </c>
      <c r="D1032" s="10" t="s">
        <v>1901</v>
      </c>
      <c r="E1032" s="10" t="s">
        <v>1737</v>
      </c>
      <c r="F1032" t="s">
        <v>2661</v>
      </c>
      <c r="G1032" s="10" t="s">
        <v>6</v>
      </c>
      <c r="H1032" s="10" t="s">
        <v>17</v>
      </c>
      <c r="I1032" s="10" t="s">
        <v>1903</v>
      </c>
      <c r="J1032" s="10" t="s">
        <v>1902</v>
      </c>
      <c r="K1032" s="26">
        <v>4</v>
      </c>
      <c r="L1032" s="26">
        <v>4</v>
      </c>
      <c r="M1032" s="53"/>
      <c r="N1032" s="10">
        <v>1762.1</v>
      </c>
      <c r="P1032" s="10">
        <v>108.3</v>
      </c>
      <c r="W1032" s="10">
        <v>2109.1999999999998</v>
      </c>
      <c r="Y1032" s="10">
        <v>110.2</v>
      </c>
      <c r="AD1032" s="14">
        <f t="shared" si="135"/>
        <v>1.1969808750922195</v>
      </c>
      <c r="AE1032" s="14">
        <f t="shared" si="136"/>
        <v>1.0175438596491229</v>
      </c>
      <c r="AI1032" s="14">
        <f t="shared" si="137"/>
        <v>2.2145247347413424</v>
      </c>
      <c r="AL1032"/>
      <c r="AM1032"/>
      <c r="AN1032"/>
      <c r="AO1032"/>
      <c r="AP1032"/>
      <c r="AQ1032" s="10">
        <v>20</v>
      </c>
      <c r="AR1032" s="10" t="s">
        <v>14</v>
      </c>
      <c r="AU1032" s="10" t="s">
        <v>2</v>
      </c>
      <c r="AV1032" s="10" t="s">
        <v>3</v>
      </c>
    </row>
    <row r="1033" spans="1:50" s="10" customFormat="1" x14ac:dyDescent="0.3">
      <c r="A1033" s="23" t="s">
        <v>1606</v>
      </c>
      <c r="B1033" s="10" t="s">
        <v>1631</v>
      </c>
      <c r="C1033" s="10" t="s">
        <v>1814</v>
      </c>
      <c r="D1033" s="10" t="s">
        <v>1901</v>
      </c>
      <c r="E1033" s="10" t="s">
        <v>1737</v>
      </c>
      <c r="F1033" t="s">
        <v>2661</v>
      </c>
      <c r="G1033" s="10" t="s">
        <v>6</v>
      </c>
      <c r="H1033" s="10" t="s">
        <v>17</v>
      </c>
      <c r="I1033" s="10" t="s">
        <v>1905</v>
      </c>
      <c r="J1033" s="10" t="s">
        <v>1902</v>
      </c>
      <c r="K1033" s="26">
        <v>4</v>
      </c>
      <c r="L1033" s="26">
        <v>4</v>
      </c>
      <c r="M1033" s="53"/>
      <c r="N1033" s="10">
        <v>1762.1</v>
      </c>
      <c r="P1033" s="10">
        <v>108.3</v>
      </c>
      <c r="W1033" s="10">
        <v>1858.1</v>
      </c>
      <c r="Y1033" s="10">
        <v>128.4</v>
      </c>
      <c r="AD1033" s="14">
        <f t="shared" si="135"/>
        <v>1.0544804494637081</v>
      </c>
      <c r="AE1033" s="14">
        <f t="shared" si="136"/>
        <v>1.185595567867036</v>
      </c>
      <c r="AI1033" s="14">
        <f t="shared" si="137"/>
        <v>2.2400760173307441</v>
      </c>
      <c r="AL1033"/>
      <c r="AM1033"/>
      <c r="AN1033"/>
      <c r="AO1033"/>
      <c r="AP1033"/>
      <c r="AQ1033" s="10">
        <v>20</v>
      </c>
      <c r="AR1033" s="10" t="s">
        <v>14</v>
      </c>
      <c r="AU1033" s="10" t="s">
        <v>2</v>
      </c>
      <c r="AV1033" s="10" t="s">
        <v>3</v>
      </c>
    </row>
    <row r="1034" spans="1:50" s="10" customFormat="1" x14ac:dyDescent="0.3">
      <c r="A1034" s="23" t="s">
        <v>1606</v>
      </c>
      <c r="B1034" s="10" t="s">
        <v>1631</v>
      </c>
      <c r="C1034" s="10" t="s">
        <v>1814</v>
      </c>
      <c r="D1034" s="10" t="s">
        <v>1901</v>
      </c>
      <c r="E1034" s="10" t="s">
        <v>922</v>
      </c>
      <c r="F1034" t="s">
        <v>2661</v>
      </c>
      <c r="G1034" s="10" t="s">
        <v>6</v>
      </c>
      <c r="H1034" s="10" t="s">
        <v>17</v>
      </c>
      <c r="I1034" s="10" t="s">
        <v>1903</v>
      </c>
      <c r="J1034" s="10" t="s">
        <v>1902</v>
      </c>
      <c r="K1034" s="26">
        <v>4</v>
      </c>
      <c r="L1034" s="26">
        <v>4</v>
      </c>
      <c r="M1034" s="53"/>
      <c r="N1034" s="10">
        <v>1780</v>
      </c>
      <c r="P1034" s="10">
        <v>276.5</v>
      </c>
      <c r="W1034" s="10">
        <v>1944.1</v>
      </c>
      <c r="Y1034" s="10">
        <v>208.8</v>
      </c>
      <c r="AD1034" s="14">
        <f t="shared" si="135"/>
        <v>1.092191011235955</v>
      </c>
      <c r="AE1034" s="14">
        <f t="shared" si="136"/>
        <v>0.75515370705244123</v>
      </c>
      <c r="AI1034" s="14">
        <f t="shared" si="137"/>
        <v>1.8473447182883962</v>
      </c>
      <c r="AL1034"/>
      <c r="AM1034"/>
      <c r="AN1034"/>
      <c r="AO1034"/>
      <c r="AP1034"/>
      <c r="AQ1034" s="10">
        <v>20</v>
      </c>
      <c r="AR1034" s="10" t="s">
        <v>14</v>
      </c>
      <c r="AU1034" s="10" t="s">
        <v>2</v>
      </c>
      <c r="AV1034" s="10" t="s">
        <v>3</v>
      </c>
    </row>
    <row r="1035" spans="1:50" s="10" customFormat="1" x14ac:dyDescent="0.3">
      <c r="A1035" s="23" t="s">
        <v>1606</v>
      </c>
      <c r="B1035" s="10" t="s">
        <v>1631</v>
      </c>
      <c r="C1035" s="10" t="s">
        <v>1814</v>
      </c>
      <c r="D1035" s="10" t="s">
        <v>1901</v>
      </c>
      <c r="E1035" s="10" t="s">
        <v>922</v>
      </c>
      <c r="F1035" t="s">
        <v>2661</v>
      </c>
      <c r="G1035" s="10" t="s">
        <v>6</v>
      </c>
      <c r="H1035" s="10" t="s">
        <v>17</v>
      </c>
      <c r="I1035" s="10" t="s">
        <v>1905</v>
      </c>
      <c r="J1035" s="10" t="s">
        <v>1902</v>
      </c>
      <c r="K1035" s="26">
        <v>4</v>
      </c>
      <c r="L1035" s="26">
        <v>4</v>
      </c>
      <c r="M1035" s="53"/>
      <c r="N1035" s="10">
        <v>1780</v>
      </c>
      <c r="P1035" s="10">
        <v>276.5</v>
      </c>
      <c r="W1035" s="10">
        <v>1512</v>
      </c>
      <c r="Y1035" s="10">
        <v>260.39999999999998</v>
      </c>
      <c r="AD1035" s="14">
        <f t="shared" si="135"/>
        <v>0.84943820224719102</v>
      </c>
      <c r="AE1035" s="14">
        <f t="shared" si="136"/>
        <v>0.94177215189873409</v>
      </c>
      <c r="AI1035" s="14">
        <f t="shared" si="137"/>
        <v>1.791210354145925</v>
      </c>
      <c r="AL1035"/>
      <c r="AM1035"/>
      <c r="AN1035"/>
      <c r="AO1035"/>
      <c r="AP1035"/>
      <c r="AQ1035" s="10">
        <v>20</v>
      </c>
      <c r="AR1035" s="10" t="s">
        <v>14</v>
      </c>
      <c r="AU1035" s="10" t="s">
        <v>2</v>
      </c>
      <c r="AV1035" s="10" t="s">
        <v>3</v>
      </c>
    </row>
    <row r="1036" spans="1:50" s="12" customFormat="1" x14ac:dyDescent="0.3">
      <c r="A1036" s="23" t="s">
        <v>1846</v>
      </c>
      <c r="B1036" s="10" t="s">
        <v>1631</v>
      </c>
      <c r="C1036" s="10" t="s">
        <v>1628</v>
      </c>
      <c r="D1036" s="10" t="s">
        <v>1898</v>
      </c>
      <c r="E1036" s="10" t="s">
        <v>1939</v>
      </c>
      <c r="F1036" t="s">
        <v>2661</v>
      </c>
      <c r="G1036" s="10" t="s">
        <v>1067</v>
      </c>
      <c r="H1036" s="10" t="s">
        <v>17</v>
      </c>
      <c r="I1036" s="10" t="s">
        <v>1940</v>
      </c>
      <c r="J1036" s="10" t="s">
        <v>1941</v>
      </c>
      <c r="K1036" s="26">
        <v>3</v>
      </c>
      <c r="L1036" s="26">
        <v>3</v>
      </c>
      <c r="M1036" s="53"/>
      <c r="N1036" s="10">
        <v>3.65</v>
      </c>
      <c r="O1036" s="10"/>
      <c r="P1036" s="10"/>
      <c r="Q1036" s="10"/>
      <c r="R1036" s="10"/>
      <c r="S1036" s="10"/>
      <c r="T1036" s="10"/>
      <c r="U1036" s="10"/>
      <c r="V1036" s="10"/>
      <c r="W1036" s="10">
        <v>3.65</v>
      </c>
      <c r="X1036" s="10"/>
      <c r="Y1036" s="10">
        <v>2.44</v>
      </c>
      <c r="Z1036" s="10"/>
      <c r="AA1036" s="10"/>
      <c r="AB1036" s="10"/>
      <c r="AC1036" s="10"/>
      <c r="AD1036" s="10">
        <f t="shared" si="135"/>
        <v>1</v>
      </c>
      <c r="AE1036" s="10"/>
      <c r="AF1036" s="10"/>
      <c r="AG1036" s="10"/>
      <c r="AH1036" s="10"/>
      <c r="AI1036" s="10">
        <f>AD1036</f>
        <v>1</v>
      </c>
      <c r="AJ1036" s="10"/>
      <c r="AK1036" s="10"/>
      <c r="AL1036" s="10"/>
      <c r="AM1036" s="10"/>
      <c r="AN1036" s="10"/>
      <c r="AO1036" s="10"/>
      <c r="AP1036" s="10"/>
      <c r="AQ1036" s="10">
        <v>100</v>
      </c>
      <c r="AR1036" s="10" t="s">
        <v>14</v>
      </c>
      <c r="AS1036" s="10"/>
      <c r="AT1036" s="10" t="s">
        <v>3</v>
      </c>
      <c r="AU1036" s="10" t="s">
        <v>2</v>
      </c>
      <c r="AV1036" s="10" t="s">
        <v>2</v>
      </c>
      <c r="AX1036" s="17"/>
    </row>
    <row r="1037" spans="1:50" s="12" customFormat="1" x14ac:dyDescent="0.3">
      <c r="A1037" s="23" t="s">
        <v>1846</v>
      </c>
      <c r="B1037" s="10" t="s">
        <v>1631</v>
      </c>
      <c r="C1037" s="10" t="s">
        <v>1628</v>
      </c>
      <c r="D1037" s="10" t="s">
        <v>1898</v>
      </c>
      <c r="E1037" s="10" t="s">
        <v>1939</v>
      </c>
      <c r="F1037" t="s">
        <v>2661</v>
      </c>
      <c r="G1037" s="10" t="s">
        <v>1067</v>
      </c>
      <c r="H1037" s="10" t="s">
        <v>17</v>
      </c>
      <c r="I1037" s="10" t="s">
        <v>1940</v>
      </c>
      <c r="J1037" s="10" t="s">
        <v>1942</v>
      </c>
      <c r="K1037" s="26">
        <v>3</v>
      </c>
      <c r="L1037" s="26">
        <v>3</v>
      </c>
      <c r="M1037" s="53"/>
      <c r="N1037" s="10">
        <v>3.65</v>
      </c>
      <c r="O1037" s="10"/>
      <c r="P1037" s="10"/>
      <c r="Q1037" s="10"/>
      <c r="R1037" s="10"/>
      <c r="S1037" s="10"/>
      <c r="T1037" s="10"/>
      <c r="U1037" s="10"/>
      <c r="V1037" s="10"/>
      <c r="W1037" s="10">
        <v>3.65</v>
      </c>
      <c r="X1037" s="10"/>
      <c r="Y1037" s="10">
        <v>3.34</v>
      </c>
      <c r="Z1037" s="10"/>
      <c r="AA1037" s="10"/>
      <c r="AB1037" s="10"/>
      <c r="AC1037" s="10"/>
      <c r="AD1037" s="10">
        <f t="shared" si="135"/>
        <v>1</v>
      </c>
      <c r="AE1037" s="10"/>
      <c r="AF1037" s="10"/>
      <c r="AG1037" s="10"/>
      <c r="AH1037" s="10"/>
      <c r="AI1037" s="10">
        <f t="shared" ref="AI1037:AI1057" si="138">AD1037</f>
        <v>1</v>
      </c>
      <c r="AJ1037" s="10"/>
      <c r="AK1037" s="10"/>
      <c r="AL1037" s="10"/>
      <c r="AM1037" s="10"/>
      <c r="AN1037" s="10"/>
      <c r="AO1037" s="10"/>
      <c r="AP1037" s="10"/>
      <c r="AQ1037" s="10">
        <v>100</v>
      </c>
      <c r="AR1037" s="10" t="s">
        <v>14</v>
      </c>
      <c r="AS1037" s="10"/>
      <c r="AT1037" s="10" t="s">
        <v>3</v>
      </c>
      <c r="AU1037" s="10" t="s">
        <v>2</v>
      </c>
      <c r="AV1037" s="10" t="s">
        <v>2</v>
      </c>
      <c r="AX1037" s="17"/>
    </row>
    <row r="1038" spans="1:50" s="12" customFormat="1" x14ac:dyDescent="0.3">
      <c r="A1038" s="23" t="s">
        <v>1846</v>
      </c>
      <c r="B1038" s="10" t="s">
        <v>1631</v>
      </c>
      <c r="C1038" s="10" t="s">
        <v>1628</v>
      </c>
      <c r="D1038" s="10" t="s">
        <v>1898</v>
      </c>
      <c r="E1038" s="10" t="s">
        <v>1939</v>
      </c>
      <c r="F1038" t="s">
        <v>2661</v>
      </c>
      <c r="G1038" s="10" t="s">
        <v>1067</v>
      </c>
      <c r="H1038" s="10" t="s">
        <v>17</v>
      </c>
      <c r="I1038" s="10" t="s">
        <v>1940</v>
      </c>
      <c r="J1038" s="10" t="s">
        <v>1943</v>
      </c>
      <c r="K1038" s="26">
        <v>3</v>
      </c>
      <c r="L1038" s="26">
        <v>3</v>
      </c>
      <c r="M1038" s="53"/>
      <c r="N1038" s="10">
        <v>3.65</v>
      </c>
      <c r="O1038" s="10"/>
      <c r="P1038" s="10"/>
      <c r="Q1038" s="10"/>
      <c r="R1038" s="10"/>
      <c r="S1038" s="10"/>
      <c r="T1038" s="10"/>
      <c r="U1038" s="10"/>
      <c r="V1038" s="10"/>
      <c r="W1038" s="10">
        <v>3.65</v>
      </c>
      <c r="X1038" s="10"/>
      <c r="Y1038" s="10">
        <v>1.97</v>
      </c>
      <c r="Z1038" s="10"/>
      <c r="AA1038" s="10"/>
      <c r="AB1038" s="10"/>
      <c r="AC1038" s="10"/>
      <c r="AD1038" s="10">
        <f t="shared" si="135"/>
        <v>1</v>
      </c>
      <c r="AE1038" s="10"/>
      <c r="AF1038" s="10"/>
      <c r="AG1038" s="10"/>
      <c r="AH1038" s="10"/>
      <c r="AI1038" s="10">
        <f t="shared" si="138"/>
        <v>1</v>
      </c>
      <c r="AJ1038" s="10"/>
      <c r="AK1038" s="10"/>
      <c r="AL1038" s="10"/>
      <c r="AM1038" s="10"/>
      <c r="AN1038" s="10"/>
      <c r="AO1038" s="10"/>
      <c r="AP1038" s="10"/>
      <c r="AQ1038" s="10">
        <v>50</v>
      </c>
      <c r="AR1038" s="10" t="s">
        <v>14</v>
      </c>
      <c r="AS1038" s="10"/>
      <c r="AT1038" s="10" t="s">
        <v>3</v>
      </c>
      <c r="AU1038" s="10" t="s">
        <v>2</v>
      </c>
      <c r="AV1038" s="10" t="s">
        <v>2</v>
      </c>
      <c r="AX1038" s="17"/>
    </row>
    <row r="1039" spans="1:50" s="12" customFormat="1" x14ac:dyDescent="0.3">
      <c r="A1039" s="23" t="s">
        <v>1846</v>
      </c>
      <c r="B1039" s="10" t="s">
        <v>1631</v>
      </c>
      <c r="C1039" s="10" t="s">
        <v>1628</v>
      </c>
      <c r="D1039" s="10" t="s">
        <v>1898</v>
      </c>
      <c r="E1039" s="10" t="s">
        <v>1939</v>
      </c>
      <c r="F1039" t="s">
        <v>2661</v>
      </c>
      <c r="G1039" s="10" t="s">
        <v>1067</v>
      </c>
      <c r="H1039" s="10" t="s">
        <v>17</v>
      </c>
      <c r="I1039" s="10" t="s">
        <v>1940</v>
      </c>
      <c r="J1039" s="10" t="s">
        <v>1944</v>
      </c>
      <c r="K1039" s="26">
        <v>3</v>
      </c>
      <c r="L1039" s="26">
        <v>3</v>
      </c>
      <c r="M1039" s="53"/>
      <c r="N1039" s="10">
        <v>3.65</v>
      </c>
      <c r="O1039" s="10"/>
      <c r="P1039" s="10"/>
      <c r="Q1039" s="10"/>
      <c r="R1039" s="10"/>
      <c r="S1039" s="10"/>
      <c r="T1039" s="10"/>
      <c r="U1039" s="10"/>
      <c r="V1039" s="10"/>
      <c r="W1039" s="10">
        <v>3.65</v>
      </c>
      <c r="X1039" s="10"/>
      <c r="Y1039" s="10">
        <v>1.01</v>
      </c>
      <c r="Z1039" s="10"/>
      <c r="AA1039" s="10"/>
      <c r="AB1039" s="10"/>
      <c r="AC1039" s="10"/>
      <c r="AD1039" s="10">
        <f t="shared" si="135"/>
        <v>1</v>
      </c>
      <c r="AE1039" s="10"/>
      <c r="AF1039" s="10"/>
      <c r="AG1039" s="10"/>
      <c r="AH1039" s="10"/>
      <c r="AI1039" s="10">
        <f t="shared" si="138"/>
        <v>1</v>
      </c>
      <c r="AJ1039" s="10"/>
      <c r="AK1039" s="10"/>
      <c r="AL1039" s="10"/>
      <c r="AM1039" s="10"/>
      <c r="AN1039" s="10"/>
      <c r="AO1039" s="10"/>
      <c r="AP1039" s="10"/>
      <c r="AQ1039" s="10">
        <v>50</v>
      </c>
      <c r="AR1039" s="10" t="s">
        <v>14</v>
      </c>
      <c r="AS1039" s="10"/>
      <c r="AT1039" s="10" t="s">
        <v>3</v>
      </c>
      <c r="AU1039" s="10" t="s">
        <v>2</v>
      </c>
      <c r="AV1039" s="10" t="s">
        <v>2</v>
      </c>
      <c r="AX1039" s="17"/>
    </row>
    <row r="1040" spans="1:50" s="12" customFormat="1" x14ac:dyDescent="0.3">
      <c r="A1040" s="23" t="s">
        <v>1846</v>
      </c>
      <c r="B1040" s="10" t="s">
        <v>1631</v>
      </c>
      <c r="C1040" s="10" t="s">
        <v>1628</v>
      </c>
      <c r="D1040" s="10" t="s">
        <v>1898</v>
      </c>
      <c r="E1040" s="10" t="s">
        <v>1939</v>
      </c>
      <c r="F1040" t="s">
        <v>2661</v>
      </c>
      <c r="G1040" s="10" t="s">
        <v>1067</v>
      </c>
      <c r="H1040" s="10" t="s">
        <v>17</v>
      </c>
      <c r="I1040" s="10" t="s">
        <v>1940</v>
      </c>
      <c r="J1040" s="10" t="s">
        <v>1945</v>
      </c>
      <c r="K1040" s="26">
        <v>3</v>
      </c>
      <c r="L1040" s="26">
        <v>3</v>
      </c>
      <c r="M1040" s="53"/>
      <c r="N1040" s="10">
        <v>3.65</v>
      </c>
      <c r="O1040" s="10"/>
      <c r="P1040" s="10"/>
      <c r="Q1040" s="10"/>
      <c r="R1040" s="10"/>
      <c r="S1040" s="10"/>
      <c r="T1040" s="10"/>
      <c r="U1040" s="10"/>
      <c r="V1040" s="10"/>
      <c r="W1040" s="10">
        <v>3.65</v>
      </c>
      <c r="X1040" s="10"/>
      <c r="Y1040" s="10">
        <v>1.53</v>
      </c>
      <c r="Z1040" s="10"/>
      <c r="AA1040" s="10"/>
      <c r="AB1040" s="10"/>
      <c r="AC1040" s="10"/>
      <c r="AD1040" s="10">
        <f t="shared" si="135"/>
        <v>1</v>
      </c>
      <c r="AE1040" s="10"/>
      <c r="AF1040" s="10"/>
      <c r="AG1040" s="10"/>
      <c r="AH1040" s="10"/>
      <c r="AI1040" s="10">
        <f t="shared" si="138"/>
        <v>1</v>
      </c>
      <c r="AJ1040" s="10"/>
      <c r="AK1040" s="10"/>
      <c r="AL1040" s="10"/>
      <c r="AM1040" s="10"/>
      <c r="AN1040" s="10"/>
      <c r="AO1040" s="10"/>
      <c r="AP1040" s="10"/>
      <c r="AQ1040" s="10">
        <v>50</v>
      </c>
      <c r="AR1040" s="10" t="s">
        <v>14</v>
      </c>
      <c r="AS1040" s="10"/>
      <c r="AT1040" s="10" t="s">
        <v>3</v>
      </c>
      <c r="AU1040" s="10" t="s">
        <v>2</v>
      </c>
      <c r="AV1040" s="10" t="s">
        <v>2</v>
      </c>
      <c r="AX1040" s="17"/>
    </row>
    <row r="1041" spans="1:50" s="12" customFormat="1" x14ac:dyDescent="0.3">
      <c r="A1041" s="23" t="s">
        <v>1846</v>
      </c>
      <c r="B1041" s="10" t="s">
        <v>1631</v>
      </c>
      <c r="C1041" s="10" t="s">
        <v>1628</v>
      </c>
      <c r="D1041" s="10" t="s">
        <v>1898</v>
      </c>
      <c r="E1041" s="10" t="s">
        <v>1939</v>
      </c>
      <c r="F1041" t="s">
        <v>2661</v>
      </c>
      <c r="G1041" s="10" t="s">
        <v>1067</v>
      </c>
      <c r="H1041" s="10" t="s">
        <v>17</v>
      </c>
      <c r="I1041" s="10" t="s">
        <v>1940</v>
      </c>
      <c r="J1041" s="10" t="s">
        <v>1946</v>
      </c>
      <c r="K1041" s="26">
        <v>3</v>
      </c>
      <c r="L1041" s="26">
        <v>3</v>
      </c>
      <c r="M1041" s="53"/>
      <c r="N1041" s="10">
        <v>3.65</v>
      </c>
      <c r="O1041" s="10"/>
      <c r="P1041" s="10"/>
      <c r="Q1041" s="10"/>
      <c r="R1041" s="10"/>
      <c r="S1041" s="10"/>
      <c r="T1041" s="10"/>
      <c r="U1041" s="10"/>
      <c r="V1041" s="10"/>
      <c r="W1041" s="10">
        <v>3.65</v>
      </c>
      <c r="X1041" s="10"/>
      <c r="Y1041" s="10">
        <v>1.5</v>
      </c>
      <c r="Z1041" s="10"/>
      <c r="AA1041" s="10"/>
      <c r="AB1041" s="10"/>
      <c r="AC1041" s="10"/>
      <c r="AD1041" s="10">
        <f t="shared" si="135"/>
        <v>1</v>
      </c>
      <c r="AE1041" s="10"/>
      <c r="AF1041" s="10"/>
      <c r="AG1041" s="10"/>
      <c r="AH1041" s="10"/>
      <c r="AI1041" s="10">
        <f t="shared" si="138"/>
        <v>1</v>
      </c>
      <c r="AJ1041" s="10"/>
      <c r="AK1041" s="10"/>
      <c r="AL1041" s="10"/>
      <c r="AM1041" s="10"/>
      <c r="AN1041" s="10"/>
      <c r="AO1041" s="10"/>
      <c r="AP1041" s="10"/>
      <c r="AQ1041" s="10">
        <v>100</v>
      </c>
      <c r="AR1041" s="10" t="s">
        <v>14</v>
      </c>
      <c r="AS1041" s="10"/>
      <c r="AT1041" s="10" t="s">
        <v>3</v>
      </c>
      <c r="AU1041" s="10" t="s">
        <v>2</v>
      </c>
      <c r="AV1041" s="10" t="s">
        <v>2</v>
      </c>
      <c r="AX1041" s="17"/>
    </row>
    <row r="1042" spans="1:50" s="12" customFormat="1" x14ac:dyDescent="0.3">
      <c r="A1042" s="23" t="s">
        <v>1846</v>
      </c>
      <c r="B1042" s="10" t="s">
        <v>1631</v>
      </c>
      <c r="C1042" s="10" t="s">
        <v>1628</v>
      </c>
      <c r="D1042" s="10" t="s">
        <v>1898</v>
      </c>
      <c r="E1042" s="10" t="s">
        <v>1939</v>
      </c>
      <c r="F1042" t="s">
        <v>2661</v>
      </c>
      <c r="G1042" s="10" t="s">
        <v>1067</v>
      </c>
      <c r="H1042" s="10" t="s">
        <v>17</v>
      </c>
      <c r="I1042" s="10" t="s">
        <v>1940</v>
      </c>
      <c r="J1042" s="10" t="s">
        <v>1947</v>
      </c>
      <c r="K1042" s="26">
        <v>3</v>
      </c>
      <c r="L1042" s="26">
        <v>3</v>
      </c>
      <c r="M1042" s="53"/>
      <c r="N1042" s="10">
        <v>3.65</v>
      </c>
      <c r="O1042" s="10"/>
      <c r="P1042" s="10"/>
      <c r="Q1042" s="10"/>
      <c r="R1042" s="10"/>
      <c r="S1042" s="10"/>
      <c r="T1042" s="10"/>
      <c r="U1042" s="10"/>
      <c r="V1042" s="10"/>
      <c r="W1042" s="10">
        <v>3.65</v>
      </c>
      <c r="X1042" s="10"/>
      <c r="Y1042" s="10">
        <v>1.94</v>
      </c>
      <c r="Z1042" s="10"/>
      <c r="AA1042" s="10"/>
      <c r="AB1042" s="10"/>
      <c r="AC1042" s="10"/>
      <c r="AD1042" s="10">
        <f t="shared" si="135"/>
        <v>1</v>
      </c>
      <c r="AE1042" s="10"/>
      <c r="AF1042" s="10"/>
      <c r="AG1042" s="10"/>
      <c r="AH1042" s="10"/>
      <c r="AI1042" s="10">
        <f t="shared" si="138"/>
        <v>1</v>
      </c>
      <c r="AJ1042" s="10"/>
      <c r="AK1042" s="10"/>
      <c r="AL1042" s="10"/>
      <c r="AM1042" s="10"/>
      <c r="AN1042" s="10"/>
      <c r="AO1042" s="10"/>
      <c r="AP1042" s="10"/>
      <c r="AQ1042" s="10">
        <v>100</v>
      </c>
      <c r="AR1042" s="10" t="s">
        <v>14</v>
      </c>
      <c r="AS1042" s="10"/>
      <c r="AT1042" s="10" t="s">
        <v>3</v>
      </c>
      <c r="AU1042" s="10" t="s">
        <v>2</v>
      </c>
      <c r="AV1042" s="10" t="s">
        <v>2</v>
      </c>
      <c r="AX1042" s="17"/>
    </row>
    <row r="1043" spans="1:50" s="12" customFormat="1" x14ac:dyDescent="0.3">
      <c r="A1043" s="23" t="s">
        <v>1846</v>
      </c>
      <c r="B1043" s="10" t="s">
        <v>1631</v>
      </c>
      <c r="C1043" s="10" t="s">
        <v>1628</v>
      </c>
      <c r="D1043" s="10" t="s">
        <v>1898</v>
      </c>
      <c r="E1043" s="10" t="s">
        <v>1939</v>
      </c>
      <c r="F1043" t="s">
        <v>2661</v>
      </c>
      <c r="G1043" s="10" t="s">
        <v>1067</v>
      </c>
      <c r="H1043" s="10" t="s">
        <v>17</v>
      </c>
      <c r="I1043" s="10" t="s">
        <v>1940</v>
      </c>
      <c r="J1043" s="10" t="s">
        <v>1948</v>
      </c>
      <c r="K1043" s="26">
        <v>3</v>
      </c>
      <c r="L1043" s="26">
        <v>3</v>
      </c>
      <c r="M1043" s="53"/>
      <c r="N1043" s="10">
        <v>3.65</v>
      </c>
      <c r="O1043" s="10"/>
      <c r="P1043" s="10"/>
      <c r="Q1043" s="10"/>
      <c r="R1043" s="10"/>
      <c r="S1043" s="10"/>
      <c r="T1043" s="10"/>
      <c r="U1043" s="10"/>
      <c r="V1043" s="10"/>
      <c r="W1043" s="10">
        <v>3.65</v>
      </c>
      <c r="X1043" s="10"/>
      <c r="Y1043" s="10">
        <v>0.88</v>
      </c>
      <c r="Z1043" s="10"/>
      <c r="AA1043" s="10"/>
      <c r="AB1043" s="10"/>
      <c r="AC1043" s="10"/>
      <c r="AD1043" s="10">
        <f t="shared" si="135"/>
        <v>1</v>
      </c>
      <c r="AE1043" s="10"/>
      <c r="AF1043" s="10"/>
      <c r="AG1043" s="10"/>
      <c r="AH1043" s="10"/>
      <c r="AI1043" s="10">
        <f t="shared" si="138"/>
        <v>1</v>
      </c>
      <c r="AJ1043" s="10"/>
      <c r="AK1043" s="10"/>
      <c r="AL1043" s="10"/>
      <c r="AM1043" s="10"/>
      <c r="AN1043" s="10"/>
      <c r="AO1043" s="10"/>
      <c r="AP1043" s="10"/>
      <c r="AQ1043" s="10">
        <v>100</v>
      </c>
      <c r="AR1043" s="10" t="s">
        <v>14</v>
      </c>
      <c r="AS1043" s="10"/>
      <c r="AT1043" s="10" t="s">
        <v>3</v>
      </c>
      <c r="AU1043" s="10" t="s">
        <v>2</v>
      </c>
      <c r="AV1043" s="10" t="s">
        <v>2</v>
      </c>
      <c r="AX1043" s="17"/>
    </row>
    <row r="1044" spans="1:50" s="12" customFormat="1" x14ac:dyDescent="0.3">
      <c r="A1044" s="23" t="s">
        <v>1846</v>
      </c>
      <c r="B1044" s="10" t="s">
        <v>1631</v>
      </c>
      <c r="C1044" s="10" t="s">
        <v>1628</v>
      </c>
      <c r="D1044" s="10" t="s">
        <v>1898</v>
      </c>
      <c r="E1044" s="10" t="s">
        <v>1939</v>
      </c>
      <c r="F1044" t="s">
        <v>2661</v>
      </c>
      <c r="G1044" s="10" t="s">
        <v>1067</v>
      </c>
      <c r="H1044" s="10" t="s">
        <v>17</v>
      </c>
      <c r="I1044" s="10" t="s">
        <v>1940</v>
      </c>
      <c r="J1044" s="10" t="s">
        <v>1949</v>
      </c>
      <c r="K1044" s="26">
        <v>3</v>
      </c>
      <c r="L1044" s="26">
        <v>3</v>
      </c>
      <c r="M1044" s="53"/>
      <c r="N1044" s="10">
        <v>3.65</v>
      </c>
      <c r="O1044" s="10"/>
      <c r="P1044" s="10"/>
      <c r="Q1044" s="10"/>
      <c r="R1044" s="10"/>
      <c r="S1044" s="10"/>
      <c r="T1044" s="10"/>
      <c r="U1044" s="10"/>
      <c r="V1044" s="10"/>
      <c r="W1044" s="10">
        <v>3.65</v>
      </c>
      <c r="X1044" s="10"/>
      <c r="Y1044" s="10">
        <v>41</v>
      </c>
      <c r="Z1044" s="10"/>
      <c r="AA1044" s="10"/>
      <c r="AB1044" s="10"/>
      <c r="AC1044" s="10"/>
      <c r="AD1044" s="10">
        <f t="shared" si="135"/>
        <v>1</v>
      </c>
      <c r="AE1044" s="10"/>
      <c r="AF1044" s="10"/>
      <c r="AG1044" s="10"/>
      <c r="AH1044" s="10"/>
      <c r="AI1044" s="10">
        <f t="shared" si="138"/>
        <v>1</v>
      </c>
      <c r="AJ1044" s="10"/>
      <c r="AK1044" s="10"/>
      <c r="AL1044" s="10"/>
      <c r="AM1044" s="10"/>
      <c r="AN1044" s="10"/>
      <c r="AO1044" s="10"/>
      <c r="AP1044" s="10"/>
      <c r="AQ1044" s="10">
        <v>100</v>
      </c>
      <c r="AR1044" s="10" t="s">
        <v>14</v>
      </c>
      <c r="AS1044" s="10"/>
      <c r="AT1044" s="10" t="s">
        <v>3</v>
      </c>
      <c r="AU1044" s="10" t="s">
        <v>2</v>
      </c>
      <c r="AV1044" s="10" t="s">
        <v>2</v>
      </c>
      <c r="AX1044" s="17"/>
    </row>
    <row r="1045" spans="1:50" s="12" customFormat="1" x14ac:dyDescent="0.3">
      <c r="A1045" s="23" t="s">
        <v>1846</v>
      </c>
      <c r="B1045" s="10" t="s">
        <v>1631</v>
      </c>
      <c r="C1045" s="10" t="s">
        <v>1628</v>
      </c>
      <c r="D1045" s="10" t="s">
        <v>1898</v>
      </c>
      <c r="E1045" s="10" t="s">
        <v>1939</v>
      </c>
      <c r="F1045" t="s">
        <v>2661</v>
      </c>
      <c r="G1045" s="10" t="s">
        <v>1067</v>
      </c>
      <c r="H1045" s="10" t="s">
        <v>17</v>
      </c>
      <c r="I1045" s="10" t="s">
        <v>1940</v>
      </c>
      <c r="J1045" s="10" t="s">
        <v>1950</v>
      </c>
      <c r="K1045" s="26">
        <v>3</v>
      </c>
      <c r="L1045" s="26">
        <v>3</v>
      </c>
      <c r="M1045" s="53"/>
      <c r="N1045" s="10">
        <v>3.65</v>
      </c>
      <c r="O1045" s="10"/>
      <c r="P1045" s="10"/>
      <c r="Q1045" s="10"/>
      <c r="R1045" s="10"/>
      <c r="S1045" s="10"/>
      <c r="T1045" s="10"/>
      <c r="U1045" s="10"/>
      <c r="V1045" s="10"/>
      <c r="W1045" s="10">
        <v>3.65</v>
      </c>
      <c r="X1045" s="10"/>
      <c r="Y1045" s="10">
        <v>14.04</v>
      </c>
      <c r="Z1045" s="10"/>
      <c r="AA1045" s="10"/>
      <c r="AB1045" s="10"/>
      <c r="AC1045" s="10"/>
      <c r="AD1045" s="10">
        <f t="shared" si="135"/>
        <v>1</v>
      </c>
      <c r="AE1045" s="10"/>
      <c r="AF1045" s="10"/>
      <c r="AG1045" s="10"/>
      <c r="AH1045" s="10"/>
      <c r="AI1045" s="10">
        <f t="shared" si="138"/>
        <v>1</v>
      </c>
      <c r="AJ1045" s="10"/>
      <c r="AK1045" s="10"/>
      <c r="AL1045" s="10"/>
      <c r="AM1045" s="10"/>
      <c r="AN1045" s="10"/>
      <c r="AO1045" s="10"/>
      <c r="AP1045" s="10"/>
      <c r="AQ1045" s="10">
        <v>100</v>
      </c>
      <c r="AR1045" s="10" t="s">
        <v>14</v>
      </c>
      <c r="AS1045" s="10"/>
      <c r="AT1045" s="10" t="s">
        <v>3</v>
      </c>
      <c r="AU1045" s="10" t="s">
        <v>2</v>
      </c>
      <c r="AV1045" s="10" t="s">
        <v>2</v>
      </c>
      <c r="AX1045" s="17"/>
    </row>
    <row r="1046" spans="1:50" s="12" customFormat="1" x14ac:dyDescent="0.3">
      <c r="A1046" s="23" t="s">
        <v>1846</v>
      </c>
      <c r="B1046" s="10" t="s">
        <v>1631</v>
      </c>
      <c r="C1046" s="10" t="s">
        <v>1628</v>
      </c>
      <c r="D1046" s="10" t="s">
        <v>1898</v>
      </c>
      <c r="E1046" s="10" t="s">
        <v>1939</v>
      </c>
      <c r="F1046" t="s">
        <v>2661</v>
      </c>
      <c r="G1046" s="10" t="s">
        <v>1067</v>
      </c>
      <c r="H1046" s="10" t="s">
        <v>17</v>
      </c>
      <c r="I1046" s="10" t="s">
        <v>1940</v>
      </c>
      <c r="J1046" s="10" t="s">
        <v>1951</v>
      </c>
      <c r="K1046" s="26">
        <v>3</v>
      </c>
      <c r="L1046" s="26">
        <v>3</v>
      </c>
      <c r="M1046" s="53"/>
      <c r="N1046" s="10">
        <v>3.65</v>
      </c>
      <c r="O1046" s="10"/>
      <c r="P1046" s="10"/>
      <c r="Q1046" s="10"/>
      <c r="R1046" s="10"/>
      <c r="S1046" s="10"/>
      <c r="T1046" s="10"/>
      <c r="U1046" s="10"/>
      <c r="V1046" s="10"/>
      <c r="W1046" s="10">
        <v>3.65</v>
      </c>
      <c r="X1046" s="10"/>
      <c r="Y1046" s="10">
        <v>49.25</v>
      </c>
      <c r="Z1046" s="10"/>
      <c r="AA1046" s="10"/>
      <c r="AB1046" s="10"/>
      <c r="AC1046" s="10"/>
      <c r="AD1046" s="10">
        <f t="shared" si="135"/>
        <v>1</v>
      </c>
      <c r="AE1046" s="10"/>
      <c r="AF1046" s="10"/>
      <c r="AG1046" s="10"/>
      <c r="AH1046" s="10"/>
      <c r="AI1046" s="10">
        <f t="shared" si="138"/>
        <v>1</v>
      </c>
      <c r="AJ1046" s="10"/>
      <c r="AK1046" s="10"/>
      <c r="AL1046" s="10"/>
      <c r="AM1046" s="10"/>
      <c r="AN1046" s="10"/>
      <c r="AO1046" s="10"/>
      <c r="AP1046" s="10"/>
      <c r="AQ1046" s="10">
        <v>50</v>
      </c>
      <c r="AR1046" s="10" t="s">
        <v>14</v>
      </c>
      <c r="AS1046" s="10"/>
      <c r="AT1046" s="10" t="s">
        <v>3</v>
      </c>
      <c r="AU1046" s="10" t="s">
        <v>2</v>
      </c>
      <c r="AV1046" s="10" t="s">
        <v>2</v>
      </c>
      <c r="AX1046" s="17"/>
    </row>
    <row r="1047" spans="1:50" s="12" customFormat="1" x14ac:dyDescent="0.3">
      <c r="A1047" s="23" t="s">
        <v>1846</v>
      </c>
      <c r="B1047" s="10" t="s">
        <v>1631</v>
      </c>
      <c r="C1047" s="10" t="s">
        <v>1628</v>
      </c>
      <c r="D1047" s="10" t="s">
        <v>1898</v>
      </c>
      <c r="E1047" s="10" t="s">
        <v>1939</v>
      </c>
      <c r="F1047" t="s">
        <v>2661</v>
      </c>
      <c r="G1047" s="10" t="s">
        <v>1067</v>
      </c>
      <c r="H1047" s="10" t="s">
        <v>17</v>
      </c>
      <c r="I1047" s="10" t="s">
        <v>1624</v>
      </c>
      <c r="J1047" s="10" t="s">
        <v>1941</v>
      </c>
      <c r="K1047" s="26">
        <v>3</v>
      </c>
      <c r="L1047" s="26">
        <v>3</v>
      </c>
      <c r="M1047" s="53"/>
      <c r="N1047" s="10">
        <v>3.65</v>
      </c>
      <c r="O1047" s="10"/>
      <c r="P1047" s="10"/>
      <c r="Q1047" s="10"/>
      <c r="R1047" s="10"/>
      <c r="S1047" s="10"/>
      <c r="T1047" s="10"/>
      <c r="U1047" s="10"/>
      <c r="V1047" s="10"/>
      <c r="W1047" s="10">
        <v>3.65</v>
      </c>
      <c r="X1047" s="10"/>
      <c r="Y1047" s="10">
        <v>3.48</v>
      </c>
      <c r="Z1047" s="10"/>
      <c r="AA1047" s="10"/>
      <c r="AB1047" s="10"/>
      <c r="AC1047" s="10"/>
      <c r="AD1047" s="10">
        <f t="shared" si="135"/>
        <v>1</v>
      </c>
      <c r="AE1047" s="10"/>
      <c r="AF1047" s="10"/>
      <c r="AG1047" s="10"/>
      <c r="AH1047" s="10"/>
      <c r="AI1047" s="10">
        <f t="shared" si="138"/>
        <v>1</v>
      </c>
      <c r="AJ1047" s="10"/>
      <c r="AK1047" s="10"/>
      <c r="AL1047" s="10"/>
      <c r="AM1047" s="10"/>
      <c r="AN1047" s="10"/>
      <c r="AO1047" s="10"/>
      <c r="AP1047" s="10"/>
      <c r="AQ1047" s="10">
        <v>100</v>
      </c>
      <c r="AR1047" s="10" t="s">
        <v>14</v>
      </c>
      <c r="AS1047" s="10"/>
      <c r="AT1047" s="10" t="s">
        <v>3</v>
      </c>
      <c r="AU1047" s="10" t="s">
        <v>2</v>
      </c>
      <c r="AV1047" s="10" t="s">
        <v>2</v>
      </c>
      <c r="AX1047" s="17"/>
    </row>
    <row r="1048" spans="1:50" s="12" customFormat="1" x14ac:dyDescent="0.3">
      <c r="A1048" s="23" t="s">
        <v>1846</v>
      </c>
      <c r="B1048" s="10" t="s">
        <v>1631</v>
      </c>
      <c r="C1048" s="10" t="s">
        <v>1628</v>
      </c>
      <c r="D1048" s="10" t="s">
        <v>1898</v>
      </c>
      <c r="E1048" s="10" t="s">
        <v>1939</v>
      </c>
      <c r="F1048" t="s">
        <v>2661</v>
      </c>
      <c r="G1048" s="10" t="s">
        <v>1067</v>
      </c>
      <c r="H1048" s="10" t="s">
        <v>17</v>
      </c>
      <c r="I1048" s="10" t="s">
        <v>1624</v>
      </c>
      <c r="J1048" s="10" t="s">
        <v>1942</v>
      </c>
      <c r="K1048" s="26">
        <v>3</v>
      </c>
      <c r="L1048" s="26">
        <v>3</v>
      </c>
      <c r="M1048" s="53"/>
      <c r="N1048" s="10">
        <v>3.65</v>
      </c>
      <c r="O1048" s="10"/>
      <c r="P1048" s="10"/>
      <c r="Q1048" s="10"/>
      <c r="R1048" s="10"/>
      <c r="S1048" s="10"/>
      <c r="T1048" s="10"/>
      <c r="U1048" s="10"/>
      <c r="V1048" s="10"/>
      <c r="W1048" s="10">
        <v>3.65</v>
      </c>
      <c r="X1048" s="10"/>
      <c r="Y1048" s="10">
        <v>4.29</v>
      </c>
      <c r="Z1048" s="10"/>
      <c r="AA1048" s="10"/>
      <c r="AB1048" s="10"/>
      <c r="AC1048" s="10"/>
      <c r="AD1048" s="10">
        <f t="shared" si="135"/>
        <v>1</v>
      </c>
      <c r="AE1048" s="10"/>
      <c r="AF1048" s="10"/>
      <c r="AG1048" s="10"/>
      <c r="AH1048" s="10"/>
      <c r="AI1048" s="10">
        <f t="shared" si="138"/>
        <v>1</v>
      </c>
      <c r="AJ1048" s="10"/>
      <c r="AK1048" s="10"/>
      <c r="AL1048" s="10"/>
      <c r="AM1048" s="10"/>
      <c r="AN1048" s="10"/>
      <c r="AO1048" s="10"/>
      <c r="AP1048" s="10"/>
      <c r="AQ1048" s="10">
        <v>100</v>
      </c>
      <c r="AR1048" s="10" t="s">
        <v>14</v>
      </c>
      <c r="AS1048" s="10"/>
      <c r="AT1048" s="10" t="s">
        <v>3</v>
      </c>
      <c r="AU1048" s="10" t="s">
        <v>2</v>
      </c>
      <c r="AV1048" s="10" t="s">
        <v>2</v>
      </c>
      <c r="AX1048" s="17"/>
    </row>
    <row r="1049" spans="1:50" s="12" customFormat="1" x14ac:dyDescent="0.3">
      <c r="A1049" s="23" t="s">
        <v>1846</v>
      </c>
      <c r="B1049" s="10" t="s">
        <v>1631</v>
      </c>
      <c r="C1049" s="10" t="s">
        <v>1628</v>
      </c>
      <c r="D1049" s="10" t="s">
        <v>1898</v>
      </c>
      <c r="E1049" s="10" t="s">
        <v>1939</v>
      </c>
      <c r="F1049" t="s">
        <v>2661</v>
      </c>
      <c r="G1049" s="10" t="s">
        <v>1067</v>
      </c>
      <c r="H1049" s="10" t="s">
        <v>17</v>
      </c>
      <c r="I1049" s="10" t="s">
        <v>1624</v>
      </c>
      <c r="J1049" s="10" t="s">
        <v>1943</v>
      </c>
      <c r="K1049" s="26">
        <v>3</v>
      </c>
      <c r="L1049" s="26">
        <v>3</v>
      </c>
      <c r="M1049" s="53"/>
      <c r="N1049" s="10">
        <v>3.65</v>
      </c>
      <c r="O1049" s="10"/>
      <c r="P1049" s="10"/>
      <c r="Q1049" s="10"/>
      <c r="R1049" s="10"/>
      <c r="S1049" s="10"/>
      <c r="T1049" s="10"/>
      <c r="U1049" s="10"/>
      <c r="V1049" s="10"/>
      <c r="W1049" s="10">
        <v>3.65</v>
      </c>
      <c r="X1049" s="10"/>
      <c r="Y1049" s="10">
        <v>2.1</v>
      </c>
      <c r="Z1049" s="10"/>
      <c r="AA1049" s="10"/>
      <c r="AB1049" s="10"/>
      <c r="AC1049" s="10"/>
      <c r="AD1049" s="10">
        <f t="shared" si="135"/>
        <v>1</v>
      </c>
      <c r="AE1049" s="10"/>
      <c r="AF1049" s="10"/>
      <c r="AG1049" s="10"/>
      <c r="AH1049" s="10"/>
      <c r="AI1049" s="10">
        <f t="shared" si="138"/>
        <v>1</v>
      </c>
      <c r="AJ1049" s="10"/>
      <c r="AK1049" s="10"/>
      <c r="AL1049" s="10"/>
      <c r="AM1049" s="10"/>
      <c r="AN1049" s="10"/>
      <c r="AO1049" s="10"/>
      <c r="AP1049" s="10"/>
      <c r="AQ1049" s="10">
        <v>50</v>
      </c>
      <c r="AR1049" s="10" t="s">
        <v>14</v>
      </c>
      <c r="AS1049" s="10"/>
      <c r="AT1049" s="10" t="s">
        <v>3</v>
      </c>
      <c r="AU1049" s="10" t="s">
        <v>2</v>
      </c>
      <c r="AV1049" s="10" t="s">
        <v>2</v>
      </c>
      <c r="AX1049" s="17"/>
    </row>
    <row r="1050" spans="1:50" s="12" customFormat="1" x14ac:dyDescent="0.3">
      <c r="A1050" s="23" t="s">
        <v>1846</v>
      </c>
      <c r="B1050" s="10" t="s">
        <v>1631</v>
      </c>
      <c r="C1050" s="10" t="s">
        <v>1628</v>
      </c>
      <c r="D1050" s="10" t="s">
        <v>1898</v>
      </c>
      <c r="E1050" s="10" t="s">
        <v>1939</v>
      </c>
      <c r="F1050" t="s">
        <v>2661</v>
      </c>
      <c r="G1050" s="10" t="s">
        <v>1067</v>
      </c>
      <c r="H1050" s="10" t="s">
        <v>17</v>
      </c>
      <c r="I1050" s="10" t="s">
        <v>1624</v>
      </c>
      <c r="J1050" s="10" t="s">
        <v>1944</v>
      </c>
      <c r="K1050" s="26">
        <v>3</v>
      </c>
      <c r="L1050" s="26">
        <v>3</v>
      </c>
      <c r="M1050" s="53"/>
      <c r="N1050" s="10">
        <v>3.65</v>
      </c>
      <c r="O1050" s="10"/>
      <c r="P1050" s="10"/>
      <c r="Q1050" s="10"/>
      <c r="R1050" s="10"/>
      <c r="S1050" s="10"/>
      <c r="T1050" s="10"/>
      <c r="U1050" s="10"/>
      <c r="V1050" s="10"/>
      <c r="W1050" s="10">
        <v>3.65</v>
      </c>
      <c r="X1050" s="10"/>
      <c r="Y1050" s="10">
        <v>1.1599999999999999</v>
      </c>
      <c r="Z1050" s="10"/>
      <c r="AA1050" s="10"/>
      <c r="AB1050" s="10"/>
      <c r="AC1050" s="10"/>
      <c r="AD1050" s="10">
        <f t="shared" si="135"/>
        <v>1</v>
      </c>
      <c r="AE1050" s="10"/>
      <c r="AF1050" s="10"/>
      <c r="AG1050" s="10"/>
      <c r="AH1050" s="10"/>
      <c r="AI1050" s="10">
        <f t="shared" si="138"/>
        <v>1</v>
      </c>
      <c r="AJ1050" s="10"/>
      <c r="AK1050" s="10"/>
      <c r="AL1050" s="10"/>
      <c r="AM1050" s="10"/>
      <c r="AN1050" s="10"/>
      <c r="AO1050" s="10"/>
      <c r="AP1050" s="10"/>
      <c r="AQ1050" s="10">
        <v>50</v>
      </c>
      <c r="AR1050" s="10" t="s">
        <v>14</v>
      </c>
      <c r="AS1050" s="10"/>
      <c r="AT1050" s="10" t="s">
        <v>3</v>
      </c>
      <c r="AU1050" s="10" t="s">
        <v>2</v>
      </c>
      <c r="AV1050" s="10" t="s">
        <v>2</v>
      </c>
      <c r="AX1050" s="17"/>
    </row>
    <row r="1051" spans="1:50" s="12" customFormat="1" x14ac:dyDescent="0.3">
      <c r="A1051" s="23" t="s">
        <v>1846</v>
      </c>
      <c r="B1051" s="10" t="s">
        <v>1631</v>
      </c>
      <c r="C1051" s="10" t="s">
        <v>1628</v>
      </c>
      <c r="D1051" s="10" t="s">
        <v>1898</v>
      </c>
      <c r="E1051" s="10" t="s">
        <v>1939</v>
      </c>
      <c r="F1051" t="s">
        <v>2661</v>
      </c>
      <c r="G1051" s="10" t="s">
        <v>1067</v>
      </c>
      <c r="H1051" s="10" t="s">
        <v>17</v>
      </c>
      <c r="I1051" s="10" t="s">
        <v>1624</v>
      </c>
      <c r="J1051" s="10" t="s">
        <v>1945</v>
      </c>
      <c r="K1051" s="26">
        <v>3</v>
      </c>
      <c r="L1051" s="26">
        <v>3</v>
      </c>
      <c r="M1051" s="53"/>
      <c r="N1051" s="10">
        <v>3.65</v>
      </c>
      <c r="O1051" s="10"/>
      <c r="P1051" s="10"/>
      <c r="Q1051" s="10"/>
      <c r="R1051" s="10"/>
      <c r="S1051" s="10"/>
      <c r="T1051" s="10"/>
      <c r="U1051" s="10"/>
      <c r="V1051" s="10"/>
      <c r="W1051" s="10">
        <v>3.65</v>
      </c>
      <c r="X1051" s="10"/>
      <c r="Y1051" s="10">
        <v>1.99</v>
      </c>
      <c r="Z1051" s="10"/>
      <c r="AA1051" s="10"/>
      <c r="AB1051" s="10"/>
      <c r="AC1051" s="10"/>
      <c r="AD1051" s="10">
        <f t="shared" si="135"/>
        <v>1</v>
      </c>
      <c r="AE1051" s="10"/>
      <c r="AF1051" s="10"/>
      <c r="AG1051" s="10"/>
      <c r="AH1051" s="10"/>
      <c r="AI1051" s="10">
        <f t="shared" si="138"/>
        <v>1</v>
      </c>
      <c r="AJ1051" s="10"/>
      <c r="AK1051" s="10"/>
      <c r="AL1051" s="10"/>
      <c r="AM1051" s="10"/>
      <c r="AN1051" s="10"/>
      <c r="AO1051" s="10"/>
      <c r="AP1051" s="10"/>
      <c r="AQ1051" s="10">
        <v>50</v>
      </c>
      <c r="AR1051" s="10" t="s">
        <v>14</v>
      </c>
      <c r="AS1051" s="10"/>
      <c r="AT1051" s="10" t="s">
        <v>3</v>
      </c>
      <c r="AU1051" s="10" t="s">
        <v>2</v>
      </c>
      <c r="AV1051" s="10" t="s">
        <v>2</v>
      </c>
      <c r="AX1051" s="17"/>
    </row>
    <row r="1052" spans="1:50" s="12" customFormat="1" x14ac:dyDescent="0.3">
      <c r="A1052" s="23" t="s">
        <v>1846</v>
      </c>
      <c r="B1052" s="10" t="s">
        <v>1631</v>
      </c>
      <c r="C1052" s="10" t="s">
        <v>1628</v>
      </c>
      <c r="D1052" s="10" t="s">
        <v>1898</v>
      </c>
      <c r="E1052" s="10" t="s">
        <v>1939</v>
      </c>
      <c r="F1052" t="s">
        <v>2661</v>
      </c>
      <c r="G1052" s="10" t="s">
        <v>1067</v>
      </c>
      <c r="H1052" s="10" t="s">
        <v>17</v>
      </c>
      <c r="I1052" s="10" t="s">
        <v>1624</v>
      </c>
      <c r="J1052" s="10" t="s">
        <v>1946</v>
      </c>
      <c r="K1052" s="26">
        <v>3</v>
      </c>
      <c r="L1052" s="26">
        <v>3</v>
      </c>
      <c r="M1052" s="53"/>
      <c r="N1052" s="10">
        <v>3.65</v>
      </c>
      <c r="O1052" s="10"/>
      <c r="P1052" s="10"/>
      <c r="Q1052" s="10"/>
      <c r="R1052" s="10"/>
      <c r="S1052" s="10"/>
      <c r="T1052" s="10"/>
      <c r="U1052" s="10"/>
      <c r="V1052" s="10"/>
      <c r="W1052" s="10">
        <v>3.65</v>
      </c>
      <c r="X1052" s="10"/>
      <c r="Y1052" s="10">
        <v>1.93</v>
      </c>
      <c r="Z1052" s="10"/>
      <c r="AA1052" s="10"/>
      <c r="AB1052" s="10"/>
      <c r="AC1052" s="10"/>
      <c r="AD1052" s="10">
        <f t="shared" si="135"/>
        <v>1</v>
      </c>
      <c r="AE1052" s="10"/>
      <c r="AF1052" s="10"/>
      <c r="AG1052" s="10"/>
      <c r="AH1052" s="10"/>
      <c r="AI1052" s="10">
        <f t="shared" si="138"/>
        <v>1</v>
      </c>
      <c r="AJ1052" s="10"/>
      <c r="AK1052" s="10"/>
      <c r="AL1052" s="10"/>
      <c r="AM1052" s="10"/>
      <c r="AN1052" s="10"/>
      <c r="AO1052" s="10"/>
      <c r="AP1052" s="10"/>
      <c r="AQ1052" s="10">
        <v>100</v>
      </c>
      <c r="AR1052" s="10" t="s">
        <v>14</v>
      </c>
      <c r="AS1052" s="10"/>
      <c r="AT1052" s="10" t="s">
        <v>3</v>
      </c>
      <c r="AU1052" s="10" t="s">
        <v>2</v>
      </c>
      <c r="AV1052" s="10" t="s">
        <v>2</v>
      </c>
      <c r="AX1052" s="17"/>
    </row>
    <row r="1053" spans="1:50" s="12" customFormat="1" x14ac:dyDescent="0.3">
      <c r="A1053" s="23" t="s">
        <v>1846</v>
      </c>
      <c r="B1053" s="10" t="s">
        <v>1631</v>
      </c>
      <c r="C1053" s="10" t="s">
        <v>1628</v>
      </c>
      <c r="D1053" s="10" t="s">
        <v>1898</v>
      </c>
      <c r="E1053" s="10" t="s">
        <v>1939</v>
      </c>
      <c r="F1053" t="s">
        <v>2661</v>
      </c>
      <c r="G1053" s="10" t="s">
        <v>1067</v>
      </c>
      <c r="H1053" s="10" t="s">
        <v>17</v>
      </c>
      <c r="I1053" s="10" t="s">
        <v>1624</v>
      </c>
      <c r="J1053" s="10" t="s">
        <v>1947</v>
      </c>
      <c r="K1053" s="26">
        <v>3</v>
      </c>
      <c r="L1053" s="26">
        <v>3</v>
      </c>
      <c r="M1053" s="53"/>
      <c r="N1053" s="10">
        <v>3.65</v>
      </c>
      <c r="O1053" s="10"/>
      <c r="P1053" s="10"/>
      <c r="Q1053" s="10"/>
      <c r="R1053" s="10"/>
      <c r="S1053" s="10"/>
      <c r="T1053" s="10"/>
      <c r="U1053" s="10"/>
      <c r="V1053" s="10"/>
      <c r="W1053" s="10">
        <v>3.65</v>
      </c>
      <c r="X1053" s="10"/>
      <c r="Y1053" s="10">
        <v>2.2599999999999998</v>
      </c>
      <c r="Z1053" s="10"/>
      <c r="AA1053" s="10"/>
      <c r="AB1053" s="10"/>
      <c r="AC1053" s="10"/>
      <c r="AD1053" s="10">
        <f t="shared" si="135"/>
        <v>1</v>
      </c>
      <c r="AE1053" s="10"/>
      <c r="AF1053" s="10"/>
      <c r="AG1053" s="10"/>
      <c r="AH1053" s="10"/>
      <c r="AI1053" s="10">
        <f t="shared" si="138"/>
        <v>1</v>
      </c>
      <c r="AJ1053" s="10"/>
      <c r="AK1053" s="10"/>
      <c r="AL1053" s="10"/>
      <c r="AM1053" s="10"/>
      <c r="AN1053" s="10"/>
      <c r="AO1053" s="10"/>
      <c r="AP1053" s="10"/>
      <c r="AQ1053" s="10">
        <v>100</v>
      </c>
      <c r="AR1053" s="10" t="s">
        <v>14</v>
      </c>
      <c r="AS1053" s="10"/>
      <c r="AT1053" s="10" t="s">
        <v>3</v>
      </c>
      <c r="AU1053" s="10" t="s">
        <v>2</v>
      </c>
      <c r="AV1053" s="10" t="s">
        <v>2</v>
      </c>
      <c r="AX1053" s="17"/>
    </row>
    <row r="1054" spans="1:50" s="12" customFormat="1" x14ac:dyDescent="0.3">
      <c r="A1054" s="23" t="s">
        <v>1846</v>
      </c>
      <c r="B1054" s="10" t="s">
        <v>1631</v>
      </c>
      <c r="C1054" s="10" t="s">
        <v>1628</v>
      </c>
      <c r="D1054" s="10" t="s">
        <v>1898</v>
      </c>
      <c r="E1054" s="10" t="s">
        <v>1939</v>
      </c>
      <c r="F1054" t="s">
        <v>2661</v>
      </c>
      <c r="G1054" s="10" t="s">
        <v>1067</v>
      </c>
      <c r="H1054" s="10" t="s">
        <v>17</v>
      </c>
      <c r="I1054" s="10" t="s">
        <v>1624</v>
      </c>
      <c r="J1054" s="10" t="s">
        <v>1948</v>
      </c>
      <c r="K1054" s="26">
        <v>3</v>
      </c>
      <c r="L1054" s="26">
        <v>3</v>
      </c>
      <c r="M1054" s="53"/>
      <c r="N1054" s="10">
        <v>3.65</v>
      </c>
      <c r="O1054" s="10"/>
      <c r="P1054" s="10"/>
      <c r="Q1054" s="10"/>
      <c r="R1054" s="10"/>
      <c r="S1054" s="10"/>
      <c r="T1054" s="10"/>
      <c r="U1054" s="10"/>
      <c r="V1054" s="10"/>
      <c r="W1054" s="10">
        <v>3.65</v>
      </c>
      <c r="X1054" s="10"/>
      <c r="Y1054" s="10">
        <v>1.18</v>
      </c>
      <c r="Z1054" s="10"/>
      <c r="AA1054" s="10"/>
      <c r="AB1054" s="10"/>
      <c r="AC1054" s="10"/>
      <c r="AD1054" s="10">
        <f t="shared" si="135"/>
        <v>1</v>
      </c>
      <c r="AE1054" s="10"/>
      <c r="AF1054" s="10"/>
      <c r="AG1054" s="10"/>
      <c r="AH1054" s="10"/>
      <c r="AI1054" s="10">
        <f t="shared" si="138"/>
        <v>1</v>
      </c>
      <c r="AJ1054" s="10"/>
      <c r="AK1054" s="10"/>
      <c r="AL1054" s="10"/>
      <c r="AM1054" s="10"/>
      <c r="AN1054" s="10"/>
      <c r="AO1054" s="10"/>
      <c r="AP1054" s="10"/>
      <c r="AQ1054" s="10">
        <v>100</v>
      </c>
      <c r="AR1054" s="10" t="s">
        <v>14</v>
      </c>
      <c r="AS1054" s="10"/>
      <c r="AT1054" s="10" t="s">
        <v>3</v>
      </c>
      <c r="AU1054" s="10" t="s">
        <v>2</v>
      </c>
      <c r="AV1054" s="10" t="s">
        <v>2</v>
      </c>
      <c r="AX1054" s="17"/>
    </row>
    <row r="1055" spans="1:50" s="12" customFormat="1" x14ac:dyDescent="0.3">
      <c r="A1055" s="23" t="s">
        <v>1846</v>
      </c>
      <c r="B1055" s="10" t="s">
        <v>1631</v>
      </c>
      <c r="C1055" s="10" t="s">
        <v>1628</v>
      </c>
      <c r="D1055" s="10" t="s">
        <v>1898</v>
      </c>
      <c r="E1055" s="10" t="s">
        <v>1939</v>
      </c>
      <c r="F1055" t="s">
        <v>2661</v>
      </c>
      <c r="G1055" s="10" t="s">
        <v>1067</v>
      </c>
      <c r="H1055" s="10" t="s">
        <v>17</v>
      </c>
      <c r="I1055" s="10" t="s">
        <v>1624</v>
      </c>
      <c r="J1055" s="10" t="s">
        <v>1949</v>
      </c>
      <c r="K1055" s="26">
        <v>3</v>
      </c>
      <c r="L1055" s="26">
        <v>3</v>
      </c>
      <c r="M1055" s="53"/>
      <c r="N1055" s="10">
        <v>3.65</v>
      </c>
      <c r="O1055" s="10"/>
      <c r="P1055" s="10"/>
      <c r="Q1055" s="10"/>
      <c r="R1055" s="10"/>
      <c r="S1055" s="10"/>
      <c r="T1055" s="10"/>
      <c r="U1055" s="10"/>
      <c r="V1055" s="10"/>
      <c r="W1055" s="10">
        <v>3.65</v>
      </c>
      <c r="X1055" s="10"/>
      <c r="Y1055" s="10">
        <v>56.29</v>
      </c>
      <c r="Z1055" s="10"/>
      <c r="AA1055" s="10"/>
      <c r="AB1055" s="10"/>
      <c r="AC1055" s="10"/>
      <c r="AD1055" s="10">
        <f t="shared" si="135"/>
        <v>1</v>
      </c>
      <c r="AE1055" s="10"/>
      <c r="AF1055" s="10"/>
      <c r="AG1055" s="10"/>
      <c r="AH1055" s="10"/>
      <c r="AI1055" s="10">
        <f t="shared" si="138"/>
        <v>1</v>
      </c>
      <c r="AJ1055" s="10"/>
      <c r="AK1055" s="10"/>
      <c r="AL1055" s="10"/>
      <c r="AM1055" s="10"/>
      <c r="AN1055" s="10"/>
      <c r="AO1055" s="10"/>
      <c r="AP1055" s="10"/>
      <c r="AQ1055" s="10">
        <v>100</v>
      </c>
      <c r="AR1055" s="10" t="s">
        <v>14</v>
      </c>
      <c r="AS1055" s="10"/>
      <c r="AT1055" s="10" t="s">
        <v>3</v>
      </c>
      <c r="AU1055" s="10" t="s">
        <v>2</v>
      </c>
      <c r="AV1055" s="10" t="s">
        <v>2</v>
      </c>
      <c r="AX1055" s="17"/>
    </row>
    <row r="1056" spans="1:50" s="12" customFormat="1" x14ac:dyDescent="0.3">
      <c r="A1056" s="23" t="s">
        <v>1846</v>
      </c>
      <c r="B1056" s="10" t="s">
        <v>1631</v>
      </c>
      <c r="C1056" s="10" t="s">
        <v>1628</v>
      </c>
      <c r="D1056" s="10" t="s">
        <v>1898</v>
      </c>
      <c r="E1056" s="10" t="s">
        <v>1939</v>
      </c>
      <c r="F1056" t="s">
        <v>2661</v>
      </c>
      <c r="G1056" s="10" t="s">
        <v>1067</v>
      </c>
      <c r="H1056" s="10" t="s">
        <v>17</v>
      </c>
      <c r="I1056" s="10" t="s">
        <v>1624</v>
      </c>
      <c r="J1056" s="10" t="s">
        <v>1950</v>
      </c>
      <c r="K1056" s="26">
        <v>3</v>
      </c>
      <c r="L1056" s="26">
        <v>3</v>
      </c>
      <c r="M1056" s="53"/>
      <c r="N1056" s="10">
        <v>3.65</v>
      </c>
      <c r="O1056" s="10"/>
      <c r="P1056" s="10"/>
      <c r="Q1056" s="10"/>
      <c r="R1056" s="10"/>
      <c r="S1056" s="10"/>
      <c r="T1056" s="10"/>
      <c r="U1056" s="10"/>
      <c r="V1056" s="10"/>
      <c r="W1056" s="10">
        <v>3.65</v>
      </c>
      <c r="X1056" s="10"/>
      <c r="Y1056" s="10">
        <v>19.59</v>
      </c>
      <c r="Z1056" s="10"/>
      <c r="AA1056" s="10"/>
      <c r="AB1056" s="10"/>
      <c r="AC1056" s="10"/>
      <c r="AD1056" s="10">
        <f t="shared" si="135"/>
        <v>1</v>
      </c>
      <c r="AE1056" s="10"/>
      <c r="AF1056" s="10"/>
      <c r="AG1056" s="10"/>
      <c r="AH1056" s="10"/>
      <c r="AI1056" s="10">
        <f t="shared" si="138"/>
        <v>1</v>
      </c>
      <c r="AJ1056" s="10"/>
      <c r="AK1056" s="10"/>
      <c r="AL1056" s="10"/>
      <c r="AM1056" s="10"/>
      <c r="AN1056" s="10"/>
      <c r="AO1056" s="10"/>
      <c r="AP1056" s="10"/>
      <c r="AQ1056" s="10">
        <v>100</v>
      </c>
      <c r="AR1056" s="10" t="s">
        <v>14</v>
      </c>
      <c r="AS1056" s="10"/>
      <c r="AT1056" s="10" t="s">
        <v>3</v>
      </c>
      <c r="AU1056" s="10" t="s">
        <v>2</v>
      </c>
      <c r="AV1056" s="10" t="s">
        <v>2</v>
      </c>
      <c r="AX1056" s="17"/>
    </row>
    <row r="1057" spans="1:50" s="12" customFormat="1" x14ac:dyDescent="0.3">
      <c r="A1057" s="23" t="s">
        <v>1846</v>
      </c>
      <c r="B1057" s="10" t="s">
        <v>1631</v>
      </c>
      <c r="C1057" s="10" t="s">
        <v>1628</v>
      </c>
      <c r="D1057" s="10" t="s">
        <v>1898</v>
      </c>
      <c r="E1057" s="10" t="s">
        <v>1939</v>
      </c>
      <c r="F1057" t="s">
        <v>2661</v>
      </c>
      <c r="G1057" s="10" t="s">
        <v>1067</v>
      </c>
      <c r="H1057" s="10" t="s">
        <v>17</v>
      </c>
      <c r="I1057" s="10" t="s">
        <v>1624</v>
      </c>
      <c r="J1057" s="10" t="s">
        <v>1951</v>
      </c>
      <c r="K1057" s="26">
        <v>3</v>
      </c>
      <c r="L1057" s="26">
        <v>3</v>
      </c>
      <c r="M1057" s="53"/>
      <c r="N1057" s="10">
        <v>3.65</v>
      </c>
      <c r="O1057" s="10"/>
      <c r="P1057" s="10"/>
      <c r="Q1057" s="10"/>
      <c r="R1057" s="10"/>
      <c r="S1057" s="10"/>
      <c r="T1057" s="10"/>
      <c r="U1057" s="10"/>
      <c r="V1057" s="10"/>
      <c r="W1057" s="10">
        <v>3.65</v>
      </c>
      <c r="X1057" s="10"/>
      <c r="Y1057" s="10">
        <v>63.44</v>
      </c>
      <c r="Z1057" s="10"/>
      <c r="AA1057" s="10"/>
      <c r="AB1057" s="10"/>
      <c r="AC1057" s="10"/>
      <c r="AD1057" s="10">
        <f t="shared" si="135"/>
        <v>1</v>
      </c>
      <c r="AE1057" s="10"/>
      <c r="AF1057" s="10"/>
      <c r="AG1057" s="10"/>
      <c r="AH1057" s="10"/>
      <c r="AI1057" s="10">
        <f t="shared" si="138"/>
        <v>1</v>
      </c>
      <c r="AJ1057" s="10"/>
      <c r="AK1057" s="10"/>
      <c r="AL1057" s="10"/>
      <c r="AM1057" s="10"/>
      <c r="AN1057" s="10"/>
      <c r="AO1057" s="10"/>
      <c r="AP1057" s="10"/>
      <c r="AQ1057" s="10">
        <v>50</v>
      </c>
      <c r="AR1057" s="10" t="s">
        <v>14</v>
      </c>
      <c r="AS1057" s="10"/>
      <c r="AT1057" s="10" t="s">
        <v>3</v>
      </c>
      <c r="AU1057" s="10" t="s">
        <v>2</v>
      </c>
      <c r="AV1057" s="10" t="s">
        <v>2</v>
      </c>
      <c r="AX1057" s="17"/>
    </row>
    <row r="1058" spans="1:50" x14ac:dyDescent="0.3">
      <c r="A1058" s="23" t="s">
        <v>2039</v>
      </c>
      <c r="B1058" s="10" t="s">
        <v>5</v>
      </c>
      <c r="C1058" s="10"/>
      <c r="D1058" s="10"/>
      <c r="E1058" s="10"/>
      <c r="F1058" t="s">
        <v>2661</v>
      </c>
      <c r="G1058" s="10" t="s">
        <v>6</v>
      </c>
      <c r="H1058" s="10" t="s">
        <v>17</v>
      </c>
      <c r="I1058" s="10"/>
      <c r="J1058" s="10" t="s">
        <v>2040</v>
      </c>
      <c r="K1058" s="26">
        <v>260</v>
      </c>
      <c r="L1058" s="26">
        <v>260</v>
      </c>
      <c r="M1058" s="53">
        <v>36</v>
      </c>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v>1.31</v>
      </c>
      <c r="AJ1058" s="10">
        <v>1.28</v>
      </c>
      <c r="AK1058" s="10">
        <v>1.34</v>
      </c>
      <c r="AL1058" s="10"/>
      <c r="AM1058" s="10"/>
      <c r="AN1058" s="10"/>
      <c r="AO1058" s="10"/>
      <c r="AP1058" s="10"/>
      <c r="AQ1058" s="10"/>
      <c r="AR1058" s="10"/>
      <c r="AS1058" s="10"/>
      <c r="AT1058" s="10"/>
      <c r="AU1058" s="10" t="s">
        <v>3</v>
      </c>
      <c r="AV1058" s="10" t="s">
        <v>3</v>
      </c>
    </row>
    <row r="1059" spans="1:50" s="10" customFormat="1" x14ac:dyDescent="0.3">
      <c r="A1059" s="23" t="s">
        <v>2056</v>
      </c>
      <c r="B1059" s="10" t="s">
        <v>81</v>
      </c>
      <c r="C1059" s="10" t="s">
        <v>1855</v>
      </c>
      <c r="D1059" s="10" t="s">
        <v>2061</v>
      </c>
      <c r="E1059" s="10">
        <v>2010</v>
      </c>
      <c r="F1059" t="s">
        <v>2661</v>
      </c>
      <c r="G1059" s="10" t="s">
        <v>34</v>
      </c>
      <c r="H1059" s="10" t="s">
        <v>217</v>
      </c>
      <c r="I1059" s="10" t="s">
        <v>2064</v>
      </c>
      <c r="J1059" s="10" t="s">
        <v>2062</v>
      </c>
      <c r="K1059" s="26">
        <v>4</v>
      </c>
      <c r="L1059" s="26">
        <v>4</v>
      </c>
      <c r="M1059" s="53"/>
      <c r="N1059" s="10">
        <v>11.1</v>
      </c>
      <c r="P1059" s="10">
        <v>1.57</v>
      </c>
      <c r="W1059" s="10">
        <v>6.5</v>
      </c>
      <c r="Y1059" s="10">
        <v>0.91</v>
      </c>
      <c r="AD1059" s="14">
        <f t="shared" ref="AD1059:AD1094" si="139">W1059/N1059</f>
        <v>0.5855855855855856</v>
      </c>
      <c r="AE1059" s="14">
        <f t="shared" ref="AE1059:AE1094" si="140">Y1059/P1059</f>
        <v>0.57961783439490444</v>
      </c>
      <c r="AI1059" s="14">
        <f>AD1059+AE1059</f>
        <v>1.1652034199804899</v>
      </c>
      <c r="AQ1059" s="10">
        <v>240</v>
      </c>
      <c r="AT1059" s="10" t="s">
        <v>3</v>
      </c>
      <c r="AU1059" s="10" t="s">
        <v>2</v>
      </c>
      <c r="AV1059" s="10" t="s">
        <v>3</v>
      </c>
    </row>
    <row r="1060" spans="1:50" s="10" customFormat="1" x14ac:dyDescent="0.3">
      <c r="A1060" s="23" t="s">
        <v>2056</v>
      </c>
      <c r="B1060" s="10" t="s">
        <v>81</v>
      </c>
      <c r="C1060" s="10" t="s">
        <v>1855</v>
      </c>
      <c r="D1060" s="10" t="s">
        <v>2061</v>
      </c>
      <c r="E1060" s="10">
        <v>2010</v>
      </c>
      <c r="F1060" t="s">
        <v>2661</v>
      </c>
      <c r="G1060" s="10" t="s">
        <v>34</v>
      </c>
      <c r="H1060" s="10" t="s">
        <v>217</v>
      </c>
      <c r="I1060" s="10" t="s">
        <v>2063</v>
      </c>
      <c r="J1060" s="10" t="s">
        <v>2062</v>
      </c>
      <c r="K1060" s="26">
        <v>4</v>
      </c>
      <c r="L1060" s="26">
        <v>4</v>
      </c>
      <c r="M1060" s="53"/>
      <c r="N1060" s="10">
        <v>12.3</v>
      </c>
      <c r="P1060" s="10">
        <v>1.57</v>
      </c>
      <c r="W1060" s="10">
        <v>8.1</v>
      </c>
      <c r="Y1060" s="10">
        <v>1.0900000000000001</v>
      </c>
      <c r="AD1060" s="14">
        <f t="shared" si="139"/>
        <v>0.65853658536585358</v>
      </c>
      <c r="AE1060" s="14">
        <f t="shared" si="140"/>
        <v>0.69426751592356695</v>
      </c>
      <c r="AI1060" s="14">
        <f t="shared" ref="AI1060:AI1088" si="141">AD1060+AE1060</f>
        <v>1.3528041012894205</v>
      </c>
      <c r="AL1060"/>
      <c r="AM1060"/>
      <c r="AN1060"/>
      <c r="AO1060"/>
      <c r="AP1060"/>
      <c r="AQ1060" s="10">
        <v>240</v>
      </c>
      <c r="AT1060" s="10" t="s">
        <v>3</v>
      </c>
      <c r="AU1060" s="10" t="s">
        <v>2</v>
      </c>
      <c r="AV1060" s="10" t="s">
        <v>3</v>
      </c>
    </row>
    <row r="1061" spans="1:50" s="10" customFormat="1" x14ac:dyDescent="0.3">
      <c r="A1061" s="23" t="s">
        <v>2056</v>
      </c>
      <c r="B1061" s="10" t="s">
        <v>81</v>
      </c>
      <c r="C1061" s="10" t="s">
        <v>1855</v>
      </c>
      <c r="D1061" s="10" t="s">
        <v>2061</v>
      </c>
      <c r="E1061" s="10">
        <v>2011</v>
      </c>
      <c r="F1061" t="s">
        <v>2661</v>
      </c>
      <c r="G1061" s="10" t="s">
        <v>34</v>
      </c>
      <c r="H1061" s="10" t="s">
        <v>217</v>
      </c>
      <c r="I1061" s="10" t="s">
        <v>2064</v>
      </c>
      <c r="J1061" s="10" t="s">
        <v>2062</v>
      </c>
      <c r="K1061" s="26">
        <v>4</v>
      </c>
      <c r="L1061" s="26">
        <v>4</v>
      </c>
      <c r="M1061" s="53"/>
      <c r="N1061" s="10">
        <v>15.6</v>
      </c>
      <c r="P1061" s="10">
        <v>1.86</v>
      </c>
      <c r="W1061" s="10">
        <v>9.1999999999999993</v>
      </c>
      <c r="Y1061" s="10">
        <v>1.43</v>
      </c>
      <c r="AD1061" s="14">
        <f t="shared" si="139"/>
        <v>0.58974358974358976</v>
      </c>
      <c r="AE1061" s="14">
        <f t="shared" si="140"/>
        <v>0.76881720430107514</v>
      </c>
      <c r="AI1061" s="14">
        <f t="shared" si="141"/>
        <v>1.3585607940446649</v>
      </c>
      <c r="AL1061"/>
      <c r="AM1061"/>
      <c r="AN1061"/>
      <c r="AO1061"/>
      <c r="AP1061"/>
      <c r="AQ1061" s="10">
        <v>240</v>
      </c>
      <c r="AT1061" s="10" t="s">
        <v>3</v>
      </c>
      <c r="AU1061" s="10" t="s">
        <v>2</v>
      </c>
      <c r="AV1061" s="10" t="s">
        <v>3</v>
      </c>
    </row>
    <row r="1062" spans="1:50" s="10" customFormat="1" x14ac:dyDescent="0.3">
      <c r="A1062" s="23" t="s">
        <v>2056</v>
      </c>
      <c r="B1062" s="10" t="s">
        <v>81</v>
      </c>
      <c r="C1062" s="10" t="s">
        <v>1855</v>
      </c>
      <c r="D1062" s="10" t="s">
        <v>2061</v>
      </c>
      <c r="E1062" s="10">
        <v>2011</v>
      </c>
      <c r="F1062" t="s">
        <v>2661</v>
      </c>
      <c r="G1062" s="10" t="s">
        <v>34</v>
      </c>
      <c r="H1062" s="10" t="s">
        <v>217</v>
      </c>
      <c r="I1062" s="10" t="s">
        <v>2063</v>
      </c>
      <c r="J1062" s="10" t="s">
        <v>2062</v>
      </c>
      <c r="K1062" s="26">
        <v>4</v>
      </c>
      <c r="L1062" s="26">
        <v>4</v>
      </c>
      <c r="M1062" s="53"/>
      <c r="N1062" s="10">
        <v>17.399999999999999</v>
      </c>
      <c r="P1062" s="10">
        <v>1.86</v>
      </c>
      <c r="W1062" s="10">
        <v>11.2</v>
      </c>
      <c r="Y1062" s="10">
        <v>1.35</v>
      </c>
      <c r="AD1062" s="14">
        <f t="shared" si="139"/>
        <v>0.64367816091954022</v>
      </c>
      <c r="AE1062" s="14">
        <f t="shared" si="140"/>
        <v>0.72580645161290325</v>
      </c>
      <c r="AI1062" s="14">
        <f t="shared" si="141"/>
        <v>1.3694846125324434</v>
      </c>
      <c r="AL1062"/>
      <c r="AM1062"/>
      <c r="AN1062"/>
      <c r="AO1062"/>
      <c r="AP1062"/>
      <c r="AQ1062" s="10">
        <v>240</v>
      </c>
      <c r="AT1062" s="10" t="s">
        <v>3</v>
      </c>
      <c r="AU1062" s="10" t="s">
        <v>2</v>
      </c>
      <c r="AV1062" s="10" t="s">
        <v>3</v>
      </c>
    </row>
    <row r="1063" spans="1:50" s="10" customFormat="1" x14ac:dyDescent="0.3">
      <c r="A1063" s="23" t="s">
        <v>2056</v>
      </c>
      <c r="B1063" s="10" t="s">
        <v>81</v>
      </c>
      <c r="C1063" s="10" t="s">
        <v>1855</v>
      </c>
      <c r="D1063" s="10" t="s">
        <v>2061</v>
      </c>
      <c r="E1063" s="10">
        <v>2010</v>
      </c>
      <c r="F1063" t="s">
        <v>2661</v>
      </c>
      <c r="G1063" s="10" t="s">
        <v>34</v>
      </c>
      <c r="H1063" s="10" t="s">
        <v>217</v>
      </c>
      <c r="I1063" s="10" t="s">
        <v>2066</v>
      </c>
      <c r="J1063" s="10" t="s">
        <v>2062</v>
      </c>
      <c r="K1063" s="26">
        <v>4</v>
      </c>
      <c r="L1063" s="26">
        <v>4</v>
      </c>
      <c r="M1063" s="53"/>
      <c r="N1063" s="10">
        <v>11.1</v>
      </c>
      <c r="P1063" s="10">
        <v>1.57</v>
      </c>
      <c r="W1063" s="10">
        <v>10.6</v>
      </c>
      <c r="Y1063" s="10">
        <v>0.79</v>
      </c>
      <c r="AD1063" s="14">
        <f t="shared" si="139"/>
        <v>0.95495495495495497</v>
      </c>
      <c r="AE1063" s="14">
        <f t="shared" si="140"/>
        <v>0.50318471337579618</v>
      </c>
      <c r="AI1063" s="14">
        <f t="shared" si="141"/>
        <v>1.4581396683307513</v>
      </c>
      <c r="AL1063"/>
      <c r="AM1063"/>
      <c r="AN1063"/>
      <c r="AO1063"/>
      <c r="AP1063"/>
      <c r="AQ1063" s="10">
        <v>240</v>
      </c>
      <c r="AT1063" s="10" t="s">
        <v>3</v>
      </c>
      <c r="AU1063" s="10" t="s">
        <v>2</v>
      </c>
      <c r="AV1063" s="10" t="s">
        <v>3</v>
      </c>
    </row>
    <row r="1064" spans="1:50" s="10" customFormat="1" x14ac:dyDescent="0.3">
      <c r="A1064" s="23" t="s">
        <v>2056</v>
      </c>
      <c r="B1064" s="10" t="s">
        <v>81</v>
      </c>
      <c r="C1064" s="10" t="s">
        <v>1855</v>
      </c>
      <c r="D1064" s="10" t="s">
        <v>2061</v>
      </c>
      <c r="E1064" s="10">
        <v>2010</v>
      </c>
      <c r="F1064" t="s">
        <v>2661</v>
      </c>
      <c r="G1064" s="10" t="s">
        <v>34</v>
      </c>
      <c r="H1064" s="10" t="s">
        <v>217</v>
      </c>
      <c r="I1064" s="10" t="s">
        <v>2065</v>
      </c>
      <c r="J1064" s="10" t="s">
        <v>2062</v>
      </c>
      <c r="K1064" s="26">
        <v>4</v>
      </c>
      <c r="L1064" s="26">
        <v>4</v>
      </c>
      <c r="M1064" s="53"/>
      <c r="N1064" s="10">
        <v>12.3</v>
      </c>
      <c r="P1064" s="10">
        <v>1.57</v>
      </c>
      <c r="W1064" s="10">
        <v>10.3</v>
      </c>
      <c r="Y1064" s="10">
        <v>0.84</v>
      </c>
      <c r="AD1064" s="14">
        <f t="shared" si="139"/>
        <v>0.83739837398373984</v>
      </c>
      <c r="AE1064" s="14">
        <f t="shared" si="140"/>
        <v>0.53503184713375795</v>
      </c>
      <c r="AI1064" s="14">
        <f t="shared" si="141"/>
        <v>1.3724302211174977</v>
      </c>
      <c r="AL1064"/>
      <c r="AM1064"/>
      <c r="AN1064"/>
      <c r="AO1064"/>
      <c r="AP1064"/>
      <c r="AQ1064" s="10">
        <v>240</v>
      </c>
      <c r="AT1064" s="10" t="s">
        <v>3</v>
      </c>
      <c r="AU1064" s="10" t="s">
        <v>2</v>
      </c>
      <c r="AV1064" s="10" t="s">
        <v>3</v>
      </c>
    </row>
    <row r="1065" spans="1:50" s="10" customFormat="1" x14ac:dyDescent="0.3">
      <c r="A1065" s="23" t="s">
        <v>2056</v>
      </c>
      <c r="B1065" s="10" t="s">
        <v>81</v>
      </c>
      <c r="C1065" s="10" t="s">
        <v>1855</v>
      </c>
      <c r="D1065" s="10" t="s">
        <v>2061</v>
      </c>
      <c r="E1065" s="10">
        <v>2011</v>
      </c>
      <c r="F1065" t="s">
        <v>2661</v>
      </c>
      <c r="G1065" s="10" t="s">
        <v>34</v>
      </c>
      <c r="H1065" s="10" t="s">
        <v>217</v>
      </c>
      <c r="I1065" s="10" t="s">
        <v>2066</v>
      </c>
      <c r="J1065" s="10" t="s">
        <v>2062</v>
      </c>
      <c r="K1065" s="26">
        <v>4</v>
      </c>
      <c r="L1065" s="26">
        <v>4</v>
      </c>
      <c r="M1065" s="53"/>
      <c r="N1065" s="10">
        <v>15.6</v>
      </c>
      <c r="P1065" s="10">
        <v>1.86</v>
      </c>
      <c r="W1065" s="10">
        <v>11.3</v>
      </c>
      <c r="Y1065" s="10">
        <v>1.1299999999999999</v>
      </c>
      <c r="AD1065" s="14">
        <f t="shared" si="139"/>
        <v>0.72435897435897445</v>
      </c>
      <c r="AE1065" s="14">
        <f t="shared" si="140"/>
        <v>0.60752688172043001</v>
      </c>
      <c r="AI1065" s="14">
        <f t="shared" si="141"/>
        <v>1.3318858560794045</v>
      </c>
      <c r="AL1065"/>
      <c r="AM1065"/>
      <c r="AN1065"/>
      <c r="AO1065"/>
      <c r="AP1065"/>
      <c r="AQ1065" s="10">
        <v>240</v>
      </c>
      <c r="AT1065" s="10" t="s">
        <v>3</v>
      </c>
      <c r="AU1065" s="10" t="s">
        <v>2</v>
      </c>
      <c r="AV1065" s="10" t="s">
        <v>3</v>
      </c>
    </row>
    <row r="1066" spans="1:50" s="10" customFormat="1" x14ac:dyDescent="0.3">
      <c r="A1066" s="23" t="s">
        <v>2056</v>
      </c>
      <c r="B1066" s="10" t="s">
        <v>81</v>
      </c>
      <c r="C1066" s="10" t="s">
        <v>1855</v>
      </c>
      <c r="D1066" s="10" t="s">
        <v>2061</v>
      </c>
      <c r="E1066" s="10">
        <v>2011</v>
      </c>
      <c r="F1066" t="s">
        <v>2661</v>
      </c>
      <c r="G1066" s="10" t="s">
        <v>34</v>
      </c>
      <c r="H1066" s="10" t="s">
        <v>217</v>
      </c>
      <c r="I1066" s="10" t="s">
        <v>2065</v>
      </c>
      <c r="J1066" s="10" t="s">
        <v>2062</v>
      </c>
      <c r="K1066" s="26">
        <v>4</v>
      </c>
      <c r="L1066" s="26">
        <v>4</v>
      </c>
      <c r="M1066" s="53"/>
      <c r="N1066" s="10">
        <v>17.399999999999999</v>
      </c>
      <c r="P1066" s="10">
        <v>1.86</v>
      </c>
      <c r="W1066" s="10">
        <v>12.7</v>
      </c>
      <c r="Y1066" s="10">
        <v>1.1299999999999999</v>
      </c>
      <c r="AD1066" s="14">
        <f t="shared" si="139"/>
        <v>0.72988505747126442</v>
      </c>
      <c r="AE1066" s="14">
        <f t="shared" si="140"/>
        <v>0.60752688172043001</v>
      </c>
      <c r="AI1066" s="14">
        <f t="shared" si="141"/>
        <v>1.3374119391916945</v>
      </c>
      <c r="AL1066"/>
      <c r="AM1066"/>
      <c r="AN1066"/>
      <c r="AO1066"/>
      <c r="AP1066"/>
      <c r="AQ1066" s="10">
        <v>240</v>
      </c>
      <c r="AT1066" s="10" t="s">
        <v>3</v>
      </c>
      <c r="AU1066" s="10" t="s">
        <v>2</v>
      </c>
      <c r="AV1066" s="10" t="s">
        <v>3</v>
      </c>
    </row>
    <row r="1067" spans="1:50" x14ac:dyDescent="0.3">
      <c r="A1067" s="23" t="s">
        <v>2057</v>
      </c>
      <c r="B1067" s="10" t="s">
        <v>81</v>
      </c>
      <c r="C1067" s="10" t="s">
        <v>2061</v>
      </c>
      <c r="D1067" s="10" t="s">
        <v>2067</v>
      </c>
      <c r="E1067" s="10">
        <v>2008</v>
      </c>
      <c r="F1067" t="s">
        <v>2661</v>
      </c>
      <c r="G1067" s="10" t="s">
        <v>34</v>
      </c>
      <c r="H1067" s="10" t="s">
        <v>217</v>
      </c>
      <c r="J1067" s="10" t="s">
        <v>736</v>
      </c>
      <c r="K1067" s="26">
        <v>3</v>
      </c>
      <c r="L1067" s="26">
        <v>3</v>
      </c>
      <c r="N1067" s="10">
        <v>6.01</v>
      </c>
      <c r="P1067" s="10">
        <v>8.44</v>
      </c>
      <c r="W1067" s="10">
        <v>4.3600000000000003</v>
      </c>
      <c r="Y1067" s="10">
        <v>6.23</v>
      </c>
      <c r="AD1067" s="14">
        <f t="shared" si="139"/>
        <v>0.72545757071547434</v>
      </c>
      <c r="AE1067" s="14">
        <f t="shared" si="140"/>
        <v>0.73815165876777256</v>
      </c>
      <c r="AI1067" s="14">
        <f t="shared" si="141"/>
        <v>1.463609229483247</v>
      </c>
      <c r="AQ1067">
        <f>(180+300)/2</f>
        <v>240</v>
      </c>
      <c r="AR1067" t="s">
        <v>14</v>
      </c>
      <c r="AT1067" s="10" t="s">
        <v>3</v>
      </c>
      <c r="AU1067" s="10" t="s">
        <v>2</v>
      </c>
      <c r="AV1067" s="10" t="s">
        <v>3</v>
      </c>
    </row>
    <row r="1068" spans="1:50" x14ac:dyDescent="0.3">
      <c r="A1068" s="23" t="s">
        <v>2057</v>
      </c>
      <c r="B1068" s="10" t="s">
        <v>81</v>
      </c>
      <c r="C1068" s="10" t="s">
        <v>2061</v>
      </c>
      <c r="D1068" s="10" t="s">
        <v>2067</v>
      </c>
      <c r="E1068" s="10">
        <v>2009</v>
      </c>
      <c r="F1068" t="s">
        <v>2661</v>
      </c>
      <c r="G1068" s="10" t="s">
        <v>34</v>
      </c>
      <c r="H1068" s="10" t="s">
        <v>217</v>
      </c>
      <c r="J1068" s="10" t="s">
        <v>736</v>
      </c>
      <c r="K1068" s="26">
        <v>3</v>
      </c>
      <c r="L1068" s="26">
        <v>3</v>
      </c>
      <c r="N1068" s="10">
        <v>6.72</v>
      </c>
      <c r="P1068" s="10">
        <v>10.97</v>
      </c>
      <c r="W1068" s="10">
        <v>3.98</v>
      </c>
      <c r="Y1068" s="10">
        <v>7.16</v>
      </c>
      <c r="AD1068" s="14">
        <f t="shared" si="139"/>
        <v>0.59226190476190477</v>
      </c>
      <c r="AE1068" s="14">
        <f t="shared" si="140"/>
        <v>0.65268915223336366</v>
      </c>
      <c r="AI1068" s="14">
        <f t="shared" si="141"/>
        <v>1.2449510569952684</v>
      </c>
      <c r="AQ1068">
        <f t="shared" ref="AQ1068:AQ1069" si="142">(180+300)/2</f>
        <v>240</v>
      </c>
      <c r="AR1068" t="s">
        <v>14</v>
      </c>
      <c r="AT1068" s="10" t="s">
        <v>3</v>
      </c>
      <c r="AU1068" s="10" t="s">
        <v>2</v>
      </c>
      <c r="AV1068" s="10" t="s">
        <v>3</v>
      </c>
    </row>
    <row r="1069" spans="1:50" x14ac:dyDescent="0.3">
      <c r="A1069" s="23" t="s">
        <v>2057</v>
      </c>
      <c r="B1069" s="10" t="s">
        <v>81</v>
      </c>
      <c r="C1069" s="10" t="s">
        <v>2061</v>
      </c>
      <c r="D1069" s="10" t="s">
        <v>2067</v>
      </c>
      <c r="E1069" s="10">
        <v>2010</v>
      </c>
      <c r="F1069" t="s">
        <v>2661</v>
      </c>
      <c r="G1069" s="10" t="s">
        <v>34</v>
      </c>
      <c r="H1069" s="10" t="s">
        <v>217</v>
      </c>
      <c r="J1069" s="10" t="s">
        <v>736</v>
      </c>
      <c r="K1069" s="26">
        <v>3</v>
      </c>
      <c r="L1069" s="26">
        <v>3</v>
      </c>
      <c r="N1069" s="10">
        <v>7.03</v>
      </c>
      <c r="P1069" s="10">
        <v>13.68</v>
      </c>
      <c r="W1069" s="10">
        <v>5.17</v>
      </c>
      <c r="Y1069" s="10">
        <v>11.76</v>
      </c>
      <c r="AD1069" s="14">
        <f t="shared" si="139"/>
        <v>0.73541963015647227</v>
      </c>
      <c r="AE1069" s="14">
        <f t="shared" si="140"/>
        <v>0.85964912280701755</v>
      </c>
      <c r="AI1069" s="14">
        <f t="shared" si="141"/>
        <v>1.5950687529634897</v>
      </c>
      <c r="AQ1069">
        <f t="shared" si="142"/>
        <v>240</v>
      </c>
      <c r="AR1069" t="s">
        <v>14</v>
      </c>
      <c r="AT1069" s="10" t="s">
        <v>3</v>
      </c>
      <c r="AU1069" s="10" t="s">
        <v>2</v>
      </c>
      <c r="AV1069" s="10" t="s">
        <v>3</v>
      </c>
    </row>
    <row r="1070" spans="1:50" x14ac:dyDescent="0.3">
      <c r="A1070" s="23" t="s">
        <v>2058</v>
      </c>
      <c r="B1070" s="10" t="s">
        <v>81</v>
      </c>
      <c r="C1070" s="10" t="s">
        <v>2061</v>
      </c>
      <c r="D1070" s="10" t="s">
        <v>2068</v>
      </c>
      <c r="E1070" s="10">
        <v>2009</v>
      </c>
      <c r="F1070" t="s">
        <v>2661</v>
      </c>
      <c r="G1070" s="10" t="s">
        <v>34</v>
      </c>
      <c r="H1070" s="10" t="s">
        <v>217</v>
      </c>
      <c r="J1070" s="10" t="s">
        <v>2070</v>
      </c>
      <c r="K1070" s="26">
        <v>3</v>
      </c>
      <c r="L1070" s="26">
        <v>3</v>
      </c>
      <c r="N1070" s="10">
        <v>12.677</v>
      </c>
      <c r="P1070" s="10">
        <v>6.09</v>
      </c>
      <c r="W1070" s="10">
        <v>7.4039999999999999</v>
      </c>
      <c r="Y1070" s="10">
        <v>3.5219999999999998</v>
      </c>
      <c r="AD1070" s="14">
        <f t="shared" si="139"/>
        <v>0.58404985406641952</v>
      </c>
      <c r="AE1070" s="14">
        <f t="shared" si="140"/>
        <v>0.57832512315270934</v>
      </c>
      <c r="AI1070" s="14">
        <f t="shared" si="141"/>
        <v>1.162374977219129</v>
      </c>
      <c r="AQ1070">
        <f>(225+300)/2</f>
        <v>262.5</v>
      </c>
      <c r="AR1070" t="s">
        <v>14</v>
      </c>
      <c r="AT1070" s="10" t="s">
        <v>3</v>
      </c>
      <c r="AU1070" s="10" t="s">
        <v>2</v>
      </c>
      <c r="AV1070" s="10" t="s">
        <v>3</v>
      </c>
      <c r="AW1070" s="4" t="s">
        <v>2071</v>
      </c>
    </row>
    <row r="1071" spans="1:50" x14ac:dyDescent="0.3">
      <c r="A1071" s="23" t="s">
        <v>2058</v>
      </c>
      <c r="B1071" s="10" t="s">
        <v>81</v>
      </c>
      <c r="C1071" s="10" t="s">
        <v>2061</v>
      </c>
      <c r="D1071" s="10" t="s">
        <v>2068</v>
      </c>
      <c r="E1071" s="10">
        <v>2009</v>
      </c>
      <c r="F1071" t="s">
        <v>2661</v>
      </c>
      <c r="G1071" s="10" t="s">
        <v>34</v>
      </c>
      <c r="H1071" s="10" t="s">
        <v>217</v>
      </c>
      <c r="J1071" s="10" t="s">
        <v>2069</v>
      </c>
      <c r="K1071" s="26">
        <v>3</v>
      </c>
      <c r="L1071" s="26">
        <v>3</v>
      </c>
      <c r="N1071" s="10">
        <v>12.677</v>
      </c>
      <c r="P1071" s="10">
        <v>2.9020000000000001</v>
      </c>
      <c r="W1071" s="10">
        <v>8.4480000000000004</v>
      </c>
      <c r="Y1071" s="10">
        <v>1.677</v>
      </c>
      <c r="AD1071" s="14">
        <f t="shared" si="139"/>
        <v>0.66640372327837827</v>
      </c>
      <c r="AE1071" s="14">
        <f t="shared" si="140"/>
        <v>0.5778773259820813</v>
      </c>
      <c r="AI1071" s="14">
        <f t="shared" si="141"/>
        <v>1.2442810492604597</v>
      </c>
      <c r="AQ1071">
        <f>(185+225)/2</f>
        <v>205</v>
      </c>
      <c r="AR1071" t="s">
        <v>14</v>
      </c>
      <c r="AT1071" s="10" t="s">
        <v>3</v>
      </c>
      <c r="AU1071" s="10" t="s">
        <v>2</v>
      </c>
      <c r="AV1071" s="10" t="s">
        <v>3</v>
      </c>
      <c r="AW1071" s="4" t="s">
        <v>2072</v>
      </c>
    </row>
    <row r="1072" spans="1:50" x14ac:dyDescent="0.3">
      <c r="A1072" s="23" t="s">
        <v>2058</v>
      </c>
      <c r="B1072" s="10" t="s">
        <v>81</v>
      </c>
      <c r="C1072" s="10" t="s">
        <v>2061</v>
      </c>
      <c r="D1072" s="10" t="s">
        <v>2068</v>
      </c>
      <c r="E1072" s="10">
        <v>2010</v>
      </c>
      <c r="F1072" t="s">
        <v>2661</v>
      </c>
      <c r="G1072" s="10" t="s">
        <v>34</v>
      </c>
      <c r="H1072" s="10" t="s">
        <v>217</v>
      </c>
      <c r="J1072" s="10" t="s">
        <v>2070</v>
      </c>
      <c r="K1072" s="26">
        <v>3</v>
      </c>
      <c r="L1072" s="26">
        <v>3</v>
      </c>
      <c r="N1072" s="10">
        <v>11.853999999999999</v>
      </c>
      <c r="P1072" s="10">
        <v>6.5510000000000002</v>
      </c>
      <c r="W1072" s="10">
        <v>7.399</v>
      </c>
      <c r="Y1072" s="10">
        <v>3.9319999999999999</v>
      </c>
      <c r="AD1072" s="14">
        <f t="shared" si="139"/>
        <v>0.6241774928294247</v>
      </c>
      <c r="AE1072" s="14">
        <f t="shared" si="140"/>
        <v>0.60021370783086547</v>
      </c>
      <c r="AI1072" s="14">
        <f t="shared" si="141"/>
        <v>1.2243912006602902</v>
      </c>
      <c r="AQ1072">
        <f>(225+300)/2</f>
        <v>262.5</v>
      </c>
      <c r="AR1072" t="s">
        <v>14</v>
      </c>
      <c r="AT1072" s="10" t="s">
        <v>3</v>
      </c>
      <c r="AU1072" s="10" t="s">
        <v>2</v>
      </c>
      <c r="AV1072" s="10" t="s">
        <v>3</v>
      </c>
      <c r="AW1072" s="4" t="s">
        <v>2073</v>
      </c>
    </row>
    <row r="1073" spans="1:49" x14ac:dyDescent="0.3">
      <c r="A1073" s="23" t="s">
        <v>2058</v>
      </c>
      <c r="B1073" s="10" t="s">
        <v>81</v>
      </c>
      <c r="C1073" s="10" t="s">
        <v>2061</v>
      </c>
      <c r="D1073" s="10" t="s">
        <v>2068</v>
      </c>
      <c r="E1073" s="10">
        <v>2010</v>
      </c>
      <c r="F1073" t="s">
        <v>2661</v>
      </c>
      <c r="G1073" s="10" t="s">
        <v>34</v>
      </c>
      <c r="H1073" s="10" t="s">
        <v>217</v>
      </c>
      <c r="J1073" s="10" t="s">
        <v>2069</v>
      </c>
      <c r="K1073" s="26">
        <v>3</v>
      </c>
      <c r="L1073" s="26">
        <v>3</v>
      </c>
      <c r="N1073" s="10">
        <v>11.853999999999999</v>
      </c>
      <c r="P1073" s="10">
        <v>2.85</v>
      </c>
      <c r="W1073" s="10">
        <v>8.6530000000000005</v>
      </c>
      <c r="Y1073" s="10">
        <v>1.615</v>
      </c>
      <c r="AD1073" s="14">
        <f t="shared" si="139"/>
        <v>0.72996456892188299</v>
      </c>
      <c r="AE1073" s="14">
        <f t="shared" si="140"/>
        <v>0.56666666666666665</v>
      </c>
      <c r="AI1073" s="14">
        <f t="shared" si="141"/>
        <v>1.2966312355885496</v>
      </c>
      <c r="AQ1073">
        <f>(185+225)/2</f>
        <v>205</v>
      </c>
      <c r="AR1073" t="s">
        <v>14</v>
      </c>
      <c r="AT1073" s="10" t="s">
        <v>3</v>
      </c>
      <c r="AU1073" s="10" t="s">
        <v>2</v>
      </c>
      <c r="AV1073" s="10" t="s">
        <v>3</v>
      </c>
      <c r="AW1073" s="4" t="s">
        <v>2074</v>
      </c>
    </row>
    <row r="1074" spans="1:49" x14ac:dyDescent="0.3">
      <c r="A1074" s="23" t="s">
        <v>2058</v>
      </c>
      <c r="B1074" s="10" t="s">
        <v>81</v>
      </c>
      <c r="C1074" s="10" t="s">
        <v>2061</v>
      </c>
      <c r="D1074" s="10" t="s">
        <v>2068</v>
      </c>
      <c r="E1074" s="10">
        <v>2011</v>
      </c>
      <c r="F1074" t="s">
        <v>2661</v>
      </c>
      <c r="G1074" s="10" t="s">
        <v>34</v>
      </c>
      <c r="H1074" s="10" t="s">
        <v>217</v>
      </c>
      <c r="J1074" s="10" t="s">
        <v>2070</v>
      </c>
      <c r="K1074" s="26">
        <v>3</v>
      </c>
      <c r="L1074" s="26">
        <v>3</v>
      </c>
      <c r="N1074" s="10">
        <v>10.641999999999999</v>
      </c>
      <c r="P1074" s="10">
        <v>6.7610000000000001</v>
      </c>
      <c r="W1074" s="10">
        <v>8.1229999999999993</v>
      </c>
      <c r="Y1074" s="10">
        <v>4.2830000000000004</v>
      </c>
      <c r="AD1074" s="14">
        <f t="shared" si="139"/>
        <v>0.76329637286224394</v>
      </c>
      <c r="AE1074" s="14">
        <f t="shared" si="140"/>
        <v>0.63348617068480995</v>
      </c>
      <c r="AI1074" s="14">
        <f t="shared" si="141"/>
        <v>1.396782543547054</v>
      </c>
      <c r="AQ1074">
        <f>(225+300)/2</f>
        <v>262.5</v>
      </c>
      <c r="AR1074" t="s">
        <v>14</v>
      </c>
      <c r="AT1074" s="10" t="s">
        <v>3</v>
      </c>
      <c r="AU1074" s="10" t="s">
        <v>2</v>
      </c>
      <c r="AV1074" s="10" t="s">
        <v>3</v>
      </c>
      <c r="AW1074" s="4" t="s">
        <v>2075</v>
      </c>
    </row>
    <row r="1075" spans="1:49" x14ac:dyDescent="0.3">
      <c r="A1075" s="23" t="s">
        <v>2058</v>
      </c>
      <c r="B1075" s="10" t="s">
        <v>81</v>
      </c>
      <c r="C1075" s="10" t="s">
        <v>2061</v>
      </c>
      <c r="D1075" s="10" t="s">
        <v>2068</v>
      </c>
      <c r="E1075" s="10">
        <v>2011</v>
      </c>
      <c r="F1075" t="s">
        <v>2661</v>
      </c>
      <c r="G1075" s="10" t="s">
        <v>34</v>
      </c>
      <c r="H1075" s="10" t="s">
        <v>217</v>
      </c>
      <c r="J1075" s="10" t="s">
        <v>2069</v>
      </c>
      <c r="K1075" s="26">
        <v>3</v>
      </c>
      <c r="L1075" s="26">
        <v>3</v>
      </c>
      <c r="N1075" s="10">
        <v>10.641999999999999</v>
      </c>
      <c r="P1075" s="10">
        <v>2.7320000000000002</v>
      </c>
      <c r="W1075" s="10">
        <v>8.8079999999999998</v>
      </c>
      <c r="Y1075" s="10">
        <v>1.794</v>
      </c>
      <c r="AD1075" s="14">
        <f t="shared" si="139"/>
        <v>0.82766397293741778</v>
      </c>
      <c r="AE1075" s="14">
        <f t="shared" si="140"/>
        <v>0.65666178623718885</v>
      </c>
      <c r="AI1075" s="14">
        <f t="shared" si="141"/>
        <v>1.4843257591746066</v>
      </c>
      <c r="AQ1075">
        <f>(185+225)/2</f>
        <v>205</v>
      </c>
      <c r="AR1075" t="s">
        <v>14</v>
      </c>
      <c r="AT1075" s="10" t="s">
        <v>3</v>
      </c>
      <c r="AU1075" s="10" t="s">
        <v>2</v>
      </c>
      <c r="AV1075" s="10" t="s">
        <v>3</v>
      </c>
      <c r="AW1075" s="4" t="s">
        <v>2076</v>
      </c>
    </row>
    <row r="1076" spans="1:49" x14ac:dyDescent="0.3">
      <c r="A1076" s="23" t="s">
        <v>2059</v>
      </c>
      <c r="B1076" s="10" t="s">
        <v>81</v>
      </c>
      <c r="C1076" s="10" t="s">
        <v>2078</v>
      </c>
      <c r="D1076" s="10" t="s">
        <v>2077</v>
      </c>
      <c r="E1076" s="10">
        <v>2012</v>
      </c>
      <c r="F1076" t="s">
        <v>2661</v>
      </c>
      <c r="G1076" s="10" t="s">
        <v>34</v>
      </c>
      <c r="H1076" s="10" t="s">
        <v>217</v>
      </c>
      <c r="I1076" s="10" t="s">
        <v>1788</v>
      </c>
      <c r="J1076" s="10" t="s">
        <v>736</v>
      </c>
      <c r="K1076" s="26">
        <v>4</v>
      </c>
      <c r="L1076" s="26">
        <v>4</v>
      </c>
      <c r="N1076" s="10">
        <v>6.45</v>
      </c>
      <c r="P1076" s="10">
        <v>16.11</v>
      </c>
      <c r="W1076" s="10">
        <f>8.24*0.53</f>
        <v>4.3672000000000004</v>
      </c>
      <c r="Y1076" s="10">
        <f>19.08*0.47</f>
        <v>8.9675999999999991</v>
      </c>
      <c r="AD1076" s="14">
        <f t="shared" si="139"/>
        <v>0.67708527131782947</v>
      </c>
      <c r="AE1076" s="14">
        <f t="shared" si="140"/>
        <v>0.55664804469273743</v>
      </c>
      <c r="AI1076" s="14">
        <f t="shared" si="141"/>
        <v>1.233733316010567</v>
      </c>
      <c r="AQ1076">
        <f>(240+360)/2</f>
        <v>300</v>
      </c>
      <c r="AR1076" t="s">
        <v>14</v>
      </c>
      <c r="AT1076" s="10" t="s">
        <v>3</v>
      </c>
      <c r="AU1076" s="10" t="s">
        <v>2</v>
      </c>
      <c r="AV1076" s="10" t="s">
        <v>3</v>
      </c>
    </row>
    <row r="1077" spans="1:49" x14ac:dyDescent="0.3">
      <c r="A1077" s="23" t="s">
        <v>2059</v>
      </c>
      <c r="B1077" s="10" t="s">
        <v>81</v>
      </c>
      <c r="C1077" s="10" t="s">
        <v>2078</v>
      </c>
      <c r="D1077" s="10" t="s">
        <v>2077</v>
      </c>
      <c r="E1077" s="10">
        <v>2012</v>
      </c>
      <c r="F1077" t="s">
        <v>2661</v>
      </c>
      <c r="G1077" s="10" t="s">
        <v>34</v>
      </c>
      <c r="H1077" s="10" t="s">
        <v>217</v>
      </c>
      <c r="I1077" t="s">
        <v>2079</v>
      </c>
      <c r="J1077" s="10" t="s">
        <v>736</v>
      </c>
      <c r="K1077" s="26">
        <v>4</v>
      </c>
      <c r="L1077" s="26">
        <v>4</v>
      </c>
      <c r="N1077" s="10">
        <v>6.45</v>
      </c>
      <c r="P1077" s="10">
        <v>16.11</v>
      </c>
      <c r="W1077" s="10">
        <f>7.03*0.53</f>
        <v>3.7259000000000002</v>
      </c>
      <c r="Y1077" s="10">
        <f>18.72*0.47</f>
        <v>8.7983999999999991</v>
      </c>
      <c r="AD1077" s="14">
        <f t="shared" si="139"/>
        <v>0.57765891472868214</v>
      </c>
      <c r="AE1077" s="14">
        <f t="shared" si="140"/>
        <v>0.54614525139664805</v>
      </c>
      <c r="AI1077" s="14">
        <f t="shared" si="141"/>
        <v>1.1238041661253302</v>
      </c>
      <c r="AQ1077">
        <f t="shared" ref="AQ1077:AQ1079" si="143">(240+360)/2</f>
        <v>300</v>
      </c>
      <c r="AR1077" t="s">
        <v>14</v>
      </c>
      <c r="AT1077" s="10" t="s">
        <v>3</v>
      </c>
      <c r="AU1077" s="10" t="s">
        <v>2</v>
      </c>
      <c r="AV1077" s="10" t="s">
        <v>3</v>
      </c>
    </row>
    <row r="1078" spans="1:49" x14ac:dyDescent="0.3">
      <c r="A1078" s="23" t="s">
        <v>2059</v>
      </c>
      <c r="B1078" s="10" t="s">
        <v>81</v>
      </c>
      <c r="C1078" s="10" t="s">
        <v>2078</v>
      </c>
      <c r="D1078" s="10" t="s">
        <v>2077</v>
      </c>
      <c r="E1078" s="10">
        <v>2013</v>
      </c>
      <c r="F1078" t="s">
        <v>2661</v>
      </c>
      <c r="G1078" s="10" t="s">
        <v>34</v>
      </c>
      <c r="H1078" s="10" t="s">
        <v>217</v>
      </c>
      <c r="I1078" s="10" t="s">
        <v>1788</v>
      </c>
      <c r="J1078" s="10" t="s">
        <v>736</v>
      </c>
      <c r="K1078" s="26">
        <v>4</v>
      </c>
      <c r="L1078" s="26">
        <v>4</v>
      </c>
      <c r="N1078" s="10">
        <v>6.15</v>
      </c>
      <c r="P1078" s="10">
        <v>13.17</v>
      </c>
      <c r="W1078" s="10">
        <f>8.03*0.53</f>
        <v>4.2558999999999996</v>
      </c>
      <c r="Y1078" s="10">
        <f>15.17*0.47</f>
        <v>7.1298999999999992</v>
      </c>
      <c r="AD1078" s="14">
        <f t="shared" si="139"/>
        <v>0.69201626016260154</v>
      </c>
      <c r="AE1078" s="14">
        <f t="shared" si="140"/>
        <v>0.5413743356112376</v>
      </c>
      <c r="AI1078" s="14">
        <f t="shared" si="141"/>
        <v>1.2333905957738391</v>
      </c>
      <c r="AQ1078">
        <f t="shared" si="143"/>
        <v>300</v>
      </c>
      <c r="AR1078" t="s">
        <v>14</v>
      </c>
      <c r="AT1078" s="10" t="s">
        <v>3</v>
      </c>
      <c r="AU1078" s="10" t="s">
        <v>2</v>
      </c>
      <c r="AV1078" s="10" t="s">
        <v>3</v>
      </c>
    </row>
    <row r="1079" spans="1:49" x14ac:dyDescent="0.3">
      <c r="A1079" s="23" t="s">
        <v>2059</v>
      </c>
      <c r="B1079" s="10" t="s">
        <v>81</v>
      </c>
      <c r="C1079" s="10" t="s">
        <v>2078</v>
      </c>
      <c r="D1079" s="10" t="s">
        <v>2077</v>
      </c>
      <c r="E1079" s="10">
        <v>2013</v>
      </c>
      <c r="F1079" t="s">
        <v>2661</v>
      </c>
      <c r="G1079" s="10" t="s">
        <v>34</v>
      </c>
      <c r="H1079" s="10" t="s">
        <v>217</v>
      </c>
      <c r="I1079" t="s">
        <v>2079</v>
      </c>
      <c r="J1079" s="10" t="s">
        <v>736</v>
      </c>
      <c r="K1079" s="26">
        <v>4</v>
      </c>
      <c r="L1079" s="26">
        <v>4</v>
      </c>
      <c r="N1079" s="10">
        <v>6.15</v>
      </c>
      <c r="P1079" s="10">
        <v>13.17</v>
      </c>
      <c r="W1079" s="10">
        <f>6.92*0.53</f>
        <v>3.6676000000000002</v>
      </c>
      <c r="Y1079" s="10">
        <f>14.98*0.47</f>
        <v>7.0405999999999995</v>
      </c>
      <c r="AD1079" s="14">
        <f t="shared" si="139"/>
        <v>0.59635772357723582</v>
      </c>
      <c r="AE1079" s="14">
        <f t="shared" si="140"/>
        <v>0.53459377372817007</v>
      </c>
      <c r="AI1079" s="14">
        <f t="shared" si="141"/>
        <v>1.1309514973054058</v>
      </c>
      <c r="AQ1079">
        <f t="shared" si="143"/>
        <v>300</v>
      </c>
      <c r="AR1079" t="s">
        <v>14</v>
      </c>
      <c r="AT1079" s="10" t="s">
        <v>3</v>
      </c>
      <c r="AU1079" s="10" t="s">
        <v>2</v>
      </c>
      <c r="AV1079" s="10" t="s">
        <v>3</v>
      </c>
    </row>
    <row r="1080" spans="1:49" x14ac:dyDescent="0.3">
      <c r="A1080" s="23" t="s">
        <v>2060</v>
      </c>
      <c r="B1080" s="10" t="s">
        <v>81</v>
      </c>
      <c r="C1080" s="10" t="s">
        <v>1855</v>
      </c>
      <c r="D1080" s="10" t="s">
        <v>2080</v>
      </c>
      <c r="E1080" s="10">
        <v>2006</v>
      </c>
      <c r="F1080" t="s">
        <v>2661</v>
      </c>
      <c r="G1080" s="10" t="s">
        <v>34</v>
      </c>
      <c r="H1080" s="10" t="s">
        <v>217</v>
      </c>
      <c r="I1080" s="10" t="s">
        <v>2082</v>
      </c>
      <c r="J1080" s="10" t="s">
        <v>736</v>
      </c>
      <c r="K1080" s="26">
        <v>3</v>
      </c>
      <c r="L1080" s="26">
        <v>3</v>
      </c>
      <c r="N1080" s="10">
        <v>5.5990000000000002</v>
      </c>
      <c r="P1080" s="10">
        <v>7.8573000000000004</v>
      </c>
      <c r="W1080">
        <v>4.1927000000000003</v>
      </c>
      <c r="Y1080">
        <v>5.4432</v>
      </c>
      <c r="AD1080" s="14">
        <f t="shared" si="139"/>
        <v>0.74883014824075733</v>
      </c>
      <c r="AE1080" s="14">
        <f t="shared" si="140"/>
        <v>0.69275705394983011</v>
      </c>
      <c r="AI1080" s="14">
        <f t="shared" si="141"/>
        <v>1.4415872021905876</v>
      </c>
      <c r="AQ1080">
        <v>300</v>
      </c>
      <c r="AR1080" t="s">
        <v>14</v>
      </c>
      <c r="AT1080" s="10" t="s">
        <v>3</v>
      </c>
      <c r="AU1080" s="10" t="s">
        <v>2</v>
      </c>
      <c r="AV1080" s="10" t="s">
        <v>3</v>
      </c>
      <c r="AW1080" t="s">
        <v>2081</v>
      </c>
    </row>
    <row r="1081" spans="1:49" x14ac:dyDescent="0.3">
      <c r="A1081" s="23" t="s">
        <v>2060</v>
      </c>
      <c r="B1081" s="10" t="s">
        <v>81</v>
      </c>
      <c r="C1081" s="10" t="s">
        <v>1855</v>
      </c>
      <c r="D1081" s="10" t="s">
        <v>2080</v>
      </c>
      <c r="E1081" s="10">
        <v>2006</v>
      </c>
      <c r="F1081" t="s">
        <v>2661</v>
      </c>
      <c r="G1081" s="10" t="s">
        <v>34</v>
      </c>
      <c r="H1081" s="10" t="s">
        <v>217</v>
      </c>
      <c r="I1081" s="10" t="s">
        <v>2083</v>
      </c>
      <c r="J1081" s="10" t="s">
        <v>736</v>
      </c>
      <c r="K1081" s="26">
        <v>3</v>
      </c>
      <c r="L1081" s="26">
        <v>3</v>
      </c>
      <c r="N1081" s="10">
        <v>6.0677000000000003</v>
      </c>
      <c r="P1081" s="10">
        <v>8.3003</v>
      </c>
      <c r="W1081">
        <v>4.3879999999999999</v>
      </c>
      <c r="Y1081">
        <v>6.5467000000000004</v>
      </c>
      <c r="AD1081" s="14">
        <f t="shared" si="139"/>
        <v>0.72317352538853263</v>
      </c>
      <c r="AE1081" s="14">
        <f t="shared" si="140"/>
        <v>0.78873052781224784</v>
      </c>
      <c r="AI1081" s="14">
        <f t="shared" si="141"/>
        <v>1.5119040532007806</v>
      </c>
      <c r="AQ1081">
        <v>300</v>
      </c>
      <c r="AR1081" t="s">
        <v>14</v>
      </c>
      <c r="AT1081" s="10" t="s">
        <v>3</v>
      </c>
      <c r="AU1081" s="10" t="s">
        <v>2</v>
      </c>
      <c r="AV1081" s="10" t="s">
        <v>3</v>
      </c>
      <c r="AW1081" t="s">
        <v>2081</v>
      </c>
    </row>
    <row r="1082" spans="1:49" x14ac:dyDescent="0.3">
      <c r="A1082" s="23" t="s">
        <v>2060</v>
      </c>
      <c r="B1082" s="10" t="s">
        <v>81</v>
      </c>
      <c r="C1082" s="10" t="s">
        <v>1855</v>
      </c>
      <c r="D1082" s="10" t="s">
        <v>2080</v>
      </c>
      <c r="E1082" s="10">
        <v>2006</v>
      </c>
      <c r="F1082" t="s">
        <v>2661</v>
      </c>
      <c r="G1082" s="10" t="s">
        <v>34</v>
      </c>
      <c r="H1082" s="10" t="s">
        <v>217</v>
      </c>
      <c r="I1082" s="10" t="s">
        <v>2084</v>
      </c>
      <c r="J1082" s="10" t="s">
        <v>736</v>
      </c>
      <c r="K1082" s="26">
        <v>3</v>
      </c>
      <c r="L1082" s="26">
        <v>3</v>
      </c>
      <c r="N1082" s="10">
        <v>7.1745000000000001</v>
      </c>
      <c r="P1082" s="10">
        <v>8.6069999999999993</v>
      </c>
      <c r="W1082">
        <v>4.2187999999999999</v>
      </c>
      <c r="Y1082">
        <v>6.6234000000000002</v>
      </c>
      <c r="AD1082" s="14">
        <f t="shared" si="139"/>
        <v>0.58802704021186147</v>
      </c>
      <c r="AE1082" s="14">
        <f t="shared" si="140"/>
        <v>0.76953642384105969</v>
      </c>
      <c r="AI1082" s="14">
        <f t="shared" si="141"/>
        <v>1.3575634640529213</v>
      </c>
      <c r="AQ1082">
        <v>300</v>
      </c>
      <c r="AR1082" t="s">
        <v>14</v>
      </c>
      <c r="AT1082" s="10" t="s">
        <v>3</v>
      </c>
      <c r="AU1082" s="10" t="s">
        <v>2</v>
      </c>
      <c r="AV1082" s="10" t="s">
        <v>3</v>
      </c>
      <c r="AW1082" t="s">
        <v>2081</v>
      </c>
    </row>
    <row r="1083" spans="1:49" x14ac:dyDescent="0.3">
      <c r="A1083" s="23" t="s">
        <v>2060</v>
      </c>
      <c r="B1083" s="10" t="s">
        <v>81</v>
      </c>
      <c r="C1083" s="10" t="s">
        <v>1855</v>
      </c>
      <c r="D1083" s="10" t="s">
        <v>2080</v>
      </c>
      <c r="E1083" s="10">
        <v>2007</v>
      </c>
      <c r="F1083" t="s">
        <v>2661</v>
      </c>
      <c r="G1083" s="10" t="s">
        <v>34</v>
      </c>
      <c r="H1083" s="10" t="s">
        <v>217</v>
      </c>
      <c r="I1083" s="10" t="s">
        <v>2082</v>
      </c>
      <c r="J1083" s="10" t="s">
        <v>736</v>
      </c>
      <c r="K1083" s="26">
        <v>3</v>
      </c>
      <c r="L1083" s="26">
        <v>3</v>
      </c>
      <c r="N1083" s="10">
        <v>5.6154999999999999</v>
      </c>
      <c r="P1083" s="10">
        <v>10.2531</v>
      </c>
      <c r="W1083">
        <v>3.3963000000000001</v>
      </c>
      <c r="Y1083">
        <v>7.0899000000000001</v>
      </c>
      <c r="AD1083" s="14">
        <f t="shared" si="139"/>
        <v>0.60480812038108811</v>
      </c>
      <c r="AE1083" s="14">
        <f t="shared" si="140"/>
        <v>0.69148842789010156</v>
      </c>
      <c r="AI1083" s="14">
        <f t="shared" si="141"/>
        <v>1.2962965482711897</v>
      </c>
      <c r="AQ1083">
        <v>300</v>
      </c>
      <c r="AR1083" t="s">
        <v>14</v>
      </c>
      <c r="AT1083" s="10" t="s">
        <v>3</v>
      </c>
      <c r="AU1083" s="10" t="s">
        <v>2</v>
      </c>
      <c r="AV1083" s="10" t="s">
        <v>3</v>
      </c>
      <c r="AW1083" t="s">
        <v>2081</v>
      </c>
    </row>
    <row r="1084" spans="1:49" x14ac:dyDescent="0.3">
      <c r="A1084" s="23" t="s">
        <v>2060</v>
      </c>
      <c r="B1084" s="10" t="s">
        <v>81</v>
      </c>
      <c r="C1084" s="10" t="s">
        <v>1855</v>
      </c>
      <c r="D1084" s="10" t="s">
        <v>2080</v>
      </c>
      <c r="E1084" s="10">
        <v>2007</v>
      </c>
      <c r="F1084" t="s">
        <v>2661</v>
      </c>
      <c r="G1084" s="10" t="s">
        <v>34</v>
      </c>
      <c r="H1084" s="10" t="s">
        <v>217</v>
      </c>
      <c r="I1084" s="10" t="s">
        <v>2083</v>
      </c>
      <c r="J1084" s="10" t="s">
        <v>736</v>
      </c>
      <c r="K1084" s="26">
        <v>3</v>
      </c>
      <c r="L1084" s="26">
        <v>3</v>
      </c>
      <c r="N1084" s="10">
        <v>5.7145999999999999</v>
      </c>
      <c r="P1084" s="10">
        <v>10.4819</v>
      </c>
      <c r="W1084">
        <v>3.6671</v>
      </c>
      <c r="Y1084">
        <v>7.4237000000000002</v>
      </c>
      <c r="AD1084" s="14">
        <f t="shared" si="139"/>
        <v>0.64170720610366427</v>
      </c>
      <c r="AE1084" s="14">
        <f t="shared" si="140"/>
        <v>0.70823991833541633</v>
      </c>
      <c r="AI1084" s="14">
        <f t="shared" si="141"/>
        <v>1.3499471244390806</v>
      </c>
      <c r="AQ1084">
        <v>300</v>
      </c>
      <c r="AR1084" t="s">
        <v>14</v>
      </c>
      <c r="AT1084" s="10" t="s">
        <v>3</v>
      </c>
      <c r="AU1084" s="10" t="s">
        <v>2</v>
      </c>
      <c r="AV1084" s="10" t="s">
        <v>3</v>
      </c>
      <c r="AW1084" t="s">
        <v>2081</v>
      </c>
    </row>
    <row r="1085" spans="1:49" x14ac:dyDescent="0.3">
      <c r="A1085" s="23" t="s">
        <v>2060</v>
      </c>
      <c r="B1085" s="10" t="s">
        <v>81</v>
      </c>
      <c r="C1085" s="10" t="s">
        <v>1855</v>
      </c>
      <c r="D1085" s="10" t="s">
        <v>2080</v>
      </c>
      <c r="E1085" s="10">
        <v>2007</v>
      </c>
      <c r="F1085" t="s">
        <v>2661</v>
      </c>
      <c r="G1085" s="10" t="s">
        <v>34</v>
      </c>
      <c r="H1085" s="10" t="s">
        <v>217</v>
      </c>
      <c r="I1085" s="10" t="s">
        <v>2084</v>
      </c>
      <c r="J1085" s="10" t="s">
        <v>736</v>
      </c>
      <c r="K1085" s="26">
        <v>3</v>
      </c>
      <c r="L1085" s="26">
        <v>3</v>
      </c>
      <c r="N1085" s="10">
        <v>5.9774000000000003</v>
      </c>
      <c r="P1085" s="10">
        <v>11.1884</v>
      </c>
      <c r="W1085">
        <v>3.9781</v>
      </c>
      <c r="Y1085">
        <v>7.9428999999999998</v>
      </c>
      <c r="AD1085" s="14">
        <f t="shared" si="139"/>
        <v>0.66552347174356741</v>
      </c>
      <c r="AE1085" s="14">
        <f t="shared" si="140"/>
        <v>0.70992277716206076</v>
      </c>
      <c r="AI1085" s="14">
        <f t="shared" si="141"/>
        <v>1.3754462489056283</v>
      </c>
      <c r="AQ1085">
        <v>300</v>
      </c>
      <c r="AR1085" t="s">
        <v>14</v>
      </c>
      <c r="AT1085" s="10" t="s">
        <v>3</v>
      </c>
      <c r="AU1085" s="10" t="s">
        <v>2</v>
      </c>
      <c r="AV1085" s="10" t="s">
        <v>3</v>
      </c>
      <c r="AW1085" t="s">
        <v>2081</v>
      </c>
    </row>
    <row r="1086" spans="1:49" x14ac:dyDescent="0.3">
      <c r="A1086" s="23" t="s">
        <v>2060</v>
      </c>
      <c r="B1086" s="10" t="s">
        <v>81</v>
      </c>
      <c r="C1086" s="10" t="s">
        <v>1855</v>
      </c>
      <c r="D1086" s="10" t="s">
        <v>2080</v>
      </c>
      <c r="E1086" s="10">
        <v>2008</v>
      </c>
      <c r="F1086" t="s">
        <v>2661</v>
      </c>
      <c r="G1086" s="10" t="s">
        <v>34</v>
      </c>
      <c r="H1086" s="10" t="s">
        <v>217</v>
      </c>
      <c r="I1086" s="10" t="s">
        <v>2082</v>
      </c>
      <c r="J1086" s="10" t="s">
        <v>736</v>
      </c>
      <c r="K1086" s="26">
        <v>3</v>
      </c>
      <c r="L1086" s="26">
        <v>3</v>
      </c>
      <c r="N1086" s="10">
        <v>6.5491000000000001</v>
      </c>
      <c r="P1086" s="10">
        <v>10.2851</v>
      </c>
      <c r="W1086">
        <v>3.6637</v>
      </c>
      <c r="Y1086">
        <v>7.1028000000000002</v>
      </c>
      <c r="AD1086" s="14">
        <f t="shared" si="139"/>
        <v>0.55942037837260083</v>
      </c>
      <c r="AE1086" s="14">
        <f t="shared" si="140"/>
        <v>0.6905912436437176</v>
      </c>
      <c r="AI1086" s="14">
        <f t="shared" si="141"/>
        <v>1.2500116220163184</v>
      </c>
      <c r="AQ1086">
        <v>300</v>
      </c>
      <c r="AR1086" t="s">
        <v>14</v>
      </c>
      <c r="AT1086" s="10" t="s">
        <v>3</v>
      </c>
      <c r="AU1086" s="10" t="s">
        <v>2</v>
      </c>
      <c r="AV1086" s="10" t="s">
        <v>3</v>
      </c>
      <c r="AW1086" t="s">
        <v>2081</v>
      </c>
    </row>
    <row r="1087" spans="1:49" x14ac:dyDescent="0.3">
      <c r="A1087" s="23" t="s">
        <v>2060</v>
      </c>
      <c r="B1087" s="10" t="s">
        <v>81</v>
      </c>
      <c r="C1087" s="10" t="s">
        <v>1855</v>
      </c>
      <c r="D1087" s="10" t="s">
        <v>2080</v>
      </c>
      <c r="E1087" s="10">
        <v>2008</v>
      </c>
      <c r="F1087" t="s">
        <v>2661</v>
      </c>
      <c r="G1087" s="10" t="s">
        <v>34</v>
      </c>
      <c r="H1087" s="10" t="s">
        <v>217</v>
      </c>
      <c r="I1087" s="10" t="s">
        <v>2083</v>
      </c>
      <c r="J1087" s="10" t="s">
        <v>736</v>
      </c>
      <c r="K1087" s="26">
        <v>3</v>
      </c>
      <c r="L1087" s="26">
        <v>3</v>
      </c>
      <c r="N1087" s="10">
        <v>6.9725999999999999</v>
      </c>
      <c r="P1087" s="10">
        <v>10.9549</v>
      </c>
      <c r="W1087">
        <v>3.8765000000000001</v>
      </c>
      <c r="Y1087">
        <v>7.2987000000000002</v>
      </c>
      <c r="AD1087" s="14">
        <f t="shared" si="139"/>
        <v>0.55596190804004242</v>
      </c>
      <c r="AE1087" s="14">
        <f t="shared" si="140"/>
        <v>0.66624980602287565</v>
      </c>
      <c r="AI1087" s="14">
        <f t="shared" si="141"/>
        <v>1.2222117140629181</v>
      </c>
      <c r="AQ1087">
        <v>300</v>
      </c>
      <c r="AR1087" t="s">
        <v>14</v>
      </c>
      <c r="AT1087" s="10" t="s">
        <v>3</v>
      </c>
      <c r="AU1087" s="10" t="s">
        <v>2</v>
      </c>
      <c r="AV1087" s="10" t="s">
        <v>3</v>
      </c>
      <c r="AW1087" t="s">
        <v>2081</v>
      </c>
    </row>
    <row r="1088" spans="1:49" x14ac:dyDescent="0.3">
      <c r="A1088" s="23" t="s">
        <v>2060</v>
      </c>
      <c r="B1088" s="10" t="s">
        <v>81</v>
      </c>
      <c r="C1088" s="10" t="s">
        <v>1855</v>
      </c>
      <c r="D1088" s="10" t="s">
        <v>2080</v>
      </c>
      <c r="E1088" s="10">
        <v>2008</v>
      </c>
      <c r="F1088" t="s">
        <v>2661</v>
      </c>
      <c r="G1088" s="10" t="s">
        <v>34</v>
      </c>
      <c r="H1088" s="10" t="s">
        <v>217</v>
      </c>
      <c r="I1088" s="10" t="s">
        <v>2084</v>
      </c>
      <c r="J1088" s="10" t="s">
        <v>736</v>
      </c>
      <c r="K1088" s="26">
        <v>3</v>
      </c>
      <c r="L1088" s="26">
        <v>3</v>
      </c>
      <c r="N1088" s="10">
        <v>6.8282999999999996</v>
      </c>
      <c r="P1088" s="10">
        <v>11.0244</v>
      </c>
      <c r="W1088">
        <v>3.7805</v>
      </c>
      <c r="Y1088">
        <v>7.9626000000000001</v>
      </c>
      <c r="AD1088" s="14">
        <f t="shared" si="139"/>
        <v>0.55365171418947623</v>
      </c>
      <c r="AE1088" s="14">
        <f t="shared" si="140"/>
        <v>0.72227059976053121</v>
      </c>
      <c r="AI1088" s="14">
        <f t="shared" si="141"/>
        <v>1.2759223139500073</v>
      </c>
      <c r="AQ1088">
        <v>300</v>
      </c>
      <c r="AR1088" t="s">
        <v>14</v>
      </c>
      <c r="AT1088" s="10" t="s">
        <v>3</v>
      </c>
      <c r="AU1088" s="10" t="s">
        <v>2</v>
      </c>
      <c r="AV1088" s="10" t="s">
        <v>3</v>
      </c>
      <c r="AW1088" t="s">
        <v>2081</v>
      </c>
    </row>
    <row r="1089" spans="1:49" x14ac:dyDescent="0.3">
      <c r="A1089" s="23" t="s">
        <v>1247</v>
      </c>
      <c r="B1089" s="10" t="s">
        <v>81</v>
      </c>
      <c r="C1089" s="10" t="s">
        <v>1248</v>
      </c>
      <c r="D1089" s="10" t="s">
        <v>2085</v>
      </c>
      <c r="E1089" s="10">
        <v>2008</v>
      </c>
      <c r="F1089" t="s">
        <v>2661</v>
      </c>
      <c r="G1089" s="10" t="s">
        <v>34</v>
      </c>
      <c r="H1089" s="10" t="s">
        <v>217</v>
      </c>
      <c r="I1089" s="10" t="s">
        <v>1727</v>
      </c>
      <c r="J1089" s="10" t="s">
        <v>723</v>
      </c>
      <c r="K1089" s="26">
        <v>3</v>
      </c>
      <c r="L1089" s="26">
        <v>3</v>
      </c>
      <c r="N1089" s="10">
        <v>5.4480000000000004</v>
      </c>
      <c r="O1089">
        <v>0.1</v>
      </c>
      <c r="P1089" s="10">
        <v>1.593</v>
      </c>
      <c r="Q1089" s="10">
        <v>0.13600000000000001</v>
      </c>
      <c r="W1089">
        <v>3.2389999999999999</v>
      </c>
      <c r="Y1089">
        <v>0.94399999999999995</v>
      </c>
      <c r="AD1089" s="14">
        <f t="shared" si="139"/>
        <v>0.59453010279001461</v>
      </c>
      <c r="AE1089" s="14">
        <f t="shared" si="140"/>
        <v>0.59259259259259256</v>
      </c>
      <c r="AH1089" s="3"/>
      <c r="AI1089" s="14">
        <v>1.1870000000000001</v>
      </c>
      <c r="AL1089">
        <f t="shared" ref="AL1089:AL1094" si="144">(((X1089*SQRT(L1089))^2)/(N1089^2))+((O1089*SQRT(K1089))^2)*(W1089^2)/(N1089^4)</f>
        <v>3.5726852347252807E-4</v>
      </c>
      <c r="AM1089">
        <f>(((Z1089*SQRT($L1089))^2)/(P1089^2))+((Q1089*SQRT(L1089))^2)*(Y1089^2)/(P1089^4)</f>
        <v>7.6785630882706107E-3</v>
      </c>
      <c r="AO1089">
        <f t="shared" ref="AO1089:AO1094" si="145">AL1089+AM1089+AN1089</f>
        <v>8.035831611743139E-3</v>
      </c>
      <c r="AP1089">
        <f t="shared" ref="AP1089:AP1094" si="146">SQRT(AO1089)/AI1089</f>
        <v>7.5520471871115075E-2</v>
      </c>
      <c r="AQ1089">
        <v>150</v>
      </c>
      <c r="AS1089" t="s">
        <v>2</v>
      </c>
      <c r="AT1089" s="10" t="s">
        <v>3</v>
      </c>
      <c r="AU1089" s="10" t="s">
        <v>2</v>
      </c>
      <c r="AV1089" s="10" t="s">
        <v>3</v>
      </c>
    </row>
    <row r="1090" spans="1:49" x14ac:dyDescent="0.3">
      <c r="A1090" s="23" t="s">
        <v>1247</v>
      </c>
      <c r="B1090" s="10" t="s">
        <v>81</v>
      </c>
      <c r="C1090" s="10" t="s">
        <v>1248</v>
      </c>
      <c r="D1090" s="10" t="s">
        <v>2085</v>
      </c>
      <c r="E1090" s="10">
        <v>2008</v>
      </c>
      <c r="F1090" t="s">
        <v>2661</v>
      </c>
      <c r="G1090" s="10" t="s">
        <v>34</v>
      </c>
      <c r="H1090" s="10" t="s">
        <v>217</v>
      </c>
      <c r="I1090" s="10" t="s">
        <v>1787</v>
      </c>
      <c r="J1090" s="10" t="s">
        <v>723</v>
      </c>
      <c r="K1090" s="26">
        <v>3</v>
      </c>
      <c r="L1090" s="26">
        <v>3</v>
      </c>
      <c r="N1090" s="10">
        <v>5.4480000000000004</v>
      </c>
      <c r="O1090">
        <v>0.1</v>
      </c>
      <c r="P1090" s="10">
        <v>1.593</v>
      </c>
      <c r="Q1090" s="10">
        <v>0.13600000000000001</v>
      </c>
      <c r="W1090">
        <v>3.734</v>
      </c>
      <c r="Y1090">
        <v>0.69399999999999995</v>
      </c>
      <c r="AD1090" s="14">
        <f t="shared" si="139"/>
        <v>0.68538913362701903</v>
      </c>
      <c r="AE1090" s="14">
        <f t="shared" si="140"/>
        <v>0.43565599497802887</v>
      </c>
      <c r="AH1090" s="3"/>
      <c r="AI1090" s="14">
        <v>1.121</v>
      </c>
      <c r="AL1090">
        <f t="shared" si="144"/>
        <v>4.7481178124413314E-4</v>
      </c>
      <c r="AM1090">
        <f t="shared" ref="AM1090:AM1094" si="147">(((Z1090*SQRT($L1090))^2)/(P1090^2))+((Q1090*SQRT(L1090))^2)*(Y1090^2)/(P1090^4)</f>
        <v>4.1500650984611824E-3</v>
      </c>
      <c r="AO1090">
        <f t="shared" si="145"/>
        <v>4.6248768797053155E-3</v>
      </c>
      <c r="AP1090">
        <f t="shared" si="146"/>
        <v>6.0665876306194126E-2</v>
      </c>
      <c r="AQ1090">
        <v>150</v>
      </c>
      <c r="AS1090" t="s">
        <v>2</v>
      </c>
      <c r="AT1090" s="10" t="s">
        <v>3</v>
      </c>
      <c r="AU1090" s="10" t="s">
        <v>2</v>
      </c>
      <c r="AV1090" s="10" t="s">
        <v>3</v>
      </c>
    </row>
    <row r="1091" spans="1:49" x14ac:dyDescent="0.3">
      <c r="A1091" s="23" t="s">
        <v>1247</v>
      </c>
      <c r="B1091" s="10" t="s">
        <v>81</v>
      </c>
      <c r="C1091" s="10" t="s">
        <v>1248</v>
      </c>
      <c r="D1091" s="10" t="s">
        <v>2085</v>
      </c>
      <c r="E1091" s="10">
        <v>2008</v>
      </c>
      <c r="F1091" t="s">
        <v>2661</v>
      </c>
      <c r="G1091" s="10" t="s">
        <v>34</v>
      </c>
      <c r="H1091" s="10" t="s">
        <v>217</v>
      </c>
      <c r="I1091" s="10" t="s">
        <v>2086</v>
      </c>
      <c r="J1091" s="10" t="s">
        <v>723</v>
      </c>
      <c r="K1091" s="26">
        <v>3</v>
      </c>
      <c r="L1091" s="26">
        <v>3</v>
      </c>
      <c r="N1091" s="10">
        <v>5.4480000000000004</v>
      </c>
      <c r="O1091">
        <v>0.1</v>
      </c>
      <c r="P1091" s="10">
        <v>1.593</v>
      </c>
      <c r="Q1091" s="10">
        <v>0.13600000000000001</v>
      </c>
      <c r="W1091">
        <v>4.6950000000000003</v>
      </c>
      <c r="Y1091">
        <v>0.45600000000000002</v>
      </c>
      <c r="AD1091" s="14">
        <f t="shared" si="139"/>
        <v>0.861784140969163</v>
      </c>
      <c r="AE1091" s="14">
        <f t="shared" si="140"/>
        <v>0.28625235404896421</v>
      </c>
      <c r="AH1091" s="3"/>
      <c r="AI1091" s="14">
        <v>1.1479999999999999</v>
      </c>
      <c r="AL1091">
        <f t="shared" si="144"/>
        <v>7.5066134444717815E-4</v>
      </c>
      <c r="AM1091">
        <f t="shared" si="147"/>
        <v>1.7917014847594957E-3</v>
      </c>
      <c r="AO1091">
        <f t="shared" si="145"/>
        <v>2.5423628292066741E-3</v>
      </c>
      <c r="AP1091">
        <f t="shared" si="146"/>
        <v>4.3921471017917067E-2</v>
      </c>
      <c r="AQ1091">
        <v>150</v>
      </c>
      <c r="AS1091" t="s">
        <v>2</v>
      </c>
      <c r="AT1091" s="10" t="s">
        <v>3</v>
      </c>
      <c r="AU1091" s="10" t="s">
        <v>2</v>
      </c>
      <c r="AV1091" s="10" t="s">
        <v>3</v>
      </c>
    </row>
    <row r="1092" spans="1:49" x14ac:dyDescent="0.3">
      <c r="A1092" s="23" t="s">
        <v>1247</v>
      </c>
      <c r="B1092" s="10" t="s">
        <v>81</v>
      </c>
      <c r="C1092" s="10" t="s">
        <v>1248</v>
      </c>
      <c r="D1092" s="10" t="s">
        <v>2085</v>
      </c>
      <c r="E1092" s="10">
        <v>2009</v>
      </c>
      <c r="F1092" t="s">
        <v>2661</v>
      </c>
      <c r="G1092" s="10" t="s">
        <v>34</v>
      </c>
      <c r="H1092" s="10" t="s">
        <v>217</v>
      </c>
      <c r="I1092" s="10" t="s">
        <v>1727</v>
      </c>
      <c r="J1092" s="10" t="s">
        <v>723</v>
      </c>
      <c r="K1092" s="26">
        <v>3</v>
      </c>
      <c r="L1092" s="26">
        <v>3</v>
      </c>
      <c r="N1092" s="10">
        <v>4.7149999999999999</v>
      </c>
      <c r="O1092">
        <v>0.22800000000000001</v>
      </c>
      <c r="P1092" s="10">
        <v>1.46</v>
      </c>
      <c r="Q1092" s="10">
        <v>0.10199999999999999</v>
      </c>
      <c r="W1092">
        <v>2.6320000000000001</v>
      </c>
      <c r="Y1092">
        <v>0.81100000000000005</v>
      </c>
      <c r="AD1092" s="14">
        <f t="shared" si="139"/>
        <v>0.55821845174973495</v>
      </c>
      <c r="AE1092" s="14">
        <f t="shared" si="140"/>
        <v>0.55547945205479454</v>
      </c>
      <c r="AH1092" s="3"/>
      <c r="AI1092" s="14">
        <v>1.1140000000000001</v>
      </c>
      <c r="AL1092">
        <f t="shared" si="144"/>
        <v>2.1859283887419589E-3</v>
      </c>
      <c r="AM1092">
        <f t="shared" si="147"/>
        <v>4.5180588500182122E-3</v>
      </c>
      <c r="AO1092">
        <f t="shared" si="145"/>
        <v>6.7039872387601711E-3</v>
      </c>
      <c r="AP1092">
        <f t="shared" si="146"/>
        <v>7.3498994643965504E-2</v>
      </c>
      <c r="AQ1092">
        <v>150</v>
      </c>
      <c r="AS1092" t="s">
        <v>2</v>
      </c>
      <c r="AT1092" s="10" t="s">
        <v>3</v>
      </c>
      <c r="AU1092" s="10" t="s">
        <v>2</v>
      </c>
      <c r="AV1092" s="10" t="s">
        <v>3</v>
      </c>
    </row>
    <row r="1093" spans="1:49" x14ac:dyDescent="0.3">
      <c r="A1093" s="23" t="s">
        <v>1247</v>
      </c>
      <c r="B1093" s="10" t="s">
        <v>81</v>
      </c>
      <c r="C1093" s="10" t="s">
        <v>1248</v>
      </c>
      <c r="D1093" s="10" t="s">
        <v>2085</v>
      </c>
      <c r="E1093" s="10">
        <v>2009</v>
      </c>
      <c r="F1093" t="s">
        <v>2661</v>
      </c>
      <c r="G1093" s="10" t="s">
        <v>34</v>
      </c>
      <c r="H1093" s="10" t="s">
        <v>217</v>
      </c>
      <c r="I1093" s="10" t="s">
        <v>1787</v>
      </c>
      <c r="J1093" s="10" t="s">
        <v>723</v>
      </c>
      <c r="K1093" s="26">
        <v>3</v>
      </c>
      <c r="L1093" s="26">
        <v>3</v>
      </c>
      <c r="N1093" s="10">
        <v>4.7149999999999999</v>
      </c>
      <c r="O1093">
        <v>0.22800000000000001</v>
      </c>
      <c r="P1093" s="10">
        <v>1.46</v>
      </c>
      <c r="Q1093" s="10">
        <v>0.10199999999999999</v>
      </c>
      <c r="W1093">
        <v>3.3340000000000001</v>
      </c>
      <c r="Y1093">
        <v>0.68100000000000005</v>
      </c>
      <c r="AD1093" s="14">
        <f t="shared" si="139"/>
        <v>0.70710498409331923</v>
      </c>
      <c r="AE1093" s="14">
        <f t="shared" si="140"/>
        <v>0.46643835616438362</v>
      </c>
      <c r="AH1093" s="3"/>
      <c r="AI1093" s="14">
        <v>1.1739999999999999</v>
      </c>
      <c r="AL1093">
        <f t="shared" si="144"/>
        <v>3.5074811960479121E-3</v>
      </c>
      <c r="AM1093">
        <f t="shared" si="147"/>
        <v>3.185696504054601E-3</v>
      </c>
      <c r="AO1093">
        <f t="shared" si="145"/>
        <v>6.6931777001025131E-3</v>
      </c>
      <c r="AP1093">
        <f t="shared" si="146"/>
        <v>6.9686408241313127E-2</v>
      </c>
      <c r="AQ1093">
        <v>150</v>
      </c>
      <c r="AS1093" t="s">
        <v>2</v>
      </c>
      <c r="AT1093" s="10" t="s">
        <v>3</v>
      </c>
      <c r="AU1093" s="10" t="s">
        <v>2</v>
      </c>
      <c r="AV1093" s="10" t="s">
        <v>3</v>
      </c>
    </row>
    <row r="1094" spans="1:49" x14ac:dyDescent="0.3">
      <c r="A1094" s="23" t="s">
        <v>1247</v>
      </c>
      <c r="B1094" s="10" t="s">
        <v>81</v>
      </c>
      <c r="C1094" s="10" t="s">
        <v>1248</v>
      </c>
      <c r="D1094" s="10" t="s">
        <v>2085</v>
      </c>
      <c r="E1094" s="10">
        <v>2009</v>
      </c>
      <c r="F1094" t="s">
        <v>2661</v>
      </c>
      <c r="G1094" s="10" t="s">
        <v>34</v>
      </c>
      <c r="H1094" s="10" t="s">
        <v>217</v>
      </c>
      <c r="I1094" s="10" t="s">
        <v>2086</v>
      </c>
      <c r="J1094" s="10" t="s">
        <v>723</v>
      </c>
      <c r="K1094" s="26">
        <v>3</v>
      </c>
      <c r="L1094" s="26">
        <v>3</v>
      </c>
      <c r="N1094" s="10">
        <v>4.7149999999999999</v>
      </c>
      <c r="O1094">
        <v>0.22800000000000001</v>
      </c>
      <c r="P1094" s="10">
        <v>1.46</v>
      </c>
      <c r="Q1094" s="10">
        <v>0.10199999999999999</v>
      </c>
      <c r="W1094">
        <v>4.1619999999999999</v>
      </c>
      <c r="Y1094">
        <v>0.38200000000000001</v>
      </c>
      <c r="AD1094" s="14">
        <f t="shared" si="139"/>
        <v>0.88271474019088014</v>
      </c>
      <c r="AE1094" s="14">
        <f t="shared" si="140"/>
        <v>0.26164383561643839</v>
      </c>
      <c r="AH1094" s="3"/>
      <c r="AI1094" s="14">
        <v>1.1439999999999999</v>
      </c>
      <c r="AL1094">
        <f t="shared" si="144"/>
        <v>5.4659834472835876E-3</v>
      </c>
      <c r="AM1094">
        <f t="shared" si="147"/>
        <v>1.0023904050958652E-3</v>
      </c>
      <c r="AO1094">
        <f t="shared" si="145"/>
        <v>6.468373852379453E-3</v>
      </c>
      <c r="AP1094">
        <f t="shared" si="146"/>
        <v>7.0302623496766414E-2</v>
      </c>
      <c r="AQ1094">
        <v>150</v>
      </c>
      <c r="AS1094" t="s">
        <v>2</v>
      </c>
      <c r="AT1094" s="10" t="s">
        <v>3</v>
      </c>
      <c r="AU1094" s="10" t="s">
        <v>2</v>
      </c>
      <c r="AV1094" s="10" t="s">
        <v>3</v>
      </c>
    </row>
    <row r="1095" spans="1:49" x14ac:dyDescent="0.3">
      <c r="A1095" s="23" t="s">
        <v>2038</v>
      </c>
      <c r="B1095" s="10" t="s">
        <v>5</v>
      </c>
      <c r="F1095" t="s">
        <v>2661</v>
      </c>
      <c r="G1095" s="10" t="s">
        <v>6</v>
      </c>
      <c r="H1095" s="10" t="s">
        <v>217</v>
      </c>
      <c r="J1095" s="10" t="s">
        <v>1895</v>
      </c>
      <c r="K1095" s="26">
        <v>65</v>
      </c>
      <c r="L1095" s="6">
        <v>65</v>
      </c>
      <c r="M1095" s="53">
        <v>17</v>
      </c>
      <c r="AI1095" s="14">
        <v>1.27</v>
      </c>
      <c r="AJ1095" s="3">
        <f>AI1095-0.06</f>
        <v>1.21</v>
      </c>
      <c r="AK1095" s="3">
        <f>AI1095+0.06</f>
        <v>1.33</v>
      </c>
      <c r="AR1095" t="s">
        <v>14</v>
      </c>
      <c r="AV1095" s="10" t="s">
        <v>3</v>
      </c>
    </row>
    <row r="1096" spans="1:49" x14ac:dyDescent="0.3">
      <c r="A1096" s="23" t="s">
        <v>2095</v>
      </c>
      <c r="B1096" s="10" t="s">
        <v>1170</v>
      </c>
      <c r="C1096" s="10" t="s">
        <v>1171</v>
      </c>
      <c r="D1096" s="10" t="s">
        <v>1177</v>
      </c>
      <c r="E1096" s="10">
        <v>2007</v>
      </c>
      <c r="F1096" t="s">
        <v>2661</v>
      </c>
      <c r="G1096" s="10" t="s">
        <v>6</v>
      </c>
      <c r="H1096" s="10" t="s">
        <v>217</v>
      </c>
      <c r="J1096" s="10" t="s">
        <v>723</v>
      </c>
      <c r="K1096" s="26">
        <v>3</v>
      </c>
      <c r="L1096" s="26">
        <v>3</v>
      </c>
      <c r="N1096" s="10">
        <v>4132</v>
      </c>
      <c r="P1096" s="10">
        <v>3370</v>
      </c>
      <c r="W1096">
        <v>3509</v>
      </c>
      <c r="Y1096">
        <v>367</v>
      </c>
      <c r="AD1096" s="14">
        <f t="shared" ref="AD1096:AD1159" si="148">W1096/N1096</f>
        <v>0.84922555663117139</v>
      </c>
      <c r="AE1096" s="14">
        <f t="shared" ref="AE1096:AE1127" si="149">Y1096/P1096</f>
        <v>0.10890207715133531</v>
      </c>
      <c r="AI1096" s="3">
        <f>AD1096+AE1096</f>
        <v>0.95812763378250665</v>
      </c>
      <c r="AU1096" s="10" t="s">
        <v>2</v>
      </c>
      <c r="AV1096" s="10" t="s">
        <v>3</v>
      </c>
      <c r="AW1096" t="s">
        <v>2107</v>
      </c>
    </row>
    <row r="1097" spans="1:49" x14ac:dyDescent="0.3">
      <c r="A1097" s="23" t="s">
        <v>2095</v>
      </c>
      <c r="B1097" s="10" t="s">
        <v>1170</v>
      </c>
      <c r="C1097" s="10" t="s">
        <v>1171</v>
      </c>
      <c r="D1097" s="10" t="s">
        <v>1177</v>
      </c>
      <c r="E1097" s="10">
        <v>2007</v>
      </c>
      <c r="F1097" t="s">
        <v>2661</v>
      </c>
      <c r="G1097" s="10" t="s">
        <v>6</v>
      </c>
      <c r="H1097" s="10" t="s">
        <v>217</v>
      </c>
      <c r="J1097" s="10" t="s">
        <v>2105</v>
      </c>
      <c r="K1097" s="26">
        <v>3</v>
      </c>
      <c r="L1097" s="26">
        <v>3</v>
      </c>
      <c r="N1097" s="10">
        <v>4132</v>
      </c>
      <c r="P1097" s="10">
        <v>2731</v>
      </c>
      <c r="W1097">
        <v>3933</v>
      </c>
      <c r="Y1097">
        <v>104</v>
      </c>
      <c r="AD1097" s="14">
        <f t="shared" si="148"/>
        <v>0.95183930300096808</v>
      </c>
      <c r="AE1097" s="14">
        <f t="shared" si="149"/>
        <v>3.8081288905162942E-2</v>
      </c>
      <c r="AI1097" s="3">
        <f t="shared" ref="AI1097:AI1108" si="150">AD1097+AE1097</f>
        <v>0.98992059190613102</v>
      </c>
      <c r="AU1097" s="10" t="s">
        <v>2</v>
      </c>
      <c r="AV1097" s="10" t="s">
        <v>3</v>
      </c>
      <c r="AW1097" t="s">
        <v>2107</v>
      </c>
    </row>
    <row r="1098" spans="1:49" x14ac:dyDescent="0.3">
      <c r="A1098" s="23" t="s">
        <v>2095</v>
      </c>
      <c r="B1098" s="10" t="s">
        <v>1170</v>
      </c>
      <c r="C1098" s="10" t="s">
        <v>1171</v>
      </c>
      <c r="D1098" s="10" t="s">
        <v>1177</v>
      </c>
      <c r="E1098" s="10">
        <v>2007</v>
      </c>
      <c r="F1098" t="s">
        <v>2661</v>
      </c>
      <c r="G1098" s="10" t="s">
        <v>6</v>
      </c>
      <c r="H1098" s="10" t="s">
        <v>217</v>
      </c>
      <c r="J1098" s="10" t="s">
        <v>1664</v>
      </c>
      <c r="K1098" s="26">
        <v>3</v>
      </c>
      <c r="L1098" s="26">
        <v>3</v>
      </c>
      <c r="N1098" s="10">
        <v>4132</v>
      </c>
      <c r="P1098" s="10">
        <v>3218</v>
      </c>
      <c r="W1098">
        <v>2872</v>
      </c>
      <c r="Y1098">
        <v>621</v>
      </c>
      <c r="AD1098" s="14">
        <f t="shared" si="148"/>
        <v>0.69506292352371735</v>
      </c>
      <c r="AE1098" s="14">
        <f t="shared" si="149"/>
        <v>0.19297700435052828</v>
      </c>
      <c r="AI1098" s="3">
        <f t="shared" si="150"/>
        <v>0.88803992787424568</v>
      </c>
      <c r="AU1098" s="10" t="s">
        <v>2</v>
      </c>
      <c r="AV1098" s="10" t="s">
        <v>3</v>
      </c>
      <c r="AW1098" t="s">
        <v>2107</v>
      </c>
    </row>
    <row r="1099" spans="1:49" x14ac:dyDescent="0.3">
      <c r="A1099" s="23" t="s">
        <v>2095</v>
      </c>
      <c r="B1099" s="10" t="s">
        <v>1170</v>
      </c>
      <c r="C1099" s="10" t="s">
        <v>1171</v>
      </c>
      <c r="D1099" s="10" t="s">
        <v>1177</v>
      </c>
      <c r="E1099" s="10">
        <v>2007</v>
      </c>
      <c r="F1099" t="s">
        <v>2661</v>
      </c>
      <c r="G1099" s="10" t="s">
        <v>6</v>
      </c>
      <c r="H1099" s="10" t="s">
        <v>217</v>
      </c>
      <c r="J1099" s="10" t="s">
        <v>2106</v>
      </c>
      <c r="K1099" s="26">
        <v>3</v>
      </c>
      <c r="L1099" s="26">
        <v>3</v>
      </c>
      <c r="N1099" s="10">
        <v>4132</v>
      </c>
      <c r="P1099" s="10">
        <v>2265</v>
      </c>
      <c r="W1099">
        <v>3860</v>
      </c>
      <c r="Y1099">
        <v>527</v>
      </c>
      <c r="AD1099" s="14">
        <f t="shared" si="148"/>
        <v>0.93417231364956432</v>
      </c>
      <c r="AE1099" s="14">
        <f t="shared" si="149"/>
        <v>0.2326710816777042</v>
      </c>
      <c r="AI1099" s="3">
        <f t="shared" si="150"/>
        <v>1.1668433953272686</v>
      </c>
      <c r="AU1099" s="10" t="s">
        <v>2</v>
      </c>
      <c r="AV1099" s="10" t="s">
        <v>3</v>
      </c>
      <c r="AW1099" t="s">
        <v>2107</v>
      </c>
    </row>
    <row r="1100" spans="1:49" x14ac:dyDescent="0.3">
      <c r="A1100" s="23" t="s">
        <v>2095</v>
      </c>
      <c r="B1100" s="10" t="s">
        <v>1170</v>
      </c>
      <c r="C1100" s="10" t="s">
        <v>1171</v>
      </c>
      <c r="D1100" s="10" t="s">
        <v>1177</v>
      </c>
      <c r="E1100" s="10">
        <v>2008</v>
      </c>
      <c r="F1100" t="s">
        <v>2661</v>
      </c>
      <c r="G1100" s="10" t="s">
        <v>6</v>
      </c>
      <c r="H1100" s="10" t="s">
        <v>217</v>
      </c>
      <c r="J1100" s="10" t="s">
        <v>723</v>
      </c>
      <c r="K1100" s="26">
        <v>3</v>
      </c>
      <c r="L1100" s="26">
        <v>3</v>
      </c>
      <c r="N1100" s="10">
        <v>2811</v>
      </c>
      <c r="P1100" s="10">
        <v>1107</v>
      </c>
      <c r="W1100">
        <v>1932</v>
      </c>
      <c r="Y1100">
        <v>577</v>
      </c>
      <c r="AD1100" s="14">
        <f t="shared" si="148"/>
        <v>0.68729989327641405</v>
      </c>
      <c r="AE1100" s="14">
        <f t="shared" si="149"/>
        <v>0.52122854561878951</v>
      </c>
      <c r="AI1100" s="3">
        <f t="shared" si="150"/>
        <v>1.2085284388952036</v>
      </c>
      <c r="AU1100" s="10" t="s">
        <v>2</v>
      </c>
      <c r="AV1100" s="10" t="s">
        <v>3</v>
      </c>
      <c r="AW1100" t="s">
        <v>2107</v>
      </c>
    </row>
    <row r="1101" spans="1:49" x14ac:dyDescent="0.3">
      <c r="A1101" s="23" t="s">
        <v>2095</v>
      </c>
      <c r="B1101" s="10" t="s">
        <v>1170</v>
      </c>
      <c r="C1101" s="10" t="s">
        <v>1171</v>
      </c>
      <c r="D1101" s="10" t="s">
        <v>1177</v>
      </c>
      <c r="E1101" s="10">
        <v>2008</v>
      </c>
      <c r="F1101" t="s">
        <v>2661</v>
      </c>
      <c r="G1101" s="10" t="s">
        <v>6</v>
      </c>
      <c r="H1101" s="10" t="s">
        <v>217</v>
      </c>
      <c r="J1101" s="10" t="s">
        <v>2105</v>
      </c>
      <c r="K1101" s="26">
        <v>3</v>
      </c>
      <c r="L1101" s="26">
        <v>3</v>
      </c>
      <c r="N1101" s="10">
        <v>2811</v>
      </c>
      <c r="P1101" s="10">
        <v>469</v>
      </c>
      <c r="W1101">
        <v>1614</v>
      </c>
      <c r="Y1101">
        <v>18</v>
      </c>
      <c r="AD1101" s="14">
        <f t="shared" si="148"/>
        <v>0.57417289220917822</v>
      </c>
      <c r="AE1101" s="14">
        <f t="shared" si="149"/>
        <v>3.8379530916844352E-2</v>
      </c>
      <c r="AI1101" s="3">
        <f t="shared" si="150"/>
        <v>0.61255242312602254</v>
      </c>
      <c r="AU1101" s="10" t="s">
        <v>2</v>
      </c>
      <c r="AV1101" s="10" t="s">
        <v>3</v>
      </c>
      <c r="AW1101" t="s">
        <v>2107</v>
      </c>
    </row>
    <row r="1102" spans="1:49" x14ac:dyDescent="0.3">
      <c r="A1102" s="23" t="s">
        <v>2095</v>
      </c>
      <c r="B1102" s="10" t="s">
        <v>1170</v>
      </c>
      <c r="C1102" s="10" t="s">
        <v>1171</v>
      </c>
      <c r="D1102" s="10" t="s">
        <v>1177</v>
      </c>
      <c r="E1102" s="10">
        <v>2008</v>
      </c>
      <c r="F1102" t="s">
        <v>2661</v>
      </c>
      <c r="G1102" s="10" t="s">
        <v>6</v>
      </c>
      <c r="H1102" s="10" t="s">
        <v>217</v>
      </c>
      <c r="J1102" s="10" t="s">
        <v>1664</v>
      </c>
      <c r="K1102" s="26">
        <v>3</v>
      </c>
      <c r="L1102" s="26">
        <v>3</v>
      </c>
      <c r="N1102" s="10">
        <v>2811</v>
      </c>
      <c r="P1102" s="10">
        <v>1011</v>
      </c>
      <c r="W1102">
        <v>2308</v>
      </c>
      <c r="Y1102">
        <v>360</v>
      </c>
      <c r="AD1102" s="14">
        <f t="shared" si="148"/>
        <v>0.82106012095339742</v>
      </c>
      <c r="AE1102" s="14">
        <f t="shared" si="149"/>
        <v>0.35608308605341249</v>
      </c>
      <c r="AI1102" s="3">
        <f t="shared" si="150"/>
        <v>1.17714320700681</v>
      </c>
      <c r="AU1102" s="10" t="s">
        <v>2</v>
      </c>
      <c r="AV1102" s="10" t="s">
        <v>3</v>
      </c>
      <c r="AW1102" t="s">
        <v>2107</v>
      </c>
    </row>
    <row r="1103" spans="1:49" x14ac:dyDescent="0.3">
      <c r="A1103" s="23" t="s">
        <v>2095</v>
      </c>
      <c r="B1103" s="10" t="s">
        <v>1170</v>
      </c>
      <c r="C1103" s="10" t="s">
        <v>1171</v>
      </c>
      <c r="D1103" s="10" t="s">
        <v>1177</v>
      </c>
      <c r="E1103" s="10">
        <v>2008</v>
      </c>
      <c r="F1103" t="s">
        <v>2661</v>
      </c>
      <c r="G1103" s="10" t="s">
        <v>6</v>
      </c>
      <c r="H1103" s="10" t="s">
        <v>217</v>
      </c>
      <c r="J1103" s="10" t="s">
        <v>2106</v>
      </c>
      <c r="K1103" s="26">
        <v>3</v>
      </c>
      <c r="L1103" s="26">
        <v>3</v>
      </c>
      <c r="N1103" s="10">
        <v>2811</v>
      </c>
      <c r="P1103" s="10">
        <v>2214</v>
      </c>
      <c r="W1103">
        <v>1821</v>
      </c>
      <c r="Y1103">
        <v>824</v>
      </c>
      <c r="AD1103" s="14">
        <f t="shared" si="148"/>
        <v>0.64781216648879403</v>
      </c>
      <c r="AE1103" s="14">
        <f t="shared" si="149"/>
        <v>0.37217705510388438</v>
      </c>
      <c r="AI1103" s="3">
        <f t="shared" si="150"/>
        <v>1.0199892215926785</v>
      </c>
      <c r="AU1103" s="10" t="s">
        <v>2</v>
      </c>
      <c r="AV1103" s="10" t="s">
        <v>3</v>
      </c>
      <c r="AW1103" t="s">
        <v>2107</v>
      </c>
    </row>
    <row r="1104" spans="1:49" x14ac:dyDescent="0.3">
      <c r="A1104" s="23" t="s">
        <v>2095</v>
      </c>
      <c r="B1104" s="10" t="s">
        <v>1170</v>
      </c>
      <c r="C1104" s="10" t="s">
        <v>1171</v>
      </c>
      <c r="D1104" s="10" t="s">
        <v>1177</v>
      </c>
      <c r="E1104" s="10">
        <v>2009</v>
      </c>
      <c r="F1104" t="s">
        <v>2661</v>
      </c>
      <c r="G1104" s="10" t="s">
        <v>6</v>
      </c>
      <c r="H1104" s="10" t="s">
        <v>217</v>
      </c>
      <c r="J1104" s="10" t="s">
        <v>723</v>
      </c>
      <c r="K1104" s="26">
        <v>3</v>
      </c>
      <c r="L1104" s="26">
        <v>3</v>
      </c>
      <c r="N1104" s="10">
        <v>2496</v>
      </c>
      <c r="P1104" s="10">
        <v>2626</v>
      </c>
      <c r="W1104">
        <v>2058</v>
      </c>
      <c r="Y1104">
        <v>348</v>
      </c>
      <c r="AD1104" s="14">
        <f t="shared" si="148"/>
        <v>0.82451923076923073</v>
      </c>
      <c r="AE1104" s="14">
        <f t="shared" si="149"/>
        <v>0.13252094440213252</v>
      </c>
      <c r="AI1104" s="3">
        <f t="shared" si="150"/>
        <v>0.95704017517136331</v>
      </c>
      <c r="AU1104" s="10" t="s">
        <v>2</v>
      </c>
      <c r="AV1104" s="10" t="s">
        <v>3</v>
      </c>
      <c r="AW1104" t="s">
        <v>2107</v>
      </c>
    </row>
    <row r="1105" spans="1:49" x14ac:dyDescent="0.3">
      <c r="A1105" s="23" t="s">
        <v>2095</v>
      </c>
      <c r="B1105" s="10" t="s">
        <v>1170</v>
      </c>
      <c r="C1105" s="10" t="s">
        <v>1171</v>
      </c>
      <c r="D1105" s="10" t="s">
        <v>1177</v>
      </c>
      <c r="E1105" s="10">
        <v>2009</v>
      </c>
      <c r="F1105" t="s">
        <v>2661</v>
      </c>
      <c r="G1105" s="10" t="s">
        <v>6</v>
      </c>
      <c r="H1105" s="10" t="s">
        <v>217</v>
      </c>
      <c r="J1105" s="10" t="s">
        <v>2105</v>
      </c>
      <c r="K1105" s="26">
        <v>3</v>
      </c>
      <c r="L1105" s="26">
        <v>3</v>
      </c>
      <c r="N1105" s="10">
        <v>2496</v>
      </c>
      <c r="P1105" s="10">
        <v>1323</v>
      </c>
      <c r="W1105">
        <v>2235</v>
      </c>
      <c r="Y1105">
        <v>419</v>
      </c>
      <c r="AD1105" s="14">
        <f t="shared" si="148"/>
        <v>0.89543269230769229</v>
      </c>
      <c r="AE1105" s="14">
        <f t="shared" si="149"/>
        <v>0.31670445956160242</v>
      </c>
      <c r="AI1105" s="3">
        <f t="shared" si="150"/>
        <v>1.2121371518692947</v>
      </c>
      <c r="AU1105" s="10" t="s">
        <v>2</v>
      </c>
      <c r="AV1105" s="10" t="s">
        <v>3</v>
      </c>
      <c r="AW1105" t="s">
        <v>2107</v>
      </c>
    </row>
    <row r="1106" spans="1:49" x14ac:dyDescent="0.3">
      <c r="A1106" s="23" t="s">
        <v>2095</v>
      </c>
      <c r="B1106" s="10" t="s">
        <v>1170</v>
      </c>
      <c r="C1106" s="10" t="s">
        <v>1171</v>
      </c>
      <c r="D1106" s="10" t="s">
        <v>1177</v>
      </c>
      <c r="E1106" s="10">
        <v>2009</v>
      </c>
      <c r="F1106" t="s">
        <v>2661</v>
      </c>
      <c r="G1106" s="10" t="s">
        <v>6</v>
      </c>
      <c r="H1106" s="10" t="s">
        <v>217</v>
      </c>
      <c r="J1106" s="10" t="s">
        <v>1664</v>
      </c>
      <c r="K1106" s="26">
        <v>3</v>
      </c>
      <c r="L1106" s="26">
        <v>3</v>
      </c>
      <c r="N1106" s="10">
        <v>2496</v>
      </c>
      <c r="P1106" s="10">
        <v>1727</v>
      </c>
      <c r="W1106">
        <v>1875</v>
      </c>
      <c r="Y1106">
        <v>473</v>
      </c>
      <c r="AD1106" s="14">
        <f t="shared" si="148"/>
        <v>0.75120192307692313</v>
      </c>
      <c r="AE1106" s="14">
        <f t="shared" si="149"/>
        <v>0.27388535031847133</v>
      </c>
      <c r="AI1106" s="3">
        <f t="shared" si="150"/>
        <v>1.0250872733953944</v>
      </c>
      <c r="AU1106" s="10" t="s">
        <v>2</v>
      </c>
      <c r="AV1106" s="10" t="s">
        <v>3</v>
      </c>
      <c r="AW1106" t="s">
        <v>2107</v>
      </c>
    </row>
    <row r="1107" spans="1:49" x14ac:dyDescent="0.3">
      <c r="A1107" s="23" t="s">
        <v>2095</v>
      </c>
      <c r="B1107" s="10" t="s">
        <v>1170</v>
      </c>
      <c r="C1107" s="10" t="s">
        <v>1171</v>
      </c>
      <c r="D1107" s="10" t="s">
        <v>1177</v>
      </c>
      <c r="E1107" s="10">
        <v>2009</v>
      </c>
      <c r="F1107" t="s">
        <v>2661</v>
      </c>
      <c r="G1107" s="10" t="s">
        <v>6</v>
      </c>
      <c r="H1107" s="10" t="s">
        <v>217</v>
      </c>
      <c r="J1107" s="10" t="s">
        <v>2106</v>
      </c>
      <c r="K1107" s="26">
        <v>3</v>
      </c>
      <c r="L1107" s="26">
        <v>3</v>
      </c>
      <c r="N1107" s="10">
        <v>2496</v>
      </c>
      <c r="P1107" s="10">
        <v>1165</v>
      </c>
      <c r="W1107">
        <v>2002</v>
      </c>
      <c r="Y1107">
        <v>980</v>
      </c>
      <c r="AD1107" s="14">
        <f t="shared" si="148"/>
        <v>0.80208333333333337</v>
      </c>
      <c r="AE1107" s="14">
        <f t="shared" si="149"/>
        <v>0.84120171673819744</v>
      </c>
      <c r="AI1107" s="3">
        <f t="shared" si="150"/>
        <v>1.6432850500715308</v>
      </c>
      <c r="AU1107" s="10" t="s">
        <v>2</v>
      </c>
      <c r="AV1107" s="10" t="s">
        <v>3</v>
      </c>
      <c r="AW1107" t="s">
        <v>2107</v>
      </c>
    </row>
    <row r="1108" spans="1:49" x14ac:dyDescent="0.3">
      <c r="A1108" s="23" t="s">
        <v>2096</v>
      </c>
      <c r="B1108" s="10" t="s">
        <v>862</v>
      </c>
      <c r="C1108" s="10" t="s">
        <v>2108</v>
      </c>
      <c r="D1108" s="10" t="s">
        <v>2109</v>
      </c>
      <c r="E1108" s="10">
        <v>2007</v>
      </c>
      <c r="F1108" t="s">
        <v>2661</v>
      </c>
      <c r="G1108" s="10" t="s">
        <v>6</v>
      </c>
      <c r="H1108" s="10" t="s">
        <v>217</v>
      </c>
      <c r="I1108" s="10" t="s">
        <v>2111</v>
      </c>
      <c r="J1108" s="10" t="s">
        <v>2110</v>
      </c>
      <c r="K1108" s="26">
        <v>3</v>
      </c>
      <c r="L1108" s="26">
        <v>3</v>
      </c>
      <c r="N1108" s="10">
        <v>3306</v>
      </c>
      <c r="P1108">
        <v>3989</v>
      </c>
      <c r="W1108">
        <v>2128</v>
      </c>
      <c r="Y1108" s="10">
        <v>2633</v>
      </c>
      <c r="AD1108" s="14">
        <f t="shared" si="148"/>
        <v>0.64367816091954022</v>
      </c>
      <c r="AE1108" s="14">
        <f t="shared" si="149"/>
        <v>0.66006517924291808</v>
      </c>
      <c r="AI1108" s="3">
        <f t="shared" si="150"/>
        <v>1.3037433401624583</v>
      </c>
      <c r="AQ1108">
        <v>100</v>
      </c>
      <c r="AR1108" t="s">
        <v>14</v>
      </c>
      <c r="AS1108" t="s">
        <v>3</v>
      </c>
      <c r="AT1108" t="s">
        <v>3</v>
      </c>
      <c r="AU1108" s="10" t="s">
        <v>2</v>
      </c>
      <c r="AV1108" s="10" t="s">
        <v>3</v>
      </c>
    </row>
    <row r="1109" spans="1:49" x14ac:dyDescent="0.3">
      <c r="A1109" s="23" t="s">
        <v>2096</v>
      </c>
      <c r="B1109" s="10" t="s">
        <v>862</v>
      </c>
      <c r="C1109" s="10" t="s">
        <v>2108</v>
      </c>
      <c r="D1109" s="10" t="s">
        <v>2109</v>
      </c>
      <c r="E1109" s="10">
        <v>2007</v>
      </c>
      <c r="F1109" t="s">
        <v>2661</v>
      </c>
      <c r="G1109" s="10" t="s">
        <v>6</v>
      </c>
      <c r="H1109" s="10" t="s">
        <v>217</v>
      </c>
      <c r="I1109" t="s">
        <v>2112</v>
      </c>
      <c r="J1109" s="10" t="s">
        <v>2110</v>
      </c>
      <c r="K1109" s="26">
        <v>3</v>
      </c>
      <c r="L1109" s="26">
        <v>3</v>
      </c>
      <c r="N1109" s="10">
        <v>3306</v>
      </c>
      <c r="P1109">
        <v>3989</v>
      </c>
      <c r="W1109">
        <v>2639</v>
      </c>
      <c r="Y1109">
        <v>1789</v>
      </c>
      <c r="AD1109" s="14">
        <f t="shared" si="148"/>
        <v>0.79824561403508776</v>
      </c>
      <c r="AE1109" s="14">
        <f t="shared" si="149"/>
        <v>0.44848332915517675</v>
      </c>
      <c r="AI1109" s="3">
        <f t="shared" ref="AI1109:AI1113" si="151">AD1109+AE1109</f>
        <v>1.2467289431902646</v>
      </c>
      <c r="AQ1109">
        <v>100</v>
      </c>
      <c r="AR1109" t="s">
        <v>14</v>
      </c>
      <c r="AS1109" t="s">
        <v>3</v>
      </c>
      <c r="AT1109" t="s">
        <v>3</v>
      </c>
      <c r="AU1109" s="10" t="s">
        <v>2</v>
      </c>
      <c r="AV1109" s="10" t="s">
        <v>3</v>
      </c>
    </row>
    <row r="1110" spans="1:49" x14ac:dyDescent="0.3">
      <c r="A1110" s="23" t="s">
        <v>2096</v>
      </c>
      <c r="B1110" s="10" t="s">
        <v>862</v>
      </c>
      <c r="C1110" s="10" t="s">
        <v>2108</v>
      </c>
      <c r="D1110" s="10" t="s">
        <v>2109</v>
      </c>
      <c r="E1110" s="10">
        <v>2008</v>
      </c>
      <c r="F1110" t="s">
        <v>2661</v>
      </c>
      <c r="G1110" s="10" t="s">
        <v>6</v>
      </c>
      <c r="H1110" s="10" t="s">
        <v>217</v>
      </c>
      <c r="I1110" s="10" t="s">
        <v>2111</v>
      </c>
      <c r="J1110" s="10" t="s">
        <v>2110</v>
      </c>
      <c r="K1110" s="26">
        <v>3</v>
      </c>
      <c r="L1110" s="26">
        <v>3</v>
      </c>
      <c r="N1110" s="10">
        <v>3576</v>
      </c>
      <c r="P1110" s="10">
        <v>3502</v>
      </c>
      <c r="W1110">
        <v>2569</v>
      </c>
      <c r="Y1110">
        <v>1444</v>
      </c>
      <c r="AD1110" s="14">
        <f t="shared" si="148"/>
        <v>0.71840044742729303</v>
      </c>
      <c r="AE1110" s="14">
        <f t="shared" si="149"/>
        <v>0.41233580810965165</v>
      </c>
      <c r="AI1110" s="3">
        <f t="shared" si="151"/>
        <v>1.1307362555369447</v>
      </c>
      <c r="AQ1110">
        <v>100</v>
      </c>
      <c r="AR1110" t="s">
        <v>14</v>
      </c>
      <c r="AS1110" t="s">
        <v>3</v>
      </c>
      <c r="AT1110" t="s">
        <v>3</v>
      </c>
      <c r="AU1110" s="10" t="s">
        <v>2</v>
      </c>
      <c r="AV1110" s="10" t="s">
        <v>3</v>
      </c>
    </row>
    <row r="1111" spans="1:49" x14ac:dyDescent="0.3">
      <c r="A1111" s="23" t="s">
        <v>2096</v>
      </c>
      <c r="B1111" s="10" t="s">
        <v>862</v>
      </c>
      <c r="C1111" s="10" t="s">
        <v>2108</v>
      </c>
      <c r="D1111" s="10" t="s">
        <v>2109</v>
      </c>
      <c r="E1111" s="10">
        <v>2008</v>
      </c>
      <c r="F1111" t="s">
        <v>2661</v>
      </c>
      <c r="G1111" s="10" t="s">
        <v>6</v>
      </c>
      <c r="H1111" s="10" t="s">
        <v>217</v>
      </c>
      <c r="I1111" t="s">
        <v>2112</v>
      </c>
      <c r="J1111" s="10" t="s">
        <v>2110</v>
      </c>
      <c r="K1111" s="26">
        <v>3</v>
      </c>
      <c r="L1111" s="26">
        <v>3</v>
      </c>
      <c r="N1111" s="10">
        <v>3576</v>
      </c>
      <c r="P1111" s="10">
        <v>3502</v>
      </c>
      <c r="W1111">
        <v>2817</v>
      </c>
      <c r="Y1111">
        <v>950</v>
      </c>
      <c r="AD1111" s="14">
        <f t="shared" si="148"/>
        <v>0.78775167785234901</v>
      </c>
      <c r="AE1111" s="14">
        <f t="shared" si="149"/>
        <v>0.27127355796687608</v>
      </c>
      <c r="AI1111" s="3">
        <f t="shared" si="151"/>
        <v>1.0590252358192251</v>
      </c>
      <c r="AQ1111">
        <v>100</v>
      </c>
      <c r="AR1111" t="s">
        <v>14</v>
      </c>
      <c r="AS1111" t="s">
        <v>3</v>
      </c>
      <c r="AT1111" t="s">
        <v>3</v>
      </c>
      <c r="AU1111" s="10" t="s">
        <v>2</v>
      </c>
      <c r="AV1111" s="10" t="s">
        <v>3</v>
      </c>
    </row>
    <row r="1112" spans="1:49" x14ac:dyDescent="0.3">
      <c r="A1112" s="23" t="s">
        <v>2096</v>
      </c>
      <c r="B1112" s="10" t="s">
        <v>862</v>
      </c>
      <c r="C1112" s="10" t="s">
        <v>2108</v>
      </c>
      <c r="D1112" s="10" t="s">
        <v>2109</v>
      </c>
      <c r="E1112" s="10">
        <v>2008</v>
      </c>
      <c r="F1112" t="s">
        <v>2661</v>
      </c>
      <c r="G1112" s="10" t="s">
        <v>6</v>
      </c>
      <c r="H1112" s="10" t="s">
        <v>217</v>
      </c>
      <c r="I1112" s="10" t="s">
        <v>2111</v>
      </c>
      <c r="J1112" s="10" t="s">
        <v>2110</v>
      </c>
      <c r="K1112" s="26">
        <v>3</v>
      </c>
      <c r="L1112" s="26">
        <v>3</v>
      </c>
      <c r="N1112" s="10">
        <v>1426</v>
      </c>
      <c r="P1112" s="10">
        <v>1552</v>
      </c>
      <c r="W1112">
        <v>1378</v>
      </c>
      <c r="Y1112">
        <v>264</v>
      </c>
      <c r="AD1112" s="14">
        <f t="shared" si="148"/>
        <v>0.96633941093969145</v>
      </c>
      <c r="AE1112" s="14">
        <f t="shared" si="149"/>
        <v>0.17010309278350516</v>
      </c>
      <c r="AI1112" s="3">
        <f t="shared" si="151"/>
        <v>1.1364425037231967</v>
      </c>
      <c r="AQ1112">
        <v>100</v>
      </c>
      <c r="AR1112" t="s">
        <v>14</v>
      </c>
      <c r="AS1112" t="s">
        <v>3</v>
      </c>
      <c r="AT1112" t="s">
        <v>2</v>
      </c>
      <c r="AU1112" s="10" t="s">
        <v>2</v>
      </c>
      <c r="AV1112" s="10" t="s">
        <v>3</v>
      </c>
    </row>
    <row r="1113" spans="1:49" x14ac:dyDescent="0.3">
      <c r="A1113" s="23" t="s">
        <v>2096</v>
      </c>
      <c r="B1113" s="10" t="s">
        <v>862</v>
      </c>
      <c r="C1113" s="10" t="s">
        <v>2108</v>
      </c>
      <c r="D1113" s="10" t="s">
        <v>2109</v>
      </c>
      <c r="E1113" s="10">
        <v>2008</v>
      </c>
      <c r="F1113" t="s">
        <v>2661</v>
      </c>
      <c r="G1113" s="10" t="s">
        <v>6</v>
      </c>
      <c r="H1113" s="10" t="s">
        <v>217</v>
      </c>
      <c r="I1113" t="s">
        <v>2112</v>
      </c>
      <c r="J1113" s="10" t="s">
        <v>2110</v>
      </c>
      <c r="K1113" s="26">
        <v>3</v>
      </c>
      <c r="L1113" s="26">
        <v>3</v>
      </c>
      <c r="N1113" s="10">
        <v>1426</v>
      </c>
      <c r="P1113" s="10">
        <v>1552</v>
      </c>
      <c r="W1113">
        <v>1471</v>
      </c>
      <c r="Y1113">
        <v>40</v>
      </c>
      <c r="AD1113" s="14">
        <f t="shared" si="148"/>
        <v>1.0315568022440393</v>
      </c>
      <c r="AE1113" s="14">
        <f t="shared" si="149"/>
        <v>2.5773195876288658E-2</v>
      </c>
      <c r="AI1113" s="3">
        <f t="shared" si="151"/>
        <v>1.0573299981203279</v>
      </c>
      <c r="AQ1113">
        <v>100</v>
      </c>
      <c r="AR1113" t="s">
        <v>14</v>
      </c>
      <c r="AS1113" t="s">
        <v>3</v>
      </c>
      <c r="AT1113" t="s">
        <v>2</v>
      </c>
      <c r="AU1113" s="10" t="s">
        <v>2</v>
      </c>
      <c r="AV1113" s="10" t="s">
        <v>3</v>
      </c>
    </row>
    <row r="1114" spans="1:49" x14ac:dyDescent="0.3">
      <c r="A1114" s="23" t="s">
        <v>2113</v>
      </c>
      <c r="B1114" s="10" t="s">
        <v>759</v>
      </c>
      <c r="D1114" s="10" t="s">
        <v>2115</v>
      </c>
      <c r="E1114" s="10">
        <v>1998</v>
      </c>
      <c r="F1114" t="s">
        <v>2661</v>
      </c>
      <c r="G1114" s="10" t="s">
        <v>6</v>
      </c>
      <c r="H1114" s="10" t="s">
        <v>217</v>
      </c>
      <c r="I1114" s="10" t="s">
        <v>2118</v>
      </c>
      <c r="J1114" s="10" t="s">
        <v>2117</v>
      </c>
      <c r="K1114" s="26">
        <v>3</v>
      </c>
      <c r="L1114" s="26">
        <v>3</v>
      </c>
      <c r="N1114" s="10">
        <v>42389</v>
      </c>
      <c r="P1114" s="10">
        <v>4150</v>
      </c>
      <c r="R1114">
        <v>1717</v>
      </c>
      <c r="T1114">
        <v>1002</v>
      </c>
      <c r="W1114">
        <v>24500</v>
      </c>
      <c r="Y1114">
        <v>3207</v>
      </c>
      <c r="AA1114">
        <v>395</v>
      </c>
      <c r="AC1114">
        <v>215</v>
      </c>
      <c r="AD1114" s="14">
        <f t="shared" si="148"/>
        <v>0.5779801363561301</v>
      </c>
      <c r="AE1114" s="14">
        <f t="shared" si="149"/>
        <v>0.77277108433734942</v>
      </c>
      <c r="AF1114" s="3">
        <f t="shared" ref="AF1114:AF1143" si="152">AA1114/R1114</f>
        <v>0.23005241700640652</v>
      </c>
      <c r="AG1114" s="3">
        <f t="shared" ref="AG1114:AG1131" si="153">AC1114/T1114</f>
        <v>0.21457085828343314</v>
      </c>
      <c r="AI1114" s="3">
        <f>AD1114+AE1114+AF1114+AG1114</f>
        <v>1.7953744959833191</v>
      </c>
      <c r="AS1114" t="s">
        <v>3</v>
      </c>
      <c r="AT1114" t="s">
        <v>2</v>
      </c>
      <c r="AU1114" s="10" t="s">
        <v>2</v>
      </c>
      <c r="AV1114" s="10" t="s">
        <v>3</v>
      </c>
    </row>
    <row r="1115" spans="1:49" x14ac:dyDescent="0.3">
      <c r="A1115" s="23" t="s">
        <v>2113</v>
      </c>
      <c r="B1115" s="10" t="s">
        <v>759</v>
      </c>
      <c r="D1115" s="10" t="s">
        <v>2115</v>
      </c>
      <c r="E1115" s="10">
        <v>1998</v>
      </c>
      <c r="F1115" t="s">
        <v>2661</v>
      </c>
      <c r="G1115" s="10" t="s">
        <v>6</v>
      </c>
      <c r="H1115" s="10" t="s">
        <v>217</v>
      </c>
      <c r="I1115" s="10" t="s">
        <v>2119</v>
      </c>
      <c r="J1115" s="10" t="s">
        <v>2117</v>
      </c>
      <c r="K1115" s="26">
        <v>3</v>
      </c>
      <c r="L1115" s="26">
        <v>3</v>
      </c>
      <c r="N1115" s="10">
        <v>42389</v>
      </c>
      <c r="P1115" s="10">
        <v>4150</v>
      </c>
      <c r="R1115">
        <v>1717</v>
      </c>
      <c r="T1115">
        <v>1002</v>
      </c>
      <c r="W1115">
        <v>22889</v>
      </c>
      <c r="Y1115">
        <v>2011</v>
      </c>
      <c r="AA1115">
        <v>607</v>
      </c>
      <c r="AC1115">
        <v>272</v>
      </c>
      <c r="AD1115" s="14">
        <f t="shared" si="148"/>
        <v>0.5399749935124678</v>
      </c>
      <c r="AE1115" s="14">
        <f t="shared" si="149"/>
        <v>0.48457831325301204</v>
      </c>
      <c r="AF1115" s="3">
        <f t="shared" si="152"/>
        <v>0.35352358765288294</v>
      </c>
      <c r="AG1115" s="3">
        <f t="shared" si="153"/>
        <v>0.27145708582834333</v>
      </c>
      <c r="AI1115" s="3">
        <f t="shared" ref="AI1115:AI1143" si="154">AD1115+AE1115+AF1115+AG1115</f>
        <v>1.6495339802467059</v>
      </c>
      <c r="AS1115" t="s">
        <v>3</v>
      </c>
      <c r="AT1115" t="s">
        <v>2</v>
      </c>
      <c r="AU1115" s="10" t="s">
        <v>2</v>
      </c>
      <c r="AV1115" s="10" t="s">
        <v>3</v>
      </c>
    </row>
    <row r="1116" spans="1:49" x14ac:dyDescent="0.3">
      <c r="A1116" s="23" t="s">
        <v>2113</v>
      </c>
      <c r="B1116" s="10" t="s">
        <v>759</v>
      </c>
      <c r="D1116" s="10" t="s">
        <v>2115</v>
      </c>
      <c r="E1116" s="10">
        <v>1998</v>
      </c>
      <c r="F1116" t="s">
        <v>2661</v>
      </c>
      <c r="G1116" s="10" t="s">
        <v>6</v>
      </c>
      <c r="H1116" s="10" t="s">
        <v>217</v>
      </c>
      <c r="I1116" s="10" t="s">
        <v>2120</v>
      </c>
      <c r="J1116" s="10" t="s">
        <v>2117</v>
      </c>
      <c r="K1116" s="26">
        <v>3</v>
      </c>
      <c r="L1116" s="26">
        <v>3</v>
      </c>
      <c r="N1116" s="10">
        <v>42389</v>
      </c>
      <c r="P1116" s="10">
        <v>4150</v>
      </c>
      <c r="R1116">
        <v>1717</v>
      </c>
      <c r="T1116">
        <v>1002</v>
      </c>
      <c r="W1116">
        <v>21467</v>
      </c>
      <c r="Y1116">
        <v>1717</v>
      </c>
      <c r="AA1116">
        <v>797</v>
      </c>
      <c r="AC1116">
        <v>239</v>
      </c>
      <c r="AD1116" s="14">
        <f t="shared" si="148"/>
        <v>0.50642855457783864</v>
      </c>
      <c r="AE1116" s="14">
        <f t="shared" si="149"/>
        <v>0.41373493975903614</v>
      </c>
      <c r="AF1116" s="3">
        <f t="shared" si="152"/>
        <v>0.46418171228887595</v>
      </c>
      <c r="AG1116" s="3">
        <f t="shared" si="153"/>
        <v>0.23852295409181637</v>
      </c>
      <c r="AI1116" s="3">
        <f t="shared" si="154"/>
        <v>1.6228681607175672</v>
      </c>
      <c r="AS1116" t="s">
        <v>3</v>
      </c>
      <c r="AT1116" t="s">
        <v>2</v>
      </c>
      <c r="AU1116" s="10" t="s">
        <v>2</v>
      </c>
      <c r="AV1116" s="10" t="s">
        <v>3</v>
      </c>
    </row>
    <row r="1117" spans="1:49" x14ac:dyDescent="0.3">
      <c r="A1117" s="23" t="s">
        <v>2113</v>
      </c>
      <c r="B1117" s="10" t="s">
        <v>759</v>
      </c>
      <c r="D1117" s="10" t="s">
        <v>2115</v>
      </c>
      <c r="E1117" s="10">
        <v>1998</v>
      </c>
      <c r="F1117" t="s">
        <v>2661</v>
      </c>
      <c r="G1117" s="10" t="s">
        <v>6</v>
      </c>
      <c r="H1117" s="10" t="s">
        <v>217</v>
      </c>
      <c r="I1117" s="10" t="s">
        <v>2121</v>
      </c>
      <c r="J1117" s="10" t="s">
        <v>2117</v>
      </c>
      <c r="K1117" s="26">
        <v>3</v>
      </c>
      <c r="L1117" s="26">
        <v>3</v>
      </c>
      <c r="N1117" s="10">
        <v>18500</v>
      </c>
      <c r="P1117" s="10">
        <v>4150</v>
      </c>
      <c r="R1117">
        <v>1717</v>
      </c>
      <c r="T1117">
        <v>1002</v>
      </c>
      <c r="W1117">
        <v>12500</v>
      </c>
      <c r="Y1117">
        <v>2861</v>
      </c>
      <c r="AA1117">
        <v>572</v>
      </c>
      <c r="AC1117">
        <v>419</v>
      </c>
      <c r="AD1117" s="14">
        <f t="shared" si="148"/>
        <v>0.67567567567567566</v>
      </c>
      <c r="AE1117" s="14">
        <f t="shared" si="149"/>
        <v>0.68939759036144577</v>
      </c>
      <c r="AF1117" s="3">
        <f t="shared" si="152"/>
        <v>0.33313919627256844</v>
      </c>
      <c r="AG1117" s="3">
        <f t="shared" si="153"/>
        <v>0.41816367265469062</v>
      </c>
      <c r="AI1117" s="3">
        <f t="shared" si="154"/>
        <v>2.1163761349643804</v>
      </c>
      <c r="AS1117" t="s">
        <v>3</v>
      </c>
      <c r="AT1117" t="s">
        <v>2</v>
      </c>
      <c r="AU1117" s="10" t="s">
        <v>2</v>
      </c>
      <c r="AV1117" s="10" t="s">
        <v>3</v>
      </c>
    </row>
    <row r="1118" spans="1:49" x14ac:dyDescent="0.3">
      <c r="A1118" s="23" t="s">
        <v>2113</v>
      </c>
      <c r="B1118" s="10" t="s">
        <v>759</v>
      </c>
      <c r="D1118" s="10" t="s">
        <v>2115</v>
      </c>
      <c r="E1118" s="10">
        <v>1998</v>
      </c>
      <c r="F1118" t="s">
        <v>2661</v>
      </c>
      <c r="G1118" s="10" t="s">
        <v>6</v>
      </c>
      <c r="H1118" s="10" t="s">
        <v>217</v>
      </c>
      <c r="I1118" s="10" t="s">
        <v>2122</v>
      </c>
      <c r="J1118" s="10" t="s">
        <v>2117</v>
      </c>
      <c r="K1118" s="26">
        <v>3</v>
      </c>
      <c r="L1118" s="26">
        <v>3</v>
      </c>
      <c r="N1118" s="10">
        <v>18500</v>
      </c>
      <c r="P1118" s="10">
        <v>4150</v>
      </c>
      <c r="R1118">
        <v>1717</v>
      </c>
      <c r="T1118">
        <v>1002</v>
      </c>
      <c r="W1118">
        <v>8778</v>
      </c>
      <c r="Y1118">
        <v>2335</v>
      </c>
      <c r="AA1118">
        <v>835</v>
      </c>
      <c r="AC1118">
        <v>425</v>
      </c>
      <c r="AD1118" s="14">
        <f t="shared" si="148"/>
        <v>0.4744864864864865</v>
      </c>
      <c r="AE1118" s="14">
        <f t="shared" si="149"/>
        <v>0.5626506024096386</v>
      </c>
      <c r="AF1118" s="3">
        <f t="shared" si="152"/>
        <v>0.48631333721607456</v>
      </c>
      <c r="AG1118" s="3">
        <f t="shared" si="153"/>
        <v>0.42415169660678642</v>
      </c>
      <c r="AI1118" s="3">
        <f t="shared" si="154"/>
        <v>1.9476021227189861</v>
      </c>
      <c r="AS1118" t="s">
        <v>3</v>
      </c>
      <c r="AT1118" t="s">
        <v>2</v>
      </c>
      <c r="AU1118" s="10" t="s">
        <v>2</v>
      </c>
      <c r="AV1118" s="10" t="s">
        <v>3</v>
      </c>
    </row>
    <row r="1119" spans="1:49" x14ac:dyDescent="0.3">
      <c r="A1119" s="23" t="s">
        <v>2113</v>
      </c>
      <c r="B1119" s="10" t="s">
        <v>759</v>
      </c>
      <c r="D1119" s="10" t="s">
        <v>2115</v>
      </c>
      <c r="E1119" s="10">
        <v>1998</v>
      </c>
      <c r="F1119" t="s">
        <v>2661</v>
      </c>
      <c r="G1119" s="10" t="s">
        <v>6</v>
      </c>
      <c r="H1119" s="10" t="s">
        <v>217</v>
      </c>
      <c r="I1119" s="10" t="s">
        <v>2123</v>
      </c>
      <c r="J1119" s="10" t="s">
        <v>2117</v>
      </c>
      <c r="K1119" s="26">
        <v>3</v>
      </c>
      <c r="L1119" s="26">
        <v>3</v>
      </c>
      <c r="N1119" s="10">
        <v>18500</v>
      </c>
      <c r="P1119" s="10">
        <v>4150</v>
      </c>
      <c r="R1119">
        <v>1717</v>
      </c>
      <c r="T1119">
        <v>1002</v>
      </c>
      <c r="W1119">
        <v>12733</v>
      </c>
      <c r="Y1119">
        <v>1810</v>
      </c>
      <c r="AA1119">
        <v>1118</v>
      </c>
      <c r="AC1119">
        <v>412</v>
      </c>
      <c r="AD1119" s="14">
        <f t="shared" si="148"/>
        <v>0.68827027027027032</v>
      </c>
      <c r="AE1119" s="14">
        <f t="shared" si="149"/>
        <v>0.43614457831325304</v>
      </c>
      <c r="AF1119" s="3">
        <f t="shared" si="152"/>
        <v>0.65113570180547464</v>
      </c>
      <c r="AG1119" s="3">
        <f t="shared" si="153"/>
        <v>0.41117764471057883</v>
      </c>
      <c r="AI1119" s="3">
        <f t="shared" si="154"/>
        <v>2.1867281950995769</v>
      </c>
      <c r="AS1119" t="s">
        <v>3</v>
      </c>
      <c r="AT1119" t="s">
        <v>2</v>
      </c>
      <c r="AU1119" s="10" t="s">
        <v>2</v>
      </c>
      <c r="AV1119" s="10" t="s">
        <v>3</v>
      </c>
    </row>
    <row r="1120" spans="1:49" x14ac:dyDescent="0.3">
      <c r="A1120" s="23" t="s">
        <v>2113</v>
      </c>
      <c r="B1120" s="10" t="s">
        <v>759</v>
      </c>
      <c r="D1120" s="10" t="s">
        <v>2115</v>
      </c>
      <c r="E1120" s="10">
        <v>1999</v>
      </c>
      <c r="F1120" t="s">
        <v>2661</v>
      </c>
      <c r="G1120" s="10" t="s">
        <v>6</v>
      </c>
      <c r="H1120" s="10" t="s">
        <v>217</v>
      </c>
      <c r="I1120" s="10" t="s">
        <v>2118</v>
      </c>
      <c r="J1120" s="10" t="s">
        <v>2117</v>
      </c>
      <c r="K1120" s="26">
        <v>3</v>
      </c>
      <c r="L1120" s="26">
        <v>3</v>
      </c>
      <c r="N1120" s="10">
        <v>39500</v>
      </c>
      <c r="P1120" s="10">
        <v>5178</v>
      </c>
      <c r="R1120">
        <v>1341</v>
      </c>
      <c r="T1120">
        <v>377</v>
      </c>
      <c r="W1120">
        <v>28556</v>
      </c>
      <c r="Y1120">
        <v>2290</v>
      </c>
      <c r="AA1120">
        <v>459</v>
      </c>
      <c r="AC1120">
        <v>232</v>
      </c>
      <c r="AD1120" s="14">
        <f t="shared" si="148"/>
        <v>0.72293670886075945</v>
      </c>
      <c r="AE1120" s="14">
        <f t="shared" si="149"/>
        <v>0.44225569718037855</v>
      </c>
      <c r="AF1120" s="3">
        <f t="shared" si="152"/>
        <v>0.34228187919463088</v>
      </c>
      <c r="AG1120" s="3">
        <f t="shared" si="153"/>
        <v>0.61538461538461542</v>
      </c>
      <c r="AI1120" s="3">
        <f t="shared" si="154"/>
        <v>2.1228589006203844</v>
      </c>
      <c r="AS1120" t="s">
        <v>3</v>
      </c>
      <c r="AT1120" t="s">
        <v>2</v>
      </c>
      <c r="AU1120" s="10" t="s">
        <v>2</v>
      </c>
      <c r="AV1120" s="10" t="s">
        <v>3</v>
      </c>
    </row>
    <row r="1121" spans="1:48" x14ac:dyDescent="0.3">
      <c r="A1121" s="23" t="s">
        <v>2113</v>
      </c>
      <c r="B1121" s="10" t="s">
        <v>759</v>
      </c>
      <c r="D1121" s="10" t="s">
        <v>2115</v>
      </c>
      <c r="E1121" s="10">
        <v>1999</v>
      </c>
      <c r="F1121" t="s">
        <v>2661</v>
      </c>
      <c r="G1121" s="10" t="s">
        <v>6</v>
      </c>
      <c r="H1121" s="10" t="s">
        <v>217</v>
      </c>
      <c r="I1121" s="10" t="s">
        <v>2119</v>
      </c>
      <c r="J1121" s="10" t="s">
        <v>2117</v>
      </c>
      <c r="K1121" s="26">
        <v>3</v>
      </c>
      <c r="L1121" s="26">
        <v>3</v>
      </c>
      <c r="N1121" s="10">
        <v>39500</v>
      </c>
      <c r="P1121" s="10">
        <v>5178</v>
      </c>
      <c r="R1121">
        <v>1341</v>
      </c>
      <c r="T1121">
        <v>377</v>
      </c>
      <c r="W1121">
        <v>20750</v>
      </c>
      <c r="Y1121">
        <v>2000</v>
      </c>
      <c r="AA1121">
        <v>619</v>
      </c>
      <c r="AC1121">
        <v>438</v>
      </c>
      <c r="AD1121" s="14">
        <f t="shared" si="148"/>
        <v>0.52531645569620256</v>
      </c>
      <c r="AE1121" s="14">
        <f t="shared" si="149"/>
        <v>0.38624951718810352</v>
      </c>
      <c r="AF1121" s="3">
        <f t="shared" si="152"/>
        <v>0.46159582401193139</v>
      </c>
      <c r="AG1121" s="3">
        <f t="shared" si="153"/>
        <v>1.1618037135278514</v>
      </c>
      <c r="AI1121" s="3">
        <f t="shared" si="154"/>
        <v>2.5349655104240889</v>
      </c>
      <c r="AS1121" t="s">
        <v>3</v>
      </c>
      <c r="AT1121" t="s">
        <v>2</v>
      </c>
      <c r="AU1121" s="10" t="s">
        <v>2</v>
      </c>
      <c r="AV1121" s="10" t="s">
        <v>3</v>
      </c>
    </row>
    <row r="1122" spans="1:48" x14ac:dyDescent="0.3">
      <c r="A1122" s="23" t="s">
        <v>2113</v>
      </c>
      <c r="B1122" s="10" t="s">
        <v>759</v>
      </c>
      <c r="D1122" s="10" t="s">
        <v>2115</v>
      </c>
      <c r="E1122" s="10">
        <v>1999</v>
      </c>
      <c r="F1122" t="s">
        <v>2661</v>
      </c>
      <c r="G1122" s="10" t="s">
        <v>6</v>
      </c>
      <c r="H1122" s="10" t="s">
        <v>217</v>
      </c>
      <c r="I1122" s="10" t="s">
        <v>2120</v>
      </c>
      <c r="J1122" s="10" t="s">
        <v>2117</v>
      </c>
      <c r="K1122" s="26">
        <v>3</v>
      </c>
      <c r="L1122" s="26">
        <v>3</v>
      </c>
      <c r="N1122" s="10">
        <v>39500</v>
      </c>
      <c r="P1122" s="10">
        <v>5178</v>
      </c>
      <c r="R1122">
        <v>1341</v>
      </c>
      <c r="T1122">
        <v>377</v>
      </c>
      <c r="W1122">
        <v>23778</v>
      </c>
      <c r="Y1122">
        <v>1301</v>
      </c>
      <c r="AA1122">
        <v>647</v>
      </c>
      <c r="AC1122">
        <v>313</v>
      </c>
      <c r="AD1122" s="14">
        <f t="shared" si="148"/>
        <v>0.60197468354430383</v>
      </c>
      <c r="AE1122" s="14">
        <f t="shared" si="149"/>
        <v>0.25125531093086134</v>
      </c>
      <c r="AF1122" s="3">
        <f t="shared" si="152"/>
        <v>0.48247576435495898</v>
      </c>
      <c r="AG1122" s="3">
        <f t="shared" si="153"/>
        <v>0.83023872679045096</v>
      </c>
      <c r="AI1122" s="3">
        <f t="shared" si="154"/>
        <v>2.165944485620575</v>
      </c>
      <c r="AS1122" t="s">
        <v>3</v>
      </c>
      <c r="AT1122" t="s">
        <v>2</v>
      </c>
      <c r="AU1122" s="10" t="s">
        <v>2</v>
      </c>
      <c r="AV1122" s="10" t="s">
        <v>3</v>
      </c>
    </row>
    <row r="1123" spans="1:48" x14ac:dyDescent="0.3">
      <c r="A1123" s="23" t="s">
        <v>2113</v>
      </c>
      <c r="B1123" s="10" t="s">
        <v>759</v>
      </c>
      <c r="D1123" s="10" t="s">
        <v>2115</v>
      </c>
      <c r="E1123" s="10">
        <v>1999</v>
      </c>
      <c r="F1123" t="s">
        <v>2661</v>
      </c>
      <c r="G1123" s="10" t="s">
        <v>6</v>
      </c>
      <c r="H1123" s="10" t="s">
        <v>217</v>
      </c>
      <c r="I1123" s="10" t="s">
        <v>2121</v>
      </c>
      <c r="J1123" s="10" t="s">
        <v>2117</v>
      </c>
      <c r="K1123" s="26">
        <v>3</v>
      </c>
      <c r="L1123" s="26">
        <v>3</v>
      </c>
      <c r="N1123" s="10">
        <v>17611</v>
      </c>
      <c r="P1123" s="10">
        <v>5178</v>
      </c>
      <c r="R1123">
        <v>1341</v>
      </c>
      <c r="T1123">
        <v>377</v>
      </c>
      <c r="W1123">
        <v>7852</v>
      </c>
      <c r="Y1123">
        <v>2573</v>
      </c>
      <c r="AA1123">
        <v>326</v>
      </c>
      <c r="AC1123">
        <v>531</v>
      </c>
      <c r="AD1123" s="14">
        <f t="shared" si="148"/>
        <v>0.44585770257225599</v>
      </c>
      <c r="AE1123" s="14">
        <f t="shared" si="149"/>
        <v>0.49691000386249518</v>
      </c>
      <c r="AF1123" s="3">
        <f t="shared" si="152"/>
        <v>0.2431021625652498</v>
      </c>
      <c r="AG1123" s="3">
        <f t="shared" si="153"/>
        <v>1.4084880636604775</v>
      </c>
      <c r="AI1123" s="3">
        <f t="shared" si="154"/>
        <v>2.5943579326604782</v>
      </c>
      <c r="AS1123" t="s">
        <v>3</v>
      </c>
      <c r="AT1123" t="s">
        <v>2</v>
      </c>
      <c r="AU1123" s="10" t="s">
        <v>2</v>
      </c>
      <c r="AV1123" s="10" t="s">
        <v>3</v>
      </c>
    </row>
    <row r="1124" spans="1:48" x14ac:dyDescent="0.3">
      <c r="A1124" s="23" t="s">
        <v>2113</v>
      </c>
      <c r="B1124" s="10" t="s">
        <v>759</v>
      </c>
      <c r="D1124" s="10" t="s">
        <v>2115</v>
      </c>
      <c r="E1124" s="10">
        <v>1999</v>
      </c>
      <c r="F1124" t="s">
        <v>2661</v>
      </c>
      <c r="G1124" s="10" t="s">
        <v>6</v>
      </c>
      <c r="H1124" s="10" t="s">
        <v>217</v>
      </c>
      <c r="I1124" s="10" t="s">
        <v>2122</v>
      </c>
      <c r="J1124" s="10" t="s">
        <v>2117</v>
      </c>
      <c r="K1124" s="26">
        <v>3</v>
      </c>
      <c r="L1124" s="26">
        <v>3</v>
      </c>
      <c r="N1124" s="10">
        <v>17611</v>
      </c>
      <c r="P1124" s="10">
        <v>5178</v>
      </c>
      <c r="R1124">
        <v>1341</v>
      </c>
      <c r="T1124">
        <v>377</v>
      </c>
      <c r="W1124">
        <v>9083</v>
      </c>
      <c r="Y1124">
        <v>2183</v>
      </c>
      <c r="AA1124">
        <v>568</v>
      </c>
      <c r="AC1124">
        <v>432</v>
      </c>
      <c r="AD1124" s="14">
        <f t="shared" si="148"/>
        <v>0.51575719720629154</v>
      </c>
      <c r="AE1124" s="14">
        <f t="shared" si="149"/>
        <v>0.42159134801081499</v>
      </c>
      <c r="AF1124" s="3">
        <f t="shared" si="152"/>
        <v>0.42356450410141683</v>
      </c>
      <c r="AG1124" s="3">
        <f t="shared" si="153"/>
        <v>1.1458885941644563</v>
      </c>
      <c r="AI1124" s="3">
        <f t="shared" si="154"/>
        <v>2.5068016434829796</v>
      </c>
      <c r="AS1124" t="s">
        <v>3</v>
      </c>
      <c r="AT1124" t="s">
        <v>2</v>
      </c>
      <c r="AU1124" s="10" t="s">
        <v>2</v>
      </c>
      <c r="AV1124" s="10" t="s">
        <v>3</v>
      </c>
    </row>
    <row r="1125" spans="1:48" x14ac:dyDescent="0.3">
      <c r="A1125" s="23" t="s">
        <v>2113</v>
      </c>
      <c r="B1125" s="10" t="s">
        <v>759</v>
      </c>
      <c r="D1125" s="10" t="s">
        <v>2115</v>
      </c>
      <c r="E1125" s="10">
        <v>1999</v>
      </c>
      <c r="F1125" t="s">
        <v>2661</v>
      </c>
      <c r="G1125" s="10" t="s">
        <v>6</v>
      </c>
      <c r="H1125" s="10" t="s">
        <v>217</v>
      </c>
      <c r="I1125" s="10" t="s">
        <v>2123</v>
      </c>
      <c r="J1125" s="10" t="s">
        <v>2117</v>
      </c>
      <c r="K1125" s="26">
        <v>3</v>
      </c>
      <c r="L1125" s="26">
        <v>3</v>
      </c>
      <c r="N1125" s="10">
        <v>17611</v>
      </c>
      <c r="P1125" s="10">
        <v>5178</v>
      </c>
      <c r="R1125">
        <v>1341</v>
      </c>
      <c r="T1125">
        <v>377</v>
      </c>
      <c r="W1125">
        <v>8556</v>
      </c>
      <c r="Y1125">
        <v>1545</v>
      </c>
      <c r="AA1125">
        <v>737</v>
      </c>
      <c r="AC1125">
        <v>446</v>
      </c>
      <c r="AD1125" s="14">
        <f t="shared" si="148"/>
        <v>0.48583271818749646</v>
      </c>
      <c r="AE1125" s="14">
        <f t="shared" si="149"/>
        <v>0.29837775202780997</v>
      </c>
      <c r="AF1125" s="3">
        <f t="shared" si="152"/>
        <v>0.54958985831469054</v>
      </c>
      <c r="AG1125" s="3">
        <f t="shared" si="153"/>
        <v>1.1830238726790452</v>
      </c>
      <c r="AI1125" s="3">
        <f t="shared" si="154"/>
        <v>2.516824201209042</v>
      </c>
      <c r="AS1125" t="s">
        <v>3</v>
      </c>
      <c r="AT1125" t="s">
        <v>2</v>
      </c>
      <c r="AU1125" s="10" t="s">
        <v>2</v>
      </c>
      <c r="AV1125" s="10" t="s">
        <v>3</v>
      </c>
    </row>
    <row r="1126" spans="1:48" x14ac:dyDescent="0.3">
      <c r="A1126" s="23" t="s">
        <v>2113</v>
      </c>
      <c r="B1126" s="10" t="s">
        <v>759</v>
      </c>
      <c r="D1126" s="10" t="s">
        <v>2114</v>
      </c>
      <c r="E1126" s="10">
        <v>1998</v>
      </c>
      <c r="F1126" t="s">
        <v>2661</v>
      </c>
      <c r="G1126" s="10" t="s">
        <v>6</v>
      </c>
      <c r="H1126" s="10" t="s">
        <v>217</v>
      </c>
      <c r="I1126" s="10" t="s">
        <v>2118</v>
      </c>
      <c r="J1126" s="10" t="s">
        <v>2117</v>
      </c>
      <c r="K1126" s="26">
        <v>3</v>
      </c>
      <c r="L1126" s="26">
        <v>3</v>
      </c>
      <c r="N1126" s="10">
        <v>36972</v>
      </c>
      <c r="P1126" s="10">
        <v>3990</v>
      </c>
      <c r="R1126">
        <v>766</v>
      </c>
      <c r="T1126">
        <v>565</v>
      </c>
      <c r="W1126">
        <v>31056</v>
      </c>
      <c r="Y1126">
        <v>2871</v>
      </c>
      <c r="AA1126">
        <v>350</v>
      </c>
      <c r="AC1126">
        <v>91</v>
      </c>
      <c r="AD1126" s="14">
        <f t="shared" si="148"/>
        <v>0.83998701720220703</v>
      </c>
      <c r="AE1126" s="14">
        <f t="shared" si="149"/>
        <v>0.71954887218045116</v>
      </c>
      <c r="AF1126" s="3">
        <f t="shared" si="152"/>
        <v>0.45691906005221933</v>
      </c>
      <c r="AG1126" s="3">
        <f t="shared" si="153"/>
        <v>0.16106194690265488</v>
      </c>
      <c r="AI1126" s="3">
        <f t="shared" si="154"/>
        <v>2.1775168963375324</v>
      </c>
      <c r="AS1126" t="s">
        <v>3</v>
      </c>
      <c r="AT1126" t="s">
        <v>2</v>
      </c>
      <c r="AU1126" s="10" t="s">
        <v>2</v>
      </c>
      <c r="AV1126" s="10" t="s">
        <v>3</v>
      </c>
    </row>
    <row r="1127" spans="1:48" x14ac:dyDescent="0.3">
      <c r="A1127" s="23" t="s">
        <v>2113</v>
      </c>
      <c r="B1127" s="10" t="s">
        <v>759</v>
      </c>
      <c r="D1127" s="10" t="s">
        <v>2114</v>
      </c>
      <c r="E1127" s="10">
        <v>1998</v>
      </c>
      <c r="F1127" t="s">
        <v>2661</v>
      </c>
      <c r="G1127" s="10" t="s">
        <v>6</v>
      </c>
      <c r="H1127" s="10" t="s">
        <v>217</v>
      </c>
      <c r="I1127" s="10" t="s">
        <v>2119</v>
      </c>
      <c r="J1127" s="10" t="s">
        <v>2117</v>
      </c>
      <c r="K1127" s="26">
        <v>3</v>
      </c>
      <c r="L1127" s="26">
        <v>3</v>
      </c>
      <c r="N1127" s="10">
        <v>36972</v>
      </c>
      <c r="P1127" s="10">
        <v>3990</v>
      </c>
      <c r="R1127">
        <v>766</v>
      </c>
      <c r="T1127">
        <v>565</v>
      </c>
      <c r="W1127">
        <v>27125</v>
      </c>
      <c r="Y1127">
        <v>1880</v>
      </c>
      <c r="AA1127">
        <v>641</v>
      </c>
      <c r="AC1127">
        <v>158</v>
      </c>
      <c r="AD1127" s="14">
        <f t="shared" si="148"/>
        <v>0.73366331277723684</v>
      </c>
      <c r="AE1127" s="14">
        <f t="shared" si="149"/>
        <v>0.47117794486215536</v>
      </c>
      <c r="AF1127" s="3">
        <f t="shared" si="152"/>
        <v>0.83681462140992169</v>
      </c>
      <c r="AG1127" s="3">
        <f t="shared" si="153"/>
        <v>0.27964601769911507</v>
      </c>
      <c r="AI1127" s="3">
        <f t="shared" si="154"/>
        <v>2.3213018967484289</v>
      </c>
      <c r="AS1127" t="s">
        <v>3</v>
      </c>
      <c r="AT1127" t="s">
        <v>2</v>
      </c>
      <c r="AU1127" s="10" t="s">
        <v>2</v>
      </c>
      <c r="AV1127" s="10" t="s">
        <v>3</v>
      </c>
    </row>
    <row r="1128" spans="1:48" x14ac:dyDescent="0.3">
      <c r="A1128" s="23" t="s">
        <v>2113</v>
      </c>
      <c r="B1128" s="10" t="s">
        <v>759</v>
      </c>
      <c r="D1128" s="10" t="s">
        <v>2114</v>
      </c>
      <c r="E1128" s="10">
        <v>1998</v>
      </c>
      <c r="F1128" t="s">
        <v>2661</v>
      </c>
      <c r="G1128" s="10" t="s">
        <v>6</v>
      </c>
      <c r="H1128" s="10" t="s">
        <v>217</v>
      </c>
      <c r="I1128" s="10" t="s">
        <v>2120</v>
      </c>
      <c r="J1128" s="10" t="s">
        <v>2117</v>
      </c>
      <c r="K1128" s="26">
        <v>3</v>
      </c>
      <c r="L1128" s="26">
        <v>3</v>
      </c>
      <c r="N1128" s="10">
        <v>36972</v>
      </c>
      <c r="P1128" s="10">
        <v>3990</v>
      </c>
      <c r="R1128">
        <v>766</v>
      </c>
      <c r="T1128">
        <v>565</v>
      </c>
      <c r="W1128">
        <v>25533</v>
      </c>
      <c r="Y1128">
        <v>1774</v>
      </c>
      <c r="AA1128">
        <v>510</v>
      </c>
      <c r="AC1128">
        <v>100</v>
      </c>
      <c r="AD1128" s="14">
        <f t="shared" si="148"/>
        <v>0.69060370009737093</v>
      </c>
      <c r="AE1128" s="14">
        <f t="shared" ref="AE1128:AE1159" si="155">Y1128/P1128</f>
        <v>0.44461152882205512</v>
      </c>
      <c r="AF1128" s="3">
        <f t="shared" si="152"/>
        <v>0.66579634464751958</v>
      </c>
      <c r="AG1128" s="3">
        <f t="shared" si="153"/>
        <v>0.17699115044247787</v>
      </c>
      <c r="AI1128" s="3">
        <f t="shared" si="154"/>
        <v>1.9780027240094238</v>
      </c>
      <c r="AS1128" t="s">
        <v>3</v>
      </c>
      <c r="AT1128" t="s">
        <v>2</v>
      </c>
      <c r="AU1128" s="10" t="s">
        <v>2</v>
      </c>
      <c r="AV1128" s="10" t="s">
        <v>3</v>
      </c>
    </row>
    <row r="1129" spans="1:48" x14ac:dyDescent="0.3">
      <c r="A1129" s="23" t="s">
        <v>2113</v>
      </c>
      <c r="B1129" s="10" t="s">
        <v>759</v>
      </c>
      <c r="D1129" s="10" t="s">
        <v>2114</v>
      </c>
      <c r="E1129" s="10">
        <v>1998</v>
      </c>
      <c r="F1129" t="s">
        <v>2661</v>
      </c>
      <c r="G1129" s="10" t="s">
        <v>6</v>
      </c>
      <c r="H1129" s="10" t="s">
        <v>217</v>
      </c>
      <c r="I1129" s="10" t="s">
        <v>2121</v>
      </c>
      <c r="J1129" s="10" t="s">
        <v>2117</v>
      </c>
      <c r="K1129" s="26">
        <v>3</v>
      </c>
      <c r="L1129" s="26">
        <v>3</v>
      </c>
      <c r="N1129" s="10">
        <v>21528</v>
      </c>
      <c r="P1129" s="10">
        <v>3990</v>
      </c>
      <c r="R1129">
        <v>766</v>
      </c>
      <c r="T1129">
        <v>565</v>
      </c>
      <c r="W1129">
        <v>9907</v>
      </c>
      <c r="Y1129">
        <v>2724</v>
      </c>
      <c r="AA1129">
        <v>666</v>
      </c>
      <c r="AC1129">
        <v>334</v>
      </c>
      <c r="AD1129" s="14">
        <f t="shared" si="148"/>
        <v>0.46019137866963955</v>
      </c>
      <c r="AE1129" s="14">
        <f t="shared" si="155"/>
        <v>0.68270676691729326</v>
      </c>
      <c r="AF1129" s="3">
        <f t="shared" si="152"/>
        <v>0.86945169712793735</v>
      </c>
      <c r="AG1129" s="3">
        <f t="shared" si="153"/>
        <v>0.59115044247787607</v>
      </c>
      <c r="AI1129" s="3">
        <f t="shared" si="154"/>
        <v>2.6035002851927462</v>
      </c>
      <c r="AS1129" t="s">
        <v>3</v>
      </c>
      <c r="AT1129" t="s">
        <v>2</v>
      </c>
      <c r="AU1129" s="10" t="s">
        <v>2</v>
      </c>
      <c r="AV1129" s="10" t="s">
        <v>3</v>
      </c>
    </row>
    <row r="1130" spans="1:48" x14ac:dyDescent="0.3">
      <c r="A1130" s="23" t="s">
        <v>2113</v>
      </c>
      <c r="B1130" s="10" t="s">
        <v>759</v>
      </c>
      <c r="D1130" s="10" t="s">
        <v>2114</v>
      </c>
      <c r="E1130" s="10">
        <v>1998</v>
      </c>
      <c r="F1130" t="s">
        <v>2661</v>
      </c>
      <c r="G1130" s="10" t="s">
        <v>6</v>
      </c>
      <c r="H1130" s="10" t="s">
        <v>217</v>
      </c>
      <c r="I1130" s="10" t="s">
        <v>2122</v>
      </c>
      <c r="J1130" s="10" t="s">
        <v>2117</v>
      </c>
      <c r="K1130" s="26">
        <v>3</v>
      </c>
      <c r="L1130" s="26">
        <v>3</v>
      </c>
      <c r="N1130" s="10">
        <v>21528</v>
      </c>
      <c r="P1130" s="10">
        <v>3990</v>
      </c>
      <c r="R1130">
        <v>766</v>
      </c>
      <c r="T1130">
        <v>565</v>
      </c>
      <c r="W1130">
        <v>9917</v>
      </c>
      <c r="Y1130">
        <v>2244</v>
      </c>
      <c r="AA1130">
        <v>616</v>
      </c>
      <c r="AC1130">
        <v>414</v>
      </c>
      <c r="AD1130" s="14">
        <f t="shared" si="148"/>
        <v>0.4606558900037161</v>
      </c>
      <c r="AE1130" s="14">
        <f t="shared" si="155"/>
        <v>0.56240601503759402</v>
      </c>
      <c r="AF1130" s="3">
        <f t="shared" si="152"/>
        <v>0.80417754569190603</v>
      </c>
      <c r="AG1130" s="3">
        <f t="shared" si="153"/>
        <v>0.73274336283185837</v>
      </c>
      <c r="AI1130" s="3">
        <f t="shared" si="154"/>
        <v>2.5599828135650746</v>
      </c>
      <c r="AS1130" t="s">
        <v>3</v>
      </c>
      <c r="AT1130" t="s">
        <v>2</v>
      </c>
      <c r="AU1130" s="10" t="s">
        <v>2</v>
      </c>
      <c r="AV1130" s="10" t="s">
        <v>3</v>
      </c>
    </row>
    <row r="1131" spans="1:48" x14ac:dyDescent="0.3">
      <c r="A1131" s="23" t="s">
        <v>2113</v>
      </c>
      <c r="B1131" s="10" t="s">
        <v>759</v>
      </c>
      <c r="D1131" s="10" t="s">
        <v>2114</v>
      </c>
      <c r="E1131" s="10">
        <v>1998</v>
      </c>
      <c r="F1131" t="s">
        <v>2661</v>
      </c>
      <c r="G1131" s="10" t="s">
        <v>6</v>
      </c>
      <c r="H1131" s="10" t="s">
        <v>217</v>
      </c>
      <c r="I1131" s="10" t="s">
        <v>2123</v>
      </c>
      <c r="J1131" s="10" t="s">
        <v>2117</v>
      </c>
      <c r="K1131" s="26">
        <v>3</v>
      </c>
      <c r="L1131" s="26">
        <v>3</v>
      </c>
      <c r="N1131" s="10">
        <v>21528</v>
      </c>
      <c r="P1131" s="10">
        <v>3990</v>
      </c>
      <c r="R1131">
        <v>766</v>
      </c>
      <c r="T1131">
        <v>565</v>
      </c>
      <c r="W1131">
        <v>7811</v>
      </c>
      <c r="Y1131">
        <v>1642</v>
      </c>
      <c r="AA1131">
        <v>794</v>
      </c>
      <c r="AC1131">
        <v>295</v>
      </c>
      <c r="AD1131" s="14">
        <f t="shared" si="148"/>
        <v>0.36282980304719437</v>
      </c>
      <c r="AE1131" s="14">
        <f t="shared" si="155"/>
        <v>0.41152882205513786</v>
      </c>
      <c r="AF1131" s="3">
        <f t="shared" si="152"/>
        <v>1.0365535248041775</v>
      </c>
      <c r="AG1131" s="3">
        <f t="shared" si="153"/>
        <v>0.52212389380530977</v>
      </c>
      <c r="AI1131" s="3">
        <f t="shared" si="154"/>
        <v>2.3330360437118194</v>
      </c>
      <c r="AS1131" t="s">
        <v>3</v>
      </c>
      <c r="AT1131" t="s">
        <v>2</v>
      </c>
      <c r="AU1131" s="10" t="s">
        <v>2</v>
      </c>
      <c r="AV1131" s="10" t="s">
        <v>3</v>
      </c>
    </row>
    <row r="1132" spans="1:48" x14ac:dyDescent="0.3">
      <c r="A1132" s="23" t="s">
        <v>2113</v>
      </c>
      <c r="B1132" s="10" t="s">
        <v>759</v>
      </c>
      <c r="D1132" s="10" t="s">
        <v>2114</v>
      </c>
      <c r="E1132" s="10">
        <v>1999</v>
      </c>
      <c r="F1132" t="s">
        <v>2661</v>
      </c>
      <c r="G1132" s="10" t="s">
        <v>6</v>
      </c>
      <c r="H1132" s="10" t="s">
        <v>217</v>
      </c>
      <c r="I1132" s="10" t="s">
        <v>2118</v>
      </c>
      <c r="J1132" s="10" t="s">
        <v>2117</v>
      </c>
      <c r="K1132" s="26">
        <v>3</v>
      </c>
      <c r="L1132" s="26">
        <v>3</v>
      </c>
      <c r="N1132" s="10">
        <v>28681</v>
      </c>
      <c r="P1132" s="10">
        <v>5741</v>
      </c>
      <c r="R1132">
        <v>1218</v>
      </c>
      <c r="W1132">
        <v>31000</v>
      </c>
      <c r="Y1132">
        <v>2624</v>
      </c>
      <c r="AA1132">
        <v>128</v>
      </c>
      <c r="AD1132" s="14">
        <f t="shared" si="148"/>
        <v>1.0808549213765211</v>
      </c>
      <c r="AE1132" s="14">
        <f t="shared" si="155"/>
        <v>0.45706322940254313</v>
      </c>
      <c r="AF1132" s="3">
        <f t="shared" si="152"/>
        <v>0.10509031198686371</v>
      </c>
      <c r="AG1132" s="3"/>
      <c r="AI1132" s="3">
        <f t="shared" si="154"/>
        <v>1.643008462765928</v>
      </c>
      <c r="AS1132" t="s">
        <v>3</v>
      </c>
      <c r="AT1132" t="s">
        <v>2</v>
      </c>
      <c r="AU1132" s="10" t="s">
        <v>2</v>
      </c>
      <c r="AV1132" s="10" t="s">
        <v>3</v>
      </c>
    </row>
    <row r="1133" spans="1:48" x14ac:dyDescent="0.3">
      <c r="A1133" s="23" t="s">
        <v>2113</v>
      </c>
      <c r="B1133" s="10" t="s">
        <v>759</v>
      </c>
      <c r="D1133" s="10" t="s">
        <v>2114</v>
      </c>
      <c r="E1133" s="10">
        <v>1999</v>
      </c>
      <c r="F1133" t="s">
        <v>2661</v>
      </c>
      <c r="G1133" s="10" t="s">
        <v>6</v>
      </c>
      <c r="H1133" s="10" t="s">
        <v>217</v>
      </c>
      <c r="I1133" s="10" t="s">
        <v>2119</v>
      </c>
      <c r="J1133" s="10" t="s">
        <v>2117</v>
      </c>
      <c r="K1133" s="26">
        <v>3</v>
      </c>
      <c r="L1133" s="26">
        <v>3</v>
      </c>
      <c r="N1133" s="10">
        <v>28681</v>
      </c>
      <c r="P1133" s="10">
        <v>5741</v>
      </c>
      <c r="R1133">
        <v>1218</v>
      </c>
      <c r="W1133">
        <v>18389</v>
      </c>
      <c r="Y1133">
        <v>1989</v>
      </c>
      <c r="AA1133">
        <v>344</v>
      </c>
      <c r="AD1133" s="14">
        <f t="shared" si="148"/>
        <v>0.64115616610299497</v>
      </c>
      <c r="AE1133" s="14">
        <f t="shared" si="155"/>
        <v>0.34645532137258317</v>
      </c>
      <c r="AF1133" s="3">
        <f t="shared" si="152"/>
        <v>0.28243021346469621</v>
      </c>
      <c r="AG1133" s="3"/>
      <c r="AI1133" s="3">
        <f t="shared" si="154"/>
        <v>1.2700417009402742</v>
      </c>
      <c r="AS1133" t="s">
        <v>3</v>
      </c>
      <c r="AT1133" t="s">
        <v>2</v>
      </c>
      <c r="AU1133" s="10" t="s">
        <v>2</v>
      </c>
      <c r="AV1133" s="10" t="s">
        <v>3</v>
      </c>
    </row>
    <row r="1134" spans="1:48" x14ac:dyDescent="0.3">
      <c r="A1134" s="23" t="s">
        <v>2113</v>
      </c>
      <c r="B1134" s="10" t="s">
        <v>759</v>
      </c>
      <c r="D1134" s="10" t="s">
        <v>2114</v>
      </c>
      <c r="E1134" s="10">
        <v>1999</v>
      </c>
      <c r="F1134" t="s">
        <v>2661</v>
      </c>
      <c r="G1134" s="10" t="s">
        <v>6</v>
      </c>
      <c r="H1134" s="10" t="s">
        <v>217</v>
      </c>
      <c r="I1134" s="10" t="s">
        <v>2120</v>
      </c>
      <c r="J1134" s="10" t="s">
        <v>2117</v>
      </c>
      <c r="K1134" s="26">
        <v>3</v>
      </c>
      <c r="L1134" s="26">
        <v>3</v>
      </c>
      <c r="N1134" s="10">
        <v>28681</v>
      </c>
      <c r="P1134" s="10">
        <v>5741</v>
      </c>
      <c r="R1134">
        <v>1218</v>
      </c>
      <c r="W1134">
        <v>22133</v>
      </c>
      <c r="Y1134">
        <v>1564</v>
      </c>
      <c r="AA1134">
        <v>399</v>
      </c>
      <c r="AD1134" s="14">
        <f t="shared" si="148"/>
        <v>0.77169554757504966</v>
      </c>
      <c r="AE1134" s="14">
        <f t="shared" si="155"/>
        <v>0.27242640654938166</v>
      </c>
      <c r="AF1134" s="3">
        <f t="shared" si="152"/>
        <v>0.32758620689655171</v>
      </c>
      <c r="AG1134" s="3"/>
      <c r="AI1134" s="3">
        <f t="shared" si="154"/>
        <v>1.3717081610209831</v>
      </c>
      <c r="AS1134" t="s">
        <v>3</v>
      </c>
      <c r="AT1134" t="s">
        <v>2</v>
      </c>
      <c r="AU1134" s="10" t="s">
        <v>2</v>
      </c>
      <c r="AV1134" s="10" t="s">
        <v>3</v>
      </c>
    </row>
    <row r="1135" spans="1:48" x14ac:dyDescent="0.3">
      <c r="A1135" s="23" t="s">
        <v>2113</v>
      </c>
      <c r="B1135" s="10" t="s">
        <v>759</v>
      </c>
      <c r="D1135" s="10" t="s">
        <v>2114</v>
      </c>
      <c r="E1135" s="10">
        <v>1999</v>
      </c>
      <c r="F1135" t="s">
        <v>2661</v>
      </c>
      <c r="G1135" s="10" t="s">
        <v>6</v>
      </c>
      <c r="H1135" s="10" t="s">
        <v>217</v>
      </c>
      <c r="I1135" s="10" t="s">
        <v>2121</v>
      </c>
      <c r="J1135" s="10" t="s">
        <v>2117</v>
      </c>
      <c r="K1135" s="26">
        <v>3</v>
      </c>
      <c r="L1135" s="26">
        <v>3</v>
      </c>
      <c r="N1135" s="10">
        <v>12083</v>
      </c>
      <c r="P1135" s="10">
        <v>5741</v>
      </c>
      <c r="R1135">
        <v>1218</v>
      </c>
      <c r="W1135">
        <v>9185</v>
      </c>
      <c r="Y1135">
        <v>3014</v>
      </c>
      <c r="AA1135">
        <v>284</v>
      </c>
      <c r="AD1135" s="14">
        <f t="shared" si="148"/>
        <v>0.76015890093519822</v>
      </c>
      <c r="AE1135" s="14">
        <f t="shared" si="155"/>
        <v>0.52499564535795162</v>
      </c>
      <c r="AF1135" s="3">
        <f t="shared" si="152"/>
        <v>0.23316912972085385</v>
      </c>
      <c r="AG1135" s="3"/>
      <c r="AI1135" s="3">
        <f t="shared" si="154"/>
        <v>1.5183236760140035</v>
      </c>
      <c r="AS1135" t="s">
        <v>3</v>
      </c>
      <c r="AT1135" t="s">
        <v>2</v>
      </c>
      <c r="AU1135" s="10" t="s">
        <v>2</v>
      </c>
      <c r="AV1135" s="10" t="s">
        <v>3</v>
      </c>
    </row>
    <row r="1136" spans="1:48" x14ac:dyDescent="0.3">
      <c r="A1136" s="23" t="s">
        <v>2113</v>
      </c>
      <c r="B1136" s="10" t="s">
        <v>759</v>
      </c>
      <c r="D1136" s="10" t="s">
        <v>2114</v>
      </c>
      <c r="E1136" s="10">
        <v>1999</v>
      </c>
      <c r="F1136" t="s">
        <v>2661</v>
      </c>
      <c r="G1136" s="10" t="s">
        <v>6</v>
      </c>
      <c r="H1136" s="10" t="s">
        <v>217</v>
      </c>
      <c r="I1136" s="10" t="s">
        <v>2122</v>
      </c>
      <c r="J1136" s="10" t="s">
        <v>2117</v>
      </c>
      <c r="K1136" s="26">
        <v>3</v>
      </c>
      <c r="L1136" s="26">
        <v>3</v>
      </c>
      <c r="N1136" s="10">
        <v>12083</v>
      </c>
      <c r="P1136" s="10">
        <v>5741</v>
      </c>
      <c r="R1136">
        <v>1218</v>
      </c>
      <c r="W1136">
        <v>6528</v>
      </c>
      <c r="Y1136">
        <v>2678</v>
      </c>
      <c r="AA1136">
        <v>545</v>
      </c>
      <c r="AD1136" s="14">
        <f t="shared" si="148"/>
        <v>0.54026317967392201</v>
      </c>
      <c r="AE1136" s="14">
        <f t="shared" si="155"/>
        <v>0.46646925622713814</v>
      </c>
      <c r="AF1136" s="3">
        <f t="shared" si="152"/>
        <v>0.44745484400656815</v>
      </c>
      <c r="AG1136" s="3"/>
      <c r="AI1136" s="3">
        <f t="shared" si="154"/>
        <v>1.4541872799076283</v>
      </c>
      <c r="AS1136" t="s">
        <v>3</v>
      </c>
      <c r="AT1136" t="s">
        <v>2</v>
      </c>
      <c r="AU1136" s="10" t="s">
        <v>2</v>
      </c>
      <c r="AV1136" s="10" t="s">
        <v>3</v>
      </c>
    </row>
    <row r="1137" spans="1:48" x14ac:dyDescent="0.3">
      <c r="A1137" s="23" t="s">
        <v>2113</v>
      </c>
      <c r="B1137" s="10" t="s">
        <v>759</v>
      </c>
      <c r="D1137" s="10" t="s">
        <v>2114</v>
      </c>
      <c r="E1137" s="10">
        <v>1999</v>
      </c>
      <c r="F1137" t="s">
        <v>2661</v>
      </c>
      <c r="G1137" s="10" t="s">
        <v>6</v>
      </c>
      <c r="H1137" s="10" t="s">
        <v>217</v>
      </c>
      <c r="I1137" s="10" t="s">
        <v>2123</v>
      </c>
      <c r="J1137" s="10" t="s">
        <v>2117</v>
      </c>
      <c r="K1137" s="26">
        <v>3</v>
      </c>
      <c r="L1137" s="26">
        <v>3</v>
      </c>
      <c r="N1137" s="10">
        <v>12083</v>
      </c>
      <c r="P1137" s="10">
        <v>5741</v>
      </c>
      <c r="R1137">
        <v>1218</v>
      </c>
      <c r="W1137">
        <v>6533</v>
      </c>
      <c r="Y1137">
        <v>2067</v>
      </c>
      <c r="AA1137">
        <v>603</v>
      </c>
      <c r="AD1137" s="14">
        <f t="shared" si="148"/>
        <v>0.54067698419266741</v>
      </c>
      <c r="AE1137" s="14">
        <f t="shared" si="155"/>
        <v>0.36004180456366486</v>
      </c>
      <c r="AF1137" s="3">
        <f t="shared" si="152"/>
        <v>0.49507389162561577</v>
      </c>
      <c r="AG1137" s="3"/>
      <c r="AI1137" s="3">
        <f t="shared" si="154"/>
        <v>1.395792680381948</v>
      </c>
      <c r="AS1137" t="s">
        <v>3</v>
      </c>
      <c r="AT1137" t="s">
        <v>2</v>
      </c>
      <c r="AU1137" s="10" t="s">
        <v>2</v>
      </c>
      <c r="AV1137" s="10" t="s">
        <v>3</v>
      </c>
    </row>
    <row r="1138" spans="1:48" x14ac:dyDescent="0.3">
      <c r="A1138" s="23" t="s">
        <v>2113</v>
      </c>
      <c r="B1138" s="10" t="s">
        <v>759</v>
      </c>
      <c r="D1138" s="10" t="s">
        <v>2116</v>
      </c>
      <c r="E1138" s="10">
        <v>1999</v>
      </c>
      <c r="F1138" t="s">
        <v>2661</v>
      </c>
      <c r="G1138" s="10" t="s">
        <v>6</v>
      </c>
      <c r="H1138" s="10" t="s">
        <v>217</v>
      </c>
      <c r="I1138" s="10" t="s">
        <v>2118</v>
      </c>
      <c r="J1138" s="10" t="s">
        <v>2117</v>
      </c>
      <c r="K1138" s="26">
        <v>3</v>
      </c>
      <c r="L1138" s="26">
        <v>3</v>
      </c>
      <c r="N1138" s="10">
        <v>41361</v>
      </c>
      <c r="P1138" s="10">
        <v>6460</v>
      </c>
      <c r="R1138">
        <v>1381</v>
      </c>
      <c r="T1138">
        <v>332</v>
      </c>
      <c r="W1138">
        <v>33074</v>
      </c>
      <c r="Y1138">
        <v>3731</v>
      </c>
      <c r="AA1138">
        <v>393</v>
      </c>
      <c r="AC1138">
        <v>10</v>
      </c>
      <c r="AD1138" s="14">
        <f t="shared" si="148"/>
        <v>0.79964217499576895</v>
      </c>
      <c r="AE1138" s="14">
        <f t="shared" si="155"/>
        <v>0.57755417956656352</v>
      </c>
      <c r="AF1138" s="3">
        <f t="shared" si="152"/>
        <v>0.2845763939174511</v>
      </c>
      <c r="AG1138" s="3">
        <f t="shared" ref="AG1138:AG1143" si="156">AC1138/T1138</f>
        <v>3.0120481927710843E-2</v>
      </c>
      <c r="AI1138" s="3">
        <f t="shared" si="154"/>
        <v>1.6918932304074943</v>
      </c>
      <c r="AS1138" t="s">
        <v>3</v>
      </c>
      <c r="AT1138" t="s">
        <v>2</v>
      </c>
      <c r="AU1138" s="10" t="s">
        <v>2</v>
      </c>
      <c r="AV1138" s="10" t="s">
        <v>3</v>
      </c>
    </row>
    <row r="1139" spans="1:48" x14ac:dyDescent="0.3">
      <c r="A1139" s="23" t="s">
        <v>2113</v>
      </c>
      <c r="B1139" s="10" t="s">
        <v>759</v>
      </c>
      <c r="D1139" s="10" t="s">
        <v>2116</v>
      </c>
      <c r="E1139" s="10">
        <v>1999</v>
      </c>
      <c r="F1139" t="s">
        <v>2661</v>
      </c>
      <c r="G1139" s="10" t="s">
        <v>6</v>
      </c>
      <c r="H1139" s="10" t="s">
        <v>217</v>
      </c>
      <c r="I1139" s="10" t="s">
        <v>2119</v>
      </c>
      <c r="J1139" s="10" t="s">
        <v>2117</v>
      </c>
      <c r="K1139" s="26">
        <v>3</v>
      </c>
      <c r="L1139" s="26">
        <v>3</v>
      </c>
      <c r="N1139" s="10">
        <v>41361</v>
      </c>
      <c r="P1139" s="10">
        <v>6460</v>
      </c>
      <c r="R1139">
        <v>1381</v>
      </c>
      <c r="T1139">
        <v>332</v>
      </c>
      <c r="W1139">
        <v>31667</v>
      </c>
      <c r="Y1139">
        <v>2860</v>
      </c>
      <c r="AA1139">
        <v>462</v>
      </c>
      <c r="AC1139">
        <v>108</v>
      </c>
      <c r="AD1139" s="14">
        <f t="shared" si="148"/>
        <v>0.76562462222866956</v>
      </c>
      <c r="AE1139" s="14">
        <f t="shared" si="155"/>
        <v>0.44272445820433437</v>
      </c>
      <c r="AF1139" s="3">
        <f t="shared" si="152"/>
        <v>0.33454018826937004</v>
      </c>
      <c r="AG1139" s="3">
        <f t="shared" si="156"/>
        <v>0.3253012048192771</v>
      </c>
      <c r="AI1139" s="3">
        <f t="shared" si="154"/>
        <v>1.868190473521651</v>
      </c>
      <c r="AS1139" t="s">
        <v>3</v>
      </c>
      <c r="AT1139" t="s">
        <v>2</v>
      </c>
      <c r="AU1139" s="10" t="s">
        <v>2</v>
      </c>
      <c r="AV1139" s="10" t="s">
        <v>3</v>
      </c>
    </row>
    <row r="1140" spans="1:48" x14ac:dyDescent="0.3">
      <c r="A1140" s="23" t="s">
        <v>2113</v>
      </c>
      <c r="B1140" s="10" t="s">
        <v>759</v>
      </c>
      <c r="D1140" s="10" t="s">
        <v>2116</v>
      </c>
      <c r="E1140" s="10">
        <v>1999</v>
      </c>
      <c r="F1140" t="s">
        <v>2661</v>
      </c>
      <c r="G1140" s="10" t="s">
        <v>6</v>
      </c>
      <c r="H1140" s="10" t="s">
        <v>217</v>
      </c>
      <c r="I1140" s="10" t="s">
        <v>2120</v>
      </c>
      <c r="J1140" s="10" t="s">
        <v>2117</v>
      </c>
      <c r="K1140" s="26">
        <v>3</v>
      </c>
      <c r="L1140" s="26">
        <v>3</v>
      </c>
      <c r="N1140" s="10">
        <v>41361</v>
      </c>
      <c r="P1140" s="10">
        <v>6460</v>
      </c>
      <c r="R1140">
        <v>1381</v>
      </c>
      <c r="T1140">
        <v>332</v>
      </c>
      <c r="W1140">
        <v>27133</v>
      </c>
      <c r="Y1140">
        <v>1946</v>
      </c>
      <c r="AA1140">
        <v>599</v>
      </c>
      <c r="AC1140">
        <v>59</v>
      </c>
      <c r="AD1140" s="14">
        <f t="shared" si="148"/>
        <v>0.6560044486351877</v>
      </c>
      <c r="AE1140" s="14">
        <f t="shared" si="155"/>
        <v>0.30123839009287928</v>
      </c>
      <c r="AF1140" s="3">
        <f t="shared" si="152"/>
        <v>0.43374366401158582</v>
      </c>
      <c r="AG1140" s="3">
        <f t="shared" si="156"/>
        <v>0.17771084337349397</v>
      </c>
      <c r="AI1140" s="3">
        <f t="shared" si="154"/>
        <v>1.5686973461131468</v>
      </c>
      <c r="AS1140" t="s">
        <v>3</v>
      </c>
      <c r="AT1140" t="s">
        <v>2</v>
      </c>
      <c r="AU1140" s="10" t="s">
        <v>2</v>
      </c>
      <c r="AV1140" s="10" t="s">
        <v>3</v>
      </c>
    </row>
    <row r="1141" spans="1:48" x14ac:dyDescent="0.3">
      <c r="A1141" s="23" t="s">
        <v>2113</v>
      </c>
      <c r="B1141" s="10" t="s">
        <v>759</v>
      </c>
      <c r="D1141" s="10" t="s">
        <v>2116</v>
      </c>
      <c r="E1141" s="10">
        <v>1999</v>
      </c>
      <c r="F1141" t="s">
        <v>2661</v>
      </c>
      <c r="G1141" s="10" t="s">
        <v>6</v>
      </c>
      <c r="H1141" s="10" t="s">
        <v>217</v>
      </c>
      <c r="I1141" s="10" t="s">
        <v>2121</v>
      </c>
      <c r="J1141" s="10" t="s">
        <v>2117</v>
      </c>
      <c r="K1141" s="26">
        <v>3</v>
      </c>
      <c r="L1141" s="26">
        <v>3</v>
      </c>
      <c r="N1141" s="10">
        <v>23750</v>
      </c>
      <c r="P1141" s="10">
        <v>6460</v>
      </c>
      <c r="R1141">
        <v>1381</v>
      </c>
      <c r="T1141">
        <v>332</v>
      </c>
      <c r="W1141">
        <v>13074</v>
      </c>
      <c r="Y1141">
        <v>3677</v>
      </c>
      <c r="AA1141">
        <v>303</v>
      </c>
      <c r="AC1141">
        <v>156</v>
      </c>
      <c r="AD1141" s="14">
        <f t="shared" si="148"/>
        <v>0.5504842105263158</v>
      </c>
      <c r="AE1141" s="14">
        <f t="shared" si="155"/>
        <v>0.56919504643962848</v>
      </c>
      <c r="AF1141" s="3">
        <f t="shared" si="152"/>
        <v>0.21940622737146995</v>
      </c>
      <c r="AG1141" s="3">
        <f t="shared" si="156"/>
        <v>0.46987951807228917</v>
      </c>
      <c r="AI1141" s="3">
        <f t="shared" si="154"/>
        <v>1.8089650024097033</v>
      </c>
      <c r="AS1141" t="s">
        <v>3</v>
      </c>
      <c r="AT1141" t="s">
        <v>2</v>
      </c>
      <c r="AU1141" s="10" t="s">
        <v>2</v>
      </c>
      <c r="AV1141" s="10" t="s">
        <v>3</v>
      </c>
    </row>
    <row r="1142" spans="1:48" x14ac:dyDescent="0.3">
      <c r="A1142" s="23" t="s">
        <v>2113</v>
      </c>
      <c r="B1142" s="10" t="s">
        <v>759</v>
      </c>
      <c r="D1142" s="10" t="s">
        <v>2116</v>
      </c>
      <c r="E1142" s="10">
        <v>1999</v>
      </c>
      <c r="F1142" t="s">
        <v>2661</v>
      </c>
      <c r="G1142" s="10" t="s">
        <v>6</v>
      </c>
      <c r="H1142" s="10" t="s">
        <v>217</v>
      </c>
      <c r="I1142" s="10" t="s">
        <v>2122</v>
      </c>
      <c r="J1142" s="10" t="s">
        <v>2117</v>
      </c>
      <c r="K1142" s="26">
        <v>3</v>
      </c>
      <c r="L1142" s="26">
        <v>3</v>
      </c>
      <c r="N1142" s="10">
        <v>23750</v>
      </c>
      <c r="P1142" s="10">
        <v>6460</v>
      </c>
      <c r="R1142">
        <v>1381</v>
      </c>
      <c r="T1142">
        <v>332</v>
      </c>
      <c r="W1142">
        <v>14472</v>
      </c>
      <c r="Y1142">
        <v>2967</v>
      </c>
      <c r="AA1142">
        <v>505</v>
      </c>
      <c r="AC1142">
        <v>182</v>
      </c>
      <c r="AD1142" s="14">
        <f t="shared" si="148"/>
        <v>0.60934736842105264</v>
      </c>
      <c r="AE1142" s="14">
        <f t="shared" si="155"/>
        <v>0.45928792569659443</v>
      </c>
      <c r="AF1142" s="3">
        <f t="shared" si="152"/>
        <v>0.36567704561911657</v>
      </c>
      <c r="AG1142" s="3">
        <f t="shared" si="156"/>
        <v>0.54819277108433739</v>
      </c>
      <c r="AI1142" s="3">
        <f t="shared" si="154"/>
        <v>1.9825051108211009</v>
      </c>
      <c r="AS1142" t="s">
        <v>3</v>
      </c>
      <c r="AT1142" t="s">
        <v>2</v>
      </c>
      <c r="AU1142" s="10" t="s">
        <v>2</v>
      </c>
      <c r="AV1142" s="10" t="s">
        <v>3</v>
      </c>
    </row>
    <row r="1143" spans="1:48" x14ac:dyDescent="0.3">
      <c r="A1143" s="23" t="s">
        <v>2113</v>
      </c>
      <c r="B1143" s="10" t="s">
        <v>759</v>
      </c>
      <c r="D1143" s="10" t="s">
        <v>2116</v>
      </c>
      <c r="E1143" s="10">
        <v>1999</v>
      </c>
      <c r="F1143" t="s">
        <v>2661</v>
      </c>
      <c r="G1143" s="10" t="s">
        <v>6</v>
      </c>
      <c r="H1143" s="10" t="s">
        <v>217</v>
      </c>
      <c r="I1143" s="10" t="s">
        <v>2123</v>
      </c>
      <c r="J1143" s="10" t="s">
        <v>2117</v>
      </c>
      <c r="K1143" s="26">
        <v>3</v>
      </c>
      <c r="L1143" s="26">
        <v>3</v>
      </c>
      <c r="N1143" s="10">
        <v>23750</v>
      </c>
      <c r="P1143" s="10">
        <v>6460</v>
      </c>
      <c r="R1143">
        <v>1381</v>
      </c>
      <c r="T1143">
        <v>332</v>
      </c>
      <c r="W1143">
        <v>14422</v>
      </c>
      <c r="Y1143">
        <v>2118</v>
      </c>
      <c r="AA1143">
        <v>576</v>
      </c>
      <c r="AC1143">
        <v>172</v>
      </c>
      <c r="AD1143" s="14">
        <f t="shared" si="148"/>
        <v>0.60724210526315792</v>
      </c>
      <c r="AE1143" s="14">
        <f t="shared" si="155"/>
        <v>0.32786377708978326</v>
      </c>
      <c r="AF1143" s="3">
        <f t="shared" si="152"/>
        <v>0.41708906589427952</v>
      </c>
      <c r="AG1143" s="3">
        <f t="shared" si="156"/>
        <v>0.51807228915662651</v>
      </c>
      <c r="AI1143" s="3">
        <f t="shared" si="154"/>
        <v>1.8702672374038471</v>
      </c>
      <c r="AS1143" t="s">
        <v>3</v>
      </c>
      <c r="AT1143" t="s">
        <v>2</v>
      </c>
      <c r="AU1143" s="10" t="s">
        <v>2</v>
      </c>
      <c r="AV1143" s="10" t="s">
        <v>3</v>
      </c>
    </row>
    <row r="1144" spans="1:48" x14ac:dyDescent="0.3">
      <c r="A1144" s="6" t="s">
        <v>2097</v>
      </c>
      <c r="B1144" s="10" t="s">
        <v>2124</v>
      </c>
      <c r="C1144" t="s">
        <v>2125</v>
      </c>
      <c r="D1144" s="10" t="s">
        <v>2126</v>
      </c>
      <c r="E1144" s="10">
        <v>2003</v>
      </c>
      <c r="F1144" t="s">
        <v>2661</v>
      </c>
      <c r="G1144" s="10" t="s">
        <v>34</v>
      </c>
      <c r="H1144" s="10" t="s">
        <v>217</v>
      </c>
      <c r="I1144" s="10" t="s">
        <v>2127</v>
      </c>
      <c r="J1144" s="10" t="s">
        <v>201</v>
      </c>
      <c r="K1144" s="26">
        <v>3</v>
      </c>
      <c r="L1144" s="26">
        <v>3</v>
      </c>
      <c r="N1144" s="10">
        <v>9452.4</v>
      </c>
      <c r="P1144" s="10">
        <v>2392.9</v>
      </c>
      <c r="W1144">
        <v>7700</v>
      </c>
      <c r="Y1144">
        <v>1300</v>
      </c>
      <c r="AD1144" s="14">
        <f t="shared" si="148"/>
        <v>0.81460793026109779</v>
      </c>
      <c r="AE1144" s="14">
        <f t="shared" si="155"/>
        <v>0.54327385181160937</v>
      </c>
      <c r="AI1144" s="3">
        <f>AD1144+AE1144</f>
        <v>1.3578817820727072</v>
      </c>
      <c r="AS1144" t="s">
        <v>3</v>
      </c>
      <c r="AT1144" t="s">
        <v>3</v>
      </c>
      <c r="AU1144" s="10" t="s">
        <v>2</v>
      </c>
      <c r="AV1144" s="10" t="s">
        <v>3</v>
      </c>
    </row>
    <row r="1145" spans="1:48" x14ac:dyDescent="0.3">
      <c r="A1145" s="6" t="s">
        <v>2097</v>
      </c>
      <c r="B1145" s="10" t="s">
        <v>2124</v>
      </c>
      <c r="C1145" t="s">
        <v>2125</v>
      </c>
      <c r="D1145" s="10" t="s">
        <v>2126</v>
      </c>
      <c r="E1145" s="10">
        <v>2003</v>
      </c>
      <c r="F1145" t="s">
        <v>2661</v>
      </c>
      <c r="G1145" s="10" t="s">
        <v>34</v>
      </c>
      <c r="H1145" s="10" t="s">
        <v>217</v>
      </c>
      <c r="I1145" s="10" t="s">
        <v>2128</v>
      </c>
      <c r="J1145" s="10" t="s">
        <v>201</v>
      </c>
      <c r="K1145" s="26">
        <v>3</v>
      </c>
      <c r="L1145" s="26">
        <v>3</v>
      </c>
      <c r="N1145" s="10">
        <v>8197.6</v>
      </c>
      <c r="P1145" s="10">
        <v>2392.9</v>
      </c>
      <c r="W1145">
        <v>7961.9</v>
      </c>
      <c r="Y1145">
        <v>1519</v>
      </c>
      <c r="AD1145" s="14">
        <f t="shared" si="148"/>
        <v>0.97124768224846292</v>
      </c>
      <c r="AE1145" s="14">
        <f t="shared" si="155"/>
        <v>0.63479460069371885</v>
      </c>
      <c r="AI1145" s="3">
        <f t="shared" ref="AI1145:AI1208" si="157">AD1145+AE1145</f>
        <v>1.6060422829421817</v>
      </c>
      <c r="AS1145" t="s">
        <v>3</v>
      </c>
      <c r="AT1145" t="s">
        <v>3</v>
      </c>
      <c r="AU1145" s="10" t="s">
        <v>2</v>
      </c>
      <c r="AV1145" s="10" t="s">
        <v>3</v>
      </c>
    </row>
    <row r="1146" spans="1:48" x14ac:dyDescent="0.3">
      <c r="A1146" s="6" t="s">
        <v>2097</v>
      </c>
      <c r="B1146" s="10" t="s">
        <v>2124</v>
      </c>
      <c r="C1146" t="s">
        <v>2125</v>
      </c>
      <c r="D1146" s="10" t="s">
        <v>2126</v>
      </c>
      <c r="E1146" s="10">
        <v>2003</v>
      </c>
      <c r="F1146" t="s">
        <v>2661</v>
      </c>
      <c r="G1146" s="10" t="s">
        <v>34</v>
      </c>
      <c r="H1146" s="10" t="s">
        <v>217</v>
      </c>
      <c r="I1146" s="10" t="s">
        <v>2129</v>
      </c>
      <c r="J1146" s="10" t="s">
        <v>201</v>
      </c>
      <c r="K1146" s="26">
        <v>3</v>
      </c>
      <c r="L1146" s="26">
        <v>3</v>
      </c>
      <c r="N1146" s="10">
        <v>10642.9</v>
      </c>
      <c r="P1146" s="10">
        <v>2392.9</v>
      </c>
      <c r="W1146">
        <v>8628.6</v>
      </c>
      <c r="Y1146">
        <v>1176.2</v>
      </c>
      <c r="AD1146" s="14">
        <f t="shared" si="148"/>
        <v>0.81073767488184623</v>
      </c>
      <c r="AE1146" s="14">
        <f t="shared" si="155"/>
        <v>0.49153746500062684</v>
      </c>
      <c r="AI1146" s="3">
        <f t="shared" si="157"/>
        <v>1.302275139882473</v>
      </c>
      <c r="AS1146" t="s">
        <v>3</v>
      </c>
      <c r="AT1146" t="s">
        <v>3</v>
      </c>
      <c r="AU1146" s="10" t="s">
        <v>2</v>
      </c>
      <c r="AV1146" s="10" t="s">
        <v>3</v>
      </c>
    </row>
    <row r="1147" spans="1:48" x14ac:dyDescent="0.3">
      <c r="A1147" s="6" t="s">
        <v>2097</v>
      </c>
      <c r="B1147" s="10" t="s">
        <v>2124</v>
      </c>
      <c r="C1147" t="s">
        <v>2125</v>
      </c>
      <c r="D1147" s="10" t="s">
        <v>2126</v>
      </c>
      <c r="E1147" s="10">
        <v>2003</v>
      </c>
      <c r="F1147" t="s">
        <v>2661</v>
      </c>
      <c r="G1147" s="10" t="s">
        <v>872</v>
      </c>
      <c r="H1147" s="10" t="s">
        <v>217</v>
      </c>
      <c r="I1147" s="10" t="s">
        <v>2127</v>
      </c>
      <c r="J1147" s="10" t="s">
        <v>201</v>
      </c>
      <c r="K1147" s="26">
        <v>3</v>
      </c>
      <c r="L1147" s="26">
        <v>3</v>
      </c>
      <c r="N1147" s="10">
        <v>9452.4</v>
      </c>
      <c r="P1147" s="10">
        <v>2392.9</v>
      </c>
      <c r="W1147">
        <v>8787.6</v>
      </c>
      <c r="Y1147">
        <v>1461.9</v>
      </c>
      <c r="AD1147" s="14">
        <f t="shared" si="148"/>
        <v>0.92966865557953549</v>
      </c>
      <c r="AE1147" s="14">
        <f t="shared" si="155"/>
        <v>0.61093234151030129</v>
      </c>
      <c r="AI1147" s="3">
        <f t="shared" si="157"/>
        <v>1.5406009970898369</v>
      </c>
      <c r="AS1147" t="s">
        <v>3</v>
      </c>
      <c r="AT1147" t="s">
        <v>3</v>
      </c>
      <c r="AU1147" s="10" t="s">
        <v>2</v>
      </c>
      <c r="AV1147" s="10" t="s">
        <v>3</v>
      </c>
    </row>
    <row r="1148" spans="1:48" x14ac:dyDescent="0.3">
      <c r="A1148" s="6" t="s">
        <v>2097</v>
      </c>
      <c r="B1148" s="10" t="s">
        <v>2124</v>
      </c>
      <c r="C1148" t="s">
        <v>2125</v>
      </c>
      <c r="D1148" s="10" t="s">
        <v>2126</v>
      </c>
      <c r="E1148" s="10">
        <v>2003</v>
      </c>
      <c r="F1148" t="s">
        <v>2661</v>
      </c>
      <c r="G1148" s="10" t="s">
        <v>872</v>
      </c>
      <c r="H1148" s="10" t="s">
        <v>217</v>
      </c>
      <c r="I1148" s="10" t="s">
        <v>2128</v>
      </c>
      <c r="J1148" s="10" t="s">
        <v>201</v>
      </c>
      <c r="K1148" s="26">
        <v>3</v>
      </c>
      <c r="L1148" s="26">
        <v>3</v>
      </c>
      <c r="N1148" s="10">
        <v>8197.6</v>
      </c>
      <c r="P1148" s="10">
        <v>2392.9</v>
      </c>
      <c r="W1148">
        <v>7719.1</v>
      </c>
      <c r="Y1148">
        <v>1580.9</v>
      </c>
      <c r="AD1148" s="14">
        <f t="shared" si="148"/>
        <v>0.9416292573436128</v>
      </c>
      <c r="AE1148" s="14">
        <f t="shared" si="155"/>
        <v>0.66066279409921014</v>
      </c>
      <c r="AI1148" s="3">
        <f t="shared" si="157"/>
        <v>1.6022920514428229</v>
      </c>
      <c r="AS1148" t="s">
        <v>3</v>
      </c>
      <c r="AT1148" t="s">
        <v>3</v>
      </c>
      <c r="AU1148" s="10" t="s">
        <v>2</v>
      </c>
      <c r="AV1148" s="10" t="s">
        <v>3</v>
      </c>
    </row>
    <row r="1149" spans="1:48" x14ac:dyDescent="0.3">
      <c r="A1149" s="6" t="s">
        <v>2097</v>
      </c>
      <c r="B1149" s="10" t="s">
        <v>2124</v>
      </c>
      <c r="C1149" t="s">
        <v>2125</v>
      </c>
      <c r="D1149" s="10" t="s">
        <v>2126</v>
      </c>
      <c r="E1149" s="10">
        <v>2003</v>
      </c>
      <c r="F1149" t="s">
        <v>2661</v>
      </c>
      <c r="G1149" s="10" t="s">
        <v>872</v>
      </c>
      <c r="H1149" s="10" t="s">
        <v>217</v>
      </c>
      <c r="I1149" s="10" t="s">
        <v>2129</v>
      </c>
      <c r="J1149" s="10" t="s">
        <v>201</v>
      </c>
      <c r="K1149" s="26">
        <v>3</v>
      </c>
      <c r="L1149" s="26">
        <v>3</v>
      </c>
      <c r="N1149" s="10">
        <v>10642.9</v>
      </c>
      <c r="P1149" s="10">
        <v>2392.9</v>
      </c>
      <c r="W1149">
        <v>6802.4</v>
      </c>
      <c r="Y1149">
        <v>1219</v>
      </c>
      <c r="AD1149" s="14">
        <f t="shared" si="148"/>
        <v>0.63914910409756742</v>
      </c>
      <c r="AE1149" s="14">
        <f t="shared" si="155"/>
        <v>0.50942371181411672</v>
      </c>
      <c r="AI1149" s="3">
        <f t="shared" si="157"/>
        <v>1.1485728159116841</v>
      </c>
      <c r="AS1149" t="s">
        <v>3</v>
      </c>
      <c r="AT1149" t="s">
        <v>3</v>
      </c>
      <c r="AU1149" s="10" t="s">
        <v>2</v>
      </c>
      <c r="AV1149" s="10" t="s">
        <v>3</v>
      </c>
    </row>
    <row r="1150" spans="1:48" x14ac:dyDescent="0.3">
      <c r="A1150" s="6" t="s">
        <v>2097</v>
      </c>
      <c r="B1150" s="10" t="s">
        <v>2124</v>
      </c>
      <c r="C1150" t="s">
        <v>2125</v>
      </c>
      <c r="D1150" s="10" t="s">
        <v>2126</v>
      </c>
      <c r="E1150" s="10">
        <v>2003</v>
      </c>
      <c r="F1150" t="s">
        <v>2661</v>
      </c>
      <c r="G1150" s="10" t="s">
        <v>34</v>
      </c>
      <c r="H1150" s="10" t="s">
        <v>217</v>
      </c>
      <c r="I1150" s="10" t="s">
        <v>2127</v>
      </c>
      <c r="J1150" s="10" t="s">
        <v>201</v>
      </c>
      <c r="K1150" s="26">
        <v>3</v>
      </c>
      <c r="L1150" s="26">
        <v>3</v>
      </c>
      <c r="N1150" s="10">
        <v>6673.8</v>
      </c>
      <c r="P1150" s="10">
        <v>1777</v>
      </c>
      <c r="W1150">
        <v>4426.2</v>
      </c>
      <c r="Y1150">
        <v>735.7</v>
      </c>
      <c r="AD1150" s="14">
        <f t="shared" si="148"/>
        <v>0.66322035422098347</v>
      </c>
      <c r="AE1150" s="14">
        <f t="shared" si="155"/>
        <v>0.41401238041643224</v>
      </c>
      <c r="AI1150" s="3">
        <f t="shared" si="157"/>
        <v>1.0772327346374158</v>
      </c>
      <c r="AS1150" t="s">
        <v>3</v>
      </c>
      <c r="AT1150" t="s">
        <v>2</v>
      </c>
      <c r="AU1150" s="10" t="s">
        <v>2</v>
      </c>
      <c r="AV1150" s="10" t="s">
        <v>3</v>
      </c>
    </row>
    <row r="1151" spans="1:48" x14ac:dyDescent="0.3">
      <c r="A1151" s="6" t="s">
        <v>2097</v>
      </c>
      <c r="B1151" s="10" t="s">
        <v>2124</v>
      </c>
      <c r="C1151" t="s">
        <v>2125</v>
      </c>
      <c r="D1151" s="10" t="s">
        <v>2126</v>
      </c>
      <c r="E1151" s="10">
        <v>2003</v>
      </c>
      <c r="F1151" t="s">
        <v>2661</v>
      </c>
      <c r="G1151" s="10" t="s">
        <v>34</v>
      </c>
      <c r="H1151" s="10" t="s">
        <v>217</v>
      </c>
      <c r="I1151" s="10" t="s">
        <v>2128</v>
      </c>
      <c r="J1151" s="10" t="s">
        <v>201</v>
      </c>
      <c r="K1151" s="26">
        <v>3</v>
      </c>
      <c r="L1151" s="26">
        <v>3</v>
      </c>
      <c r="N1151" s="10">
        <v>6316.7</v>
      </c>
      <c r="P1151" s="10">
        <v>1777</v>
      </c>
      <c r="W1151">
        <v>4569.6000000000004</v>
      </c>
      <c r="Y1151">
        <v>897.9</v>
      </c>
      <c r="AD1151" s="14">
        <f t="shared" si="148"/>
        <v>0.72341570756882556</v>
      </c>
      <c r="AE1151" s="14">
        <f t="shared" si="155"/>
        <v>0.50528981429375353</v>
      </c>
      <c r="AI1151" s="3">
        <f t="shared" si="157"/>
        <v>1.2287055218625791</v>
      </c>
      <c r="AS1151" t="s">
        <v>3</v>
      </c>
      <c r="AT1151" t="s">
        <v>2</v>
      </c>
      <c r="AU1151" s="10" t="s">
        <v>2</v>
      </c>
      <c r="AV1151" s="10" t="s">
        <v>3</v>
      </c>
    </row>
    <row r="1152" spans="1:48" x14ac:dyDescent="0.3">
      <c r="A1152" s="6" t="s">
        <v>2097</v>
      </c>
      <c r="B1152" s="10" t="s">
        <v>2124</v>
      </c>
      <c r="C1152" t="s">
        <v>2125</v>
      </c>
      <c r="D1152" s="10" t="s">
        <v>2126</v>
      </c>
      <c r="E1152" s="10">
        <v>2003</v>
      </c>
      <c r="F1152" t="s">
        <v>2661</v>
      </c>
      <c r="G1152" s="10" t="s">
        <v>34</v>
      </c>
      <c r="H1152" s="10" t="s">
        <v>217</v>
      </c>
      <c r="I1152" s="10" t="s">
        <v>2129</v>
      </c>
      <c r="J1152" s="10" t="s">
        <v>201</v>
      </c>
      <c r="K1152" s="26">
        <v>3</v>
      </c>
      <c r="L1152" s="26">
        <v>3</v>
      </c>
      <c r="N1152" s="10">
        <v>7207.1</v>
      </c>
      <c r="P1152" s="10">
        <v>1777</v>
      </c>
      <c r="W1152">
        <v>4457.1000000000004</v>
      </c>
      <c r="Y1152">
        <v>788.1</v>
      </c>
      <c r="AD1152" s="14">
        <f t="shared" si="148"/>
        <v>0.6184318241733846</v>
      </c>
      <c r="AE1152" s="14">
        <f t="shared" si="155"/>
        <v>0.44350028137310077</v>
      </c>
      <c r="AI1152" s="3">
        <f t="shared" si="157"/>
        <v>1.0619321055464854</v>
      </c>
      <c r="AS1152" t="s">
        <v>3</v>
      </c>
      <c r="AT1152" t="s">
        <v>2</v>
      </c>
      <c r="AU1152" s="10" t="s">
        <v>2</v>
      </c>
      <c r="AV1152" s="10" t="s">
        <v>3</v>
      </c>
    </row>
    <row r="1153" spans="1:49" x14ac:dyDescent="0.3">
      <c r="A1153" s="6" t="s">
        <v>2097</v>
      </c>
      <c r="B1153" s="10" t="s">
        <v>2124</v>
      </c>
      <c r="C1153" t="s">
        <v>2125</v>
      </c>
      <c r="D1153" s="10" t="s">
        <v>2126</v>
      </c>
      <c r="E1153" s="10">
        <v>2003</v>
      </c>
      <c r="F1153" t="s">
        <v>2661</v>
      </c>
      <c r="G1153" s="10" t="s">
        <v>872</v>
      </c>
      <c r="H1153" s="10" t="s">
        <v>217</v>
      </c>
      <c r="I1153" s="10" t="s">
        <v>2127</v>
      </c>
      <c r="J1153" s="10" t="s">
        <v>201</v>
      </c>
      <c r="K1153" s="26">
        <v>3</v>
      </c>
      <c r="L1153" s="26">
        <v>3</v>
      </c>
      <c r="N1153" s="10">
        <v>6673.8</v>
      </c>
      <c r="P1153" s="10">
        <v>1777</v>
      </c>
      <c r="W1153">
        <v>4667.8999999999996</v>
      </c>
      <c r="Y1153">
        <v>804.8</v>
      </c>
      <c r="AD1153" s="14">
        <f t="shared" si="148"/>
        <v>0.69943660283496656</v>
      </c>
      <c r="AE1153" s="14">
        <f t="shared" si="155"/>
        <v>0.45289814293753516</v>
      </c>
      <c r="AI1153" s="3">
        <f t="shared" si="157"/>
        <v>1.1523347457725017</v>
      </c>
      <c r="AS1153" t="s">
        <v>3</v>
      </c>
      <c r="AT1153" t="s">
        <v>2</v>
      </c>
      <c r="AU1153" s="10" t="s">
        <v>2</v>
      </c>
      <c r="AV1153" s="10" t="s">
        <v>3</v>
      </c>
    </row>
    <row r="1154" spans="1:49" x14ac:dyDescent="0.3">
      <c r="A1154" s="6" t="s">
        <v>2097</v>
      </c>
      <c r="B1154" s="10" t="s">
        <v>2124</v>
      </c>
      <c r="C1154" t="s">
        <v>2125</v>
      </c>
      <c r="D1154" s="10" t="s">
        <v>2126</v>
      </c>
      <c r="E1154" s="10">
        <v>2003</v>
      </c>
      <c r="F1154" t="s">
        <v>2661</v>
      </c>
      <c r="G1154" s="10" t="s">
        <v>872</v>
      </c>
      <c r="H1154" s="10" t="s">
        <v>217</v>
      </c>
      <c r="I1154" s="10" t="s">
        <v>2128</v>
      </c>
      <c r="J1154" s="10" t="s">
        <v>201</v>
      </c>
      <c r="K1154" s="26">
        <v>3</v>
      </c>
      <c r="L1154" s="26">
        <v>3</v>
      </c>
      <c r="N1154" s="10">
        <v>6316.7</v>
      </c>
      <c r="P1154" s="10">
        <v>1777</v>
      </c>
      <c r="W1154">
        <v>4342.8999999999996</v>
      </c>
      <c r="Y1154">
        <v>873.8</v>
      </c>
      <c r="AD1154" s="14">
        <f t="shared" si="148"/>
        <v>0.68752671489860206</v>
      </c>
      <c r="AE1154" s="14">
        <f t="shared" si="155"/>
        <v>0.4917276308384918</v>
      </c>
      <c r="AI1154" s="3">
        <f t="shared" si="157"/>
        <v>1.1792543457370939</v>
      </c>
      <c r="AS1154" t="s">
        <v>3</v>
      </c>
      <c r="AT1154" t="s">
        <v>2</v>
      </c>
      <c r="AU1154" s="10" t="s">
        <v>2</v>
      </c>
      <c r="AV1154" s="10" t="s">
        <v>3</v>
      </c>
    </row>
    <row r="1155" spans="1:49" x14ac:dyDescent="0.3">
      <c r="A1155" s="6" t="s">
        <v>2097</v>
      </c>
      <c r="B1155" s="10" t="s">
        <v>2124</v>
      </c>
      <c r="C1155" t="s">
        <v>2125</v>
      </c>
      <c r="D1155" s="10" t="s">
        <v>2126</v>
      </c>
      <c r="E1155" s="10">
        <v>2003</v>
      </c>
      <c r="F1155" t="s">
        <v>2661</v>
      </c>
      <c r="G1155" s="10" t="s">
        <v>872</v>
      </c>
      <c r="H1155" s="10" t="s">
        <v>217</v>
      </c>
      <c r="I1155" s="10" t="s">
        <v>2129</v>
      </c>
      <c r="J1155" s="10" t="s">
        <v>201</v>
      </c>
      <c r="K1155" s="26">
        <v>3</v>
      </c>
      <c r="L1155" s="26">
        <v>3</v>
      </c>
      <c r="N1155" s="10">
        <v>7207.1</v>
      </c>
      <c r="P1155" s="10">
        <v>1777</v>
      </c>
      <c r="W1155">
        <v>4094.6</v>
      </c>
      <c r="Y1155">
        <v>971.4</v>
      </c>
      <c r="AD1155" s="14">
        <f t="shared" si="148"/>
        <v>0.56813420099623979</v>
      </c>
      <c r="AE1155" s="14">
        <f t="shared" si="155"/>
        <v>0.54665166010129429</v>
      </c>
      <c r="AI1155" s="3">
        <f t="shared" si="157"/>
        <v>1.1147858610975341</v>
      </c>
      <c r="AS1155" t="s">
        <v>3</v>
      </c>
      <c r="AT1155" t="s">
        <v>2</v>
      </c>
      <c r="AU1155" s="10" t="s">
        <v>2</v>
      </c>
      <c r="AV1155" s="10" t="s">
        <v>3</v>
      </c>
    </row>
    <row r="1156" spans="1:49" x14ac:dyDescent="0.3">
      <c r="A1156" s="6" t="s">
        <v>2097</v>
      </c>
      <c r="B1156" s="10" t="s">
        <v>2124</v>
      </c>
      <c r="C1156" t="s">
        <v>2125</v>
      </c>
      <c r="D1156" s="10" t="s">
        <v>2126</v>
      </c>
      <c r="E1156" s="10">
        <v>2004</v>
      </c>
      <c r="F1156" t="s">
        <v>2661</v>
      </c>
      <c r="G1156" s="10" t="s">
        <v>34</v>
      </c>
      <c r="H1156" s="10" t="s">
        <v>217</v>
      </c>
      <c r="I1156" s="10" t="s">
        <v>2127</v>
      </c>
      <c r="J1156" s="10" t="s">
        <v>201</v>
      </c>
      <c r="K1156" s="26">
        <v>3</v>
      </c>
      <c r="L1156" s="26">
        <v>3</v>
      </c>
      <c r="N1156" s="10">
        <v>9375</v>
      </c>
      <c r="P1156" s="10">
        <v>2217.9</v>
      </c>
      <c r="W1156">
        <v>9964.2999999999993</v>
      </c>
      <c r="Y1156">
        <v>1714.3</v>
      </c>
      <c r="AD1156" s="14">
        <f t="shared" si="148"/>
        <v>1.0628586666666666</v>
      </c>
      <c r="AE1156" s="14">
        <f t="shared" si="155"/>
        <v>0.77293836512015868</v>
      </c>
      <c r="AI1156" s="3">
        <f t="shared" si="157"/>
        <v>1.8357970317868253</v>
      </c>
      <c r="AS1156" t="s">
        <v>3</v>
      </c>
      <c r="AT1156" t="s">
        <v>2</v>
      </c>
      <c r="AU1156" s="10" t="s">
        <v>2</v>
      </c>
      <c r="AV1156" s="10" t="s">
        <v>3</v>
      </c>
    </row>
    <row r="1157" spans="1:49" x14ac:dyDescent="0.3">
      <c r="A1157" s="6" t="s">
        <v>2097</v>
      </c>
      <c r="B1157" s="10" t="s">
        <v>2124</v>
      </c>
      <c r="C1157" t="s">
        <v>2125</v>
      </c>
      <c r="D1157" s="10" t="s">
        <v>2126</v>
      </c>
      <c r="E1157" s="10">
        <v>2004</v>
      </c>
      <c r="F1157" t="s">
        <v>2661</v>
      </c>
      <c r="G1157" s="10" t="s">
        <v>34</v>
      </c>
      <c r="H1157" s="10" t="s">
        <v>217</v>
      </c>
      <c r="I1157" s="10" t="s">
        <v>2128</v>
      </c>
      <c r="J1157" s="10" t="s">
        <v>201</v>
      </c>
      <c r="K1157" s="26">
        <v>3</v>
      </c>
      <c r="L1157" s="26">
        <v>3</v>
      </c>
      <c r="N1157" s="10">
        <v>9032.1</v>
      </c>
      <c r="P1157" s="10">
        <v>2217.9</v>
      </c>
      <c r="W1157">
        <v>12235.7</v>
      </c>
      <c r="Y1157">
        <v>1235.7</v>
      </c>
      <c r="AD1157" s="14">
        <f t="shared" si="148"/>
        <v>1.3546904927979098</v>
      </c>
      <c r="AE1157" s="14">
        <f t="shared" si="155"/>
        <v>0.55714865413228731</v>
      </c>
      <c r="AI1157" s="3">
        <f t="shared" si="157"/>
        <v>1.911839146930197</v>
      </c>
      <c r="AS1157" t="s">
        <v>3</v>
      </c>
      <c r="AT1157" t="s">
        <v>2</v>
      </c>
      <c r="AU1157" s="10" t="s">
        <v>2</v>
      </c>
      <c r="AV1157" s="10" t="s">
        <v>3</v>
      </c>
    </row>
    <row r="1158" spans="1:49" x14ac:dyDescent="0.3">
      <c r="A1158" s="6" t="s">
        <v>2097</v>
      </c>
      <c r="B1158" s="10" t="s">
        <v>2124</v>
      </c>
      <c r="C1158" t="s">
        <v>2125</v>
      </c>
      <c r="D1158" s="10" t="s">
        <v>2126</v>
      </c>
      <c r="E1158" s="10">
        <v>2004</v>
      </c>
      <c r="F1158" t="s">
        <v>2661</v>
      </c>
      <c r="G1158" s="10" t="s">
        <v>34</v>
      </c>
      <c r="H1158" s="10" t="s">
        <v>217</v>
      </c>
      <c r="I1158" s="10" t="s">
        <v>2129</v>
      </c>
      <c r="J1158" s="10" t="s">
        <v>201</v>
      </c>
      <c r="K1158" s="26">
        <v>3</v>
      </c>
      <c r="L1158" s="26">
        <v>3</v>
      </c>
      <c r="N1158" s="10">
        <v>10682.1</v>
      </c>
      <c r="P1158" s="10">
        <v>2217.9</v>
      </c>
      <c r="W1158">
        <v>14335.7</v>
      </c>
      <c r="Y1158">
        <v>1457.1</v>
      </c>
      <c r="AD1158" s="14">
        <f t="shared" si="148"/>
        <v>1.3420301251626554</v>
      </c>
      <c r="AE1158" s="14">
        <f t="shared" si="155"/>
        <v>0.65697281211957248</v>
      </c>
      <c r="AI1158" s="3">
        <f t="shared" si="157"/>
        <v>1.9990029372822278</v>
      </c>
      <c r="AS1158" t="s">
        <v>3</v>
      </c>
      <c r="AT1158" t="s">
        <v>2</v>
      </c>
      <c r="AU1158" s="10" t="s">
        <v>2</v>
      </c>
      <c r="AV1158" s="10" t="s">
        <v>3</v>
      </c>
    </row>
    <row r="1159" spans="1:49" x14ac:dyDescent="0.3">
      <c r="A1159" s="6" t="s">
        <v>2097</v>
      </c>
      <c r="B1159" s="10" t="s">
        <v>2124</v>
      </c>
      <c r="C1159" t="s">
        <v>2125</v>
      </c>
      <c r="D1159" s="10" t="s">
        <v>2126</v>
      </c>
      <c r="E1159" s="10">
        <v>2004</v>
      </c>
      <c r="F1159" t="s">
        <v>2661</v>
      </c>
      <c r="G1159" s="10" t="s">
        <v>872</v>
      </c>
      <c r="H1159" s="10" t="s">
        <v>217</v>
      </c>
      <c r="I1159" s="10" t="s">
        <v>2127</v>
      </c>
      <c r="J1159" s="10" t="s">
        <v>201</v>
      </c>
      <c r="K1159" s="26">
        <v>3</v>
      </c>
      <c r="L1159" s="26">
        <v>3</v>
      </c>
      <c r="N1159" s="10">
        <v>9375</v>
      </c>
      <c r="P1159" s="10">
        <v>2217.9</v>
      </c>
      <c r="W1159">
        <v>10378.6</v>
      </c>
      <c r="Y1159">
        <v>1560.5</v>
      </c>
      <c r="AD1159" s="14">
        <f t="shared" si="148"/>
        <v>1.1070506666666666</v>
      </c>
      <c r="AE1159" s="14">
        <f t="shared" si="155"/>
        <v>0.70359348933675991</v>
      </c>
      <c r="AI1159" s="3">
        <f t="shared" si="157"/>
        <v>1.8106441560034265</v>
      </c>
      <c r="AS1159" t="s">
        <v>3</v>
      </c>
      <c r="AT1159" t="s">
        <v>2</v>
      </c>
      <c r="AU1159" s="10" t="s">
        <v>2</v>
      </c>
      <c r="AV1159" s="10" t="s">
        <v>3</v>
      </c>
    </row>
    <row r="1160" spans="1:49" x14ac:dyDescent="0.3">
      <c r="A1160" s="6" t="s">
        <v>2097</v>
      </c>
      <c r="B1160" s="10" t="s">
        <v>2124</v>
      </c>
      <c r="C1160" t="s">
        <v>2125</v>
      </c>
      <c r="D1160" s="10" t="s">
        <v>2126</v>
      </c>
      <c r="E1160" s="10">
        <v>2004</v>
      </c>
      <c r="F1160" t="s">
        <v>2661</v>
      </c>
      <c r="G1160" s="10" t="s">
        <v>872</v>
      </c>
      <c r="H1160" s="10" t="s">
        <v>217</v>
      </c>
      <c r="I1160" s="10" t="s">
        <v>2128</v>
      </c>
      <c r="J1160" s="10" t="s">
        <v>201</v>
      </c>
      <c r="K1160" s="26">
        <v>3</v>
      </c>
      <c r="L1160" s="26">
        <v>3</v>
      </c>
      <c r="N1160" s="10">
        <v>9032.1</v>
      </c>
      <c r="P1160" s="10">
        <v>2217.9</v>
      </c>
      <c r="W1160">
        <v>9788.1</v>
      </c>
      <c r="Y1160">
        <v>1471.4</v>
      </c>
      <c r="AD1160" s="14">
        <f t="shared" ref="AD1160:AD1223" si="158">W1160/N1160</f>
        <v>1.0837014647756336</v>
      </c>
      <c r="AE1160" s="14">
        <f t="shared" ref="AE1160:AE1179" si="159">Y1160/P1160</f>
        <v>0.66342035258577936</v>
      </c>
      <c r="AI1160" s="3">
        <f t="shared" si="157"/>
        <v>1.7471218173614129</v>
      </c>
      <c r="AS1160" t="s">
        <v>3</v>
      </c>
      <c r="AT1160" t="s">
        <v>2</v>
      </c>
      <c r="AU1160" s="10" t="s">
        <v>2</v>
      </c>
      <c r="AV1160" s="10" t="s">
        <v>3</v>
      </c>
    </row>
    <row r="1161" spans="1:49" x14ac:dyDescent="0.3">
      <c r="A1161" s="6" t="s">
        <v>2097</v>
      </c>
      <c r="B1161" s="10" t="s">
        <v>2124</v>
      </c>
      <c r="C1161" t="s">
        <v>2125</v>
      </c>
      <c r="D1161" s="10" t="s">
        <v>2126</v>
      </c>
      <c r="E1161" s="10">
        <v>2004</v>
      </c>
      <c r="F1161" t="s">
        <v>2661</v>
      </c>
      <c r="G1161" s="10" t="s">
        <v>872</v>
      </c>
      <c r="H1161" s="10" t="s">
        <v>217</v>
      </c>
      <c r="I1161" s="10" t="s">
        <v>2129</v>
      </c>
      <c r="J1161" s="10" t="s">
        <v>201</v>
      </c>
      <c r="K1161" s="26">
        <v>3</v>
      </c>
      <c r="L1161" s="26">
        <v>3</v>
      </c>
      <c r="N1161" s="10">
        <v>10682.1</v>
      </c>
      <c r="P1161" s="10">
        <v>2217.9</v>
      </c>
      <c r="W1161">
        <v>13257.1</v>
      </c>
      <c r="Y1161">
        <v>1928.6</v>
      </c>
      <c r="AD1161" s="14">
        <f t="shared" si="158"/>
        <v>1.2410574699731327</v>
      </c>
      <c r="AE1161" s="14">
        <f t="shared" si="159"/>
        <v>0.86956129672212445</v>
      </c>
      <c r="AI1161" s="3">
        <f t="shared" si="157"/>
        <v>2.1106187666952572</v>
      </c>
      <c r="AS1161" t="s">
        <v>3</v>
      </c>
      <c r="AT1161" t="s">
        <v>2</v>
      </c>
      <c r="AU1161" s="10" t="s">
        <v>2</v>
      </c>
      <c r="AV1161" s="10" t="s">
        <v>3</v>
      </c>
    </row>
    <row r="1162" spans="1:49" x14ac:dyDescent="0.3">
      <c r="A1162" s="6" t="s">
        <v>2097</v>
      </c>
      <c r="B1162" s="10" t="s">
        <v>2124</v>
      </c>
      <c r="C1162" t="s">
        <v>2125</v>
      </c>
      <c r="D1162" s="10" t="s">
        <v>2126</v>
      </c>
      <c r="E1162" s="10">
        <v>2005</v>
      </c>
      <c r="F1162" t="s">
        <v>2661</v>
      </c>
      <c r="G1162" s="10" t="s">
        <v>34</v>
      </c>
      <c r="H1162" s="10" t="s">
        <v>217</v>
      </c>
      <c r="I1162" s="10" t="s">
        <v>2127</v>
      </c>
      <c r="J1162" s="10" t="s">
        <v>201</v>
      </c>
      <c r="K1162" s="26">
        <v>3</v>
      </c>
      <c r="L1162" s="26">
        <v>3</v>
      </c>
      <c r="N1162" s="10">
        <v>8333.2999999999993</v>
      </c>
      <c r="P1162" s="10">
        <v>2488.1</v>
      </c>
      <c r="W1162">
        <v>7238.1</v>
      </c>
      <c r="Y1162">
        <v>1523.8</v>
      </c>
      <c r="AD1162" s="14">
        <f t="shared" si="158"/>
        <v>0.8685754743018973</v>
      </c>
      <c r="AE1162" s="14">
        <f t="shared" si="159"/>
        <v>0.6124351915115952</v>
      </c>
      <c r="AI1162" s="3">
        <f t="shared" si="157"/>
        <v>1.4810106658134925</v>
      </c>
      <c r="AS1162" t="s">
        <v>3</v>
      </c>
      <c r="AT1162" t="s">
        <v>2</v>
      </c>
      <c r="AU1162" s="10" t="s">
        <v>2</v>
      </c>
      <c r="AV1162" s="10" t="s">
        <v>3</v>
      </c>
    </row>
    <row r="1163" spans="1:49" x14ac:dyDescent="0.3">
      <c r="A1163" s="6" t="s">
        <v>2097</v>
      </c>
      <c r="B1163" s="10" t="s">
        <v>2124</v>
      </c>
      <c r="C1163" t="s">
        <v>2125</v>
      </c>
      <c r="D1163" s="10" t="s">
        <v>2126</v>
      </c>
      <c r="E1163" s="10">
        <v>2005</v>
      </c>
      <c r="F1163" t="s">
        <v>2661</v>
      </c>
      <c r="G1163" s="10" t="s">
        <v>34</v>
      </c>
      <c r="H1163" s="10" t="s">
        <v>217</v>
      </c>
      <c r="I1163" s="10" t="s">
        <v>2128</v>
      </c>
      <c r="J1163" s="10" t="s">
        <v>201</v>
      </c>
      <c r="K1163" s="26">
        <v>3</v>
      </c>
      <c r="L1163" s="26">
        <v>3</v>
      </c>
      <c r="N1163" s="10">
        <v>8857.1</v>
      </c>
      <c r="P1163" s="10">
        <v>2488.1</v>
      </c>
      <c r="W1163">
        <v>7404.8</v>
      </c>
      <c r="Y1163">
        <v>1476.2</v>
      </c>
      <c r="AD1163" s="14">
        <f t="shared" si="158"/>
        <v>0.83602985175734723</v>
      </c>
      <c r="AE1163" s="14">
        <f t="shared" si="159"/>
        <v>0.59330412764760265</v>
      </c>
      <c r="AI1163" s="3">
        <f t="shared" si="157"/>
        <v>1.4293339794049498</v>
      </c>
      <c r="AS1163" t="s">
        <v>3</v>
      </c>
      <c r="AT1163" t="s">
        <v>2</v>
      </c>
      <c r="AU1163" s="10" t="s">
        <v>2</v>
      </c>
      <c r="AV1163" s="10" t="s">
        <v>3</v>
      </c>
    </row>
    <row r="1164" spans="1:49" x14ac:dyDescent="0.3">
      <c r="A1164" s="6" t="s">
        <v>2097</v>
      </c>
      <c r="B1164" s="10" t="s">
        <v>2124</v>
      </c>
      <c r="C1164" t="s">
        <v>2125</v>
      </c>
      <c r="D1164" s="10" t="s">
        <v>2126</v>
      </c>
      <c r="E1164" s="10">
        <v>2005</v>
      </c>
      <c r="F1164" t="s">
        <v>2661</v>
      </c>
      <c r="G1164" s="10" t="s">
        <v>34</v>
      </c>
      <c r="H1164" s="10" t="s">
        <v>217</v>
      </c>
      <c r="I1164" s="10" t="s">
        <v>2129</v>
      </c>
      <c r="J1164" s="10" t="s">
        <v>201</v>
      </c>
      <c r="K1164" s="26">
        <v>3</v>
      </c>
      <c r="L1164" s="26">
        <v>3</v>
      </c>
      <c r="N1164" s="10">
        <v>9523.7999999999993</v>
      </c>
      <c r="P1164" s="10">
        <v>2488.1</v>
      </c>
      <c r="W1164">
        <v>8642.9</v>
      </c>
      <c r="Y1164">
        <v>1238</v>
      </c>
      <c r="AD1164" s="14">
        <f t="shared" si="158"/>
        <v>0.90750540750540754</v>
      </c>
      <c r="AE1164" s="14">
        <f t="shared" si="159"/>
        <v>0.49756842570636228</v>
      </c>
      <c r="AI1164" s="3">
        <f t="shared" si="157"/>
        <v>1.4050738332117698</v>
      </c>
      <c r="AS1164" t="s">
        <v>3</v>
      </c>
      <c r="AT1164" t="s">
        <v>2</v>
      </c>
      <c r="AU1164" s="10" t="s">
        <v>2</v>
      </c>
      <c r="AV1164" s="10" t="s">
        <v>3</v>
      </c>
    </row>
    <row r="1165" spans="1:49" x14ac:dyDescent="0.3">
      <c r="A1165" s="6" t="s">
        <v>2097</v>
      </c>
      <c r="B1165" s="10" t="s">
        <v>2124</v>
      </c>
      <c r="C1165" t="s">
        <v>2125</v>
      </c>
      <c r="D1165" s="10" t="s">
        <v>2126</v>
      </c>
      <c r="E1165" s="10">
        <v>2005</v>
      </c>
      <c r="F1165" t="s">
        <v>2661</v>
      </c>
      <c r="G1165" s="10" t="s">
        <v>872</v>
      </c>
      <c r="H1165" s="10" t="s">
        <v>217</v>
      </c>
      <c r="I1165" s="10" t="s">
        <v>2127</v>
      </c>
      <c r="J1165" s="10" t="s">
        <v>201</v>
      </c>
      <c r="K1165" s="26">
        <v>3</v>
      </c>
      <c r="L1165" s="26">
        <v>3</v>
      </c>
      <c r="N1165" s="10">
        <v>8333.2999999999993</v>
      </c>
      <c r="P1165" s="10">
        <v>2488.1</v>
      </c>
      <c r="W1165">
        <v>6642.9</v>
      </c>
      <c r="Y1165">
        <v>1428.5</v>
      </c>
      <c r="AD1165" s="14">
        <f t="shared" si="158"/>
        <v>0.79715118860475442</v>
      </c>
      <c r="AE1165" s="14">
        <f t="shared" si="159"/>
        <v>0.5741328724729714</v>
      </c>
      <c r="AI1165" s="3">
        <f t="shared" si="157"/>
        <v>1.3712840610777257</v>
      </c>
      <c r="AS1165" t="s">
        <v>3</v>
      </c>
      <c r="AT1165" t="s">
        <v>2</v>
      </c>
      <c r="AU1165" s="10" t="s">
        <v>2</v>
      </c>
      <c r="AV1165" s="10" t="s">
        <v>3</v>
      </c>
    </row>
    <row r="1166" spans="1:49" x14ac:dyDescent="0.3">
      <c r="A1166" s="6" t="s">
        <v>2097</v>
      </c>
      <c r="B1166" s="10" t="s">
        <v>2124</v>
      </c>
      <c r="C1166" t="s">
        <v>2125</v>
      </c>
      <c r="D1166" s="10" t="s">
        <v>2126</v>
      </c>
      <c r="E1166" s="10">
        <v>2005</v>
      </c>
      <c r="F1166" t="s">
        <v>2661</v>
      </c>
      <c r="G1166" s="10" t="s">
        <v>872</v>
      </c>
      <c r="H1166" s="10" t="s">
        <v>217</v>
      </c>
      <c r="I1166" s="10" t="s">
        <v>2128</v>
      </c>
      <c r="J1166" s="10" t="s">
        <v>201</v>
      </c>
      <c r="K1166" s="26">
        <v>3</v>
      </c>
      <c r="L1166" s="26">
        <v>3</v>
      </c>
      <c r="N1166" s="10">
        <v>8857.1</v>
      </c>
      <c r="P1166" s="10">
        <v>2488.1</v>
      </c>
      <c r="W1166">
        <v>6452.4</v>
      </c>
      <c r="Y1166">
        <v>1452.4</v>
      </c>
      <c r="AD1166" s="14">
        <f t="shared" si="158"/>
        <v>0.72850029919499604</v>
      </c>
      <c r="AE1166" s="14">
        <f t="shared" si="159"/>
        <v>0.58373859571560638</v>
      </c>
      <c r="AI1166" s="3">
        <f t="shared" si="157"/>
        <v>1.3122388949106023</v>
      </c>
      <c r="AS1166" t="s">
        <v>3</v>
      </c>
      <c r="AT1166" t="s">
        <v>2</v>
      </c>
      <c r="AU1166" s="10" t="s">
        <v>2</v>
      </c>
      <c r="AV1166" s="10" t="s">
        <v>3</v>
      </c>
    </row>
    <row r="1167" spans="1:49" x14ac:dyDescent="0.3">
      <c r="A1167" s="6" t="s">
        <v>2097</v>
      </c>
      <c r="B1167" s="10" t="s">
        <v>2124</v>
      </c>
      <c r="C1167" t="s">
        <v>2125</v>
      </c>
      <c r="D1167" s="10" t="s">
        <v>2126</v>
      </c>
      <c r="E1167" s="10">
        <v>2005</v>
      </c>
      <c r="F1167" t="s">
        <v>2661</v>
      </c>
      <c r="G1167" s="10" t="s">
        <v>872</v>
      </c>
      <c r="H1167" s="10" t="s">
        <v>217</v>
      </c>
      <c r="I1167" s="10" t="s">
        <v>2129</v>
      </c>
      <c r="J1167" s="10" t="s">
        <v>201</v>
      </c>
      <c r="K1167" s="26">
        <v>3</v>
      </c>
      <c r="L1167" s="26">
        <v>3</v>
      </c>
      <c r="N1167" s="10">
        <v>9523.7999999999993</v>
      </c>
      <c r="P1167" s="10">
        <v>2488.1</v>
      </c>
      <c r="W1167">
        <v>5880.9</v>
      </c>
      <c r="Y1167">
        <v>1571.4</v>
      </c>
      <c r="AD1167" s="14">
        <f t="shared" si="158"/>
        <v>0.61749511749511754</v>
      </c>
      <c r="AE1167" s="14">
        <f t="shared" si="159"/>
        <v>0.63156625537558786</v>
      </c>
      <c r="AI1167" s="3">
        <f t="shared" si="157"/>
        <v>1.2490613728707054</v>
      </c>
      <c r="AS1167" t="s">
        <v>3</v>
      </c>
      <c r="AT1167" t="s">
        <v>2</v>
      </c>
      <c r="AU1167" s="10" t="s">
        <v>2</v>
      </c>
      <c r="AV1167" s="10" t="s">
        <v>3</v>
      </c>
    </row>
    <row r="1168" spans="1:49" x14ac:dyDescent="0.3">
      <c r="A1168" s="6" t="s">
        <v>2098</v>
      </c>
      <c r="B1168" s="10" t="s">
        <v>1170</v>
      </c>
      <c r="C1168" t="s">
        <v>1171</v>
      </c>
      <c r="D1168" s="10" t="s">
        <v>1177</v>
      </c>
      <c r="E1168" s="10">
        <v>2007</v>
      </c>
      <c r="F1168" t="s">
        <v>2661</v>
      </c>
      <c r="G1168" s="10" t="s">
        <v>1013</v>
      </c>
      <c r="H1168" s="10" t="s">
        <v>217</v>
      </c>
      <c r="J1168" s="10" t="s">
        <v>2130</v>
      </c>
      <c r="K1168" s="26">
        <v>3</v>
      </c>
      <c r="L1168" s="26">
        <v>3</v>
      </c>
      <c r="N1168" s="10">
        <v>4232</v>
      </c>
      <c r="P1168" s="10">
        <v>4650</v>
      </c>
      <c r="W1168">
        <v>722</v>
      </c>
      <c r="Y1168">
        <v>3769</v>
      </c>
      <c r="AD1168" s="14">
        <f t="shared" si="158"/>
        <v>0.17060491493383742</v>
      </c>
      <c r="AE1168" s="14">
        <f t="shared" si="159"/>
        <v>0.81053763440860216</v>
      </c>
      <c r="AI1168" s="3">
        <f t="shared" si="157"/>
        <v>0.98114254934243961</v>
      </c>
      <c r="AU1168" s="10" t="s">
        <v>2</v>
      </c>
      <c r="AV1168" s="10" t="s">
        <v>3</v>
      </c>
      <c r="AW1168" t="s">
        <v>2107</v>
      </c>
    </row>
    <row r="1169" spans="1:49" x14ac:dyDescent="0.3">
      <c r="A1169" s="6" t="s">
        <v>2098</v>
      </c>
      <c r="B1169" s="10" t="s">
        <v>1170</v>
      </c>
      <c r="C1169" t="s">
        <v>1171</v>
      </c>
      <c r="D1169" s="10" t="s">
        <v>1177</v>
      </c>
      <c r="E1169" s="10">
        <v>2007</v>
      </c>
      <c r="F1169" t="s">
        <v>2661</v>
      </c>
      <c r="G1169" s="10" t="s">
        <v>1013</v>
      </c>
      <c r="H1169" s="10" t="s">
        <v>217</v>
      </c>
      <c r="J1169" s="10" t="s">
        <v>2131</v>
      </c>
      <c r="K1169" s="26">
        <v>3</v>
      </c>
      <c r="L1169" s="26">
        <v>3</v>
      </c>
      <c r="N1169" s="10">
        <v>4232</v>
      </c>
      <c r="P1169" s="10">
        <v>3304</v>
      </c>
      <c r="W1169">
        <v>649</v>
      </c>
      <c r="Y1169">
        <v>3302</v>
      </c>
      <c r="AD1169" s="14">
        <f t="shared" si="158"/>
        <v>0.15335538752362948</v>
      </c>
      <c r="AE1169" s="14">
        <f t="shared" si="159"/>
        <v>0.99939467312348673</v>
      </c>
      <c r="AI1169" s="3">
        <f t="shared" si="157"/>
        <v>1.1527500606471162</v>
      </c>
      <c r="AU1169" s="10" t="s">
        <v>2</v>
      </c>
      <c r="AV1169" s="10" t="s">
        <v>3</v>
      </c>
      <c r="AW1169" t="s">
        <v>2107</v>
      </c>
    </row>
    <row r="1170" spans="1:49" x14ac:dyDescent="0.3">
      <c r="A1170" s="6" t="s">
        <v>2098</v>
      </c>
      <c r="B1170" s="10" t="s">
        <v>1170</v>
      </c>
      <c r="C1170" t="s">
        <v>1171</v>
      </c>
      <c r="D1170" s="10" t="s">
        <v>1177</v>
      </c>
      <c r="E1170" s="10">
        <v>2007</v>
      </c>
      <c r="F1170" t="s">
        <v>2661</v>
      </c>
      <c r="G1170" s="10" t="s">
        <v>1013</v>
      </c>
      <c r="H1170" s="10" t="s">
        <v>217</v>
      </c>
      <c r="J1170" s="10" t="s">
        <v>1175</v>
      </c>
      <c r="K1170" s="26">
        <v>3</v>
      </c>
      <c r="L1170" s="26">
        <v>3</v>
      </c>
      <c r="N1170" s="10">
        <v>4232</v>
      </c>
      <c r="P1170" s="10">
        <v>3241</v>
      </c>
      <c r="W1170">
        <v>634</v>
      </c>
      <c r="Y1170">
        <v>2376</v>
      </c>
      <c r="AD1170" s="14">
        <f t="shared" si="158"/>
        <v>0.14981096408317579</v>
      </c>
      <c r="AE1170" s="14">
        <f t="shared" si="159"/>
        <v>0.7331070657204567</v>
      </c>
      <c r="AI1170" s="3">
        <f t="shared" si="157"/>
        <v>0.88291802980363254</v>
      </c>
      <c r="AU1170" s="10" t="s">
        <v>2</v>
      </c>
      <c r="AV1170" s="10" t="s">
        <v>3</v>
      </c>
      <c r="AW1170" t="s">
        <v>2107</v>
      </c>
    </row>
    <row r="1171" spans="1:49" x14ac:dyDescent="0.3">
      <c r="A1171" s="6" t="s">
        <v>2098</v>
      </c>
      <c r="B1171" s="10" t="s">
        <v>1170</v>
      </c>
      <c r="C1171" t="s">
        <v>1171</v>
      </c>
      <c r="D1171" s="10" t="s">
        <v>1177</v>
      </c>
      <c r="E1171" s="10">
        <v>2007</v>
      </c>
      <c r="F1171" t="s">
        <v>2661</v>
      </c>
      <c r="G1171" s="10" t="s">
        <v>1013</v>
      </c>
      <c r="H1171" s="10" t="s">
        <v>217</v>
      </c>
      <c r="J1171" s="10" t="s">
        <v>2132</v>
      </c>
      <c r="K1171" s="26">
        <v>3</v>
      </c>
      <c r="L1171" s="26">
        <v>3</v>
      </c>
      <c r="N1171" s="10">
        <v>4232</v>
      </c>
      <c r="P1171" s="10">
        <v>3773</v>
      </c>
      <c r="W1171">
        <v>838</v>
      </c>
      <c r="Y1171">
        <v>2729</v>
      </c>
      <c r="AD1171" s="14">
        <f t="shared" si="158"/>
        <v>0.19801512287334594</v>
      </c>
      <c r="AE1171" s="14">
        <f t="shared" si="159"/>
        <v>0.72329711105221306</v>
      </c>
      <c r="AI1171" s="3">
        <f t="shared" si="157"/>
        <v>0.92131223392555905</v>
      </c>
      <c r="AU1171" s="10" t="s">
        <v>2</v>
      </c>
      <c r="AV1171" s="10" t="s">
        <v>3</v>
      </c>
      <c r="AW1171" t="s">
        <v>2107</v>
      </c>
    </row>
    <row r="1172" spans="1:49" x14ac:dyDescent="0.3">
      <c r="A1172" s="6" t="s">
        <v>2098</v>
      </c>
      <c r="B1172" s="10" t="s">
        <v>1170</v>
      </c>
      <c r="C1172" t="s">
        <v>1171</v>
      </c>
      <c r="D1172" s="10" t="s">
        <v>1177</v>
      </c>
      <c r="E1172" s="10">
        <v>2008</v>
      </c>
      <c r="F1172" t="s">
        <v>2661</v>
      </c>
      <c r="G1172" s="10" t="s">
        <v>1013</v>
      </c>
      <c r="H1172" s="10" t="s">
        <v>217</v>
      </c>
      <c r="J1172" s="10" t="s">
        <v>2130</v>
      </c>
      <c r="K1172" s="26">
        <v>3</v>
      </c>
      <c r="L1172" s="26">
        <v>3</v>
      </c>
      <c r="N1172" s="10">
        <v>2342</v>
      </c>
      <c r="P1172" s="10">
        <v>2210</v>
      </c>
      <c r="W1172">
        <v>559</v>
      </c>
      <c r="Y1172">
        <v>1580</v>
      </c>
      <c r="AD1172" s="14">
        <f t="shared" si="158"/>
        <v>0.23868488471391971</v>
      </c>
      <c r="AE1172" s="14">
        <f t="shared" si="159"/>
        <v>0.71493212669683259</v>
      </c>
      <c r="AI1172" s="3">
        <f t="shared" si="157"/>
        <v>0.95361701141075228</v>
      </c>
      <c r="AU1172" s="10" t="s">
        <v>2</v>
      </c>
      <c r="AV1172" s="10" t="s">
        <v>3</v>
      </c>
      <c r="AW1172" t="s">
        <v>2107</v>
      </c>
    </row>
    <row r="1173" spans="1:49" x14ac:dyDescent="0.3">
      <c r="A1173" s="6" t="s">
        <v>2098</v>
      </c>
      <c r="B1173" s="10" t="s">
        <v>1170</v>
      </c>
      <c r="C1173" t="s">
        <v>1171</v>
      </c>
      <c r="D1173" s="10" t="s">
        <v>1177</v>
      </c>
      <c r="E1173" s="10">
        <v>2008</v>
      </c>
      <c r="F1173" t="s">
        <v>2661</v>
      </c>
      <c r="G1173" s="10" t="s">
        <v>1013</v>
      </c>
      <c r="H1173" s="10" t="s">
        <v>217</v>
      </c>
      <c r="J1173" s="10" t="s">
        <v>2131</v>
      </c>
      <c r="K1173" s="26">
        <v>3</v>
      </c>
      <c r="L1173" s="26">
        <v>3</v>
      </c>
      <c r="N1173" s="10">
        <v>2342</v>
      </c>
      <c r="P1173" s="10">
        <v>2114</v>
      </c>
      <c r="W1173">
        <v>783</v>
      </c>
      <c r="Y1173">
        <v>1068</v>
      </c>
      <c r="AD1173" s="14">
        <f t="shared" si="158"/>
        <v>0.33432963279248507</v>
      </c>
      <c r="AE1173" s="14">
        <f t="shared" si="159"/>
        <v>0.50520340586565748</v>
      </c>
      <c r="AI1173" s="3">
        <f t="shared" si="157"/>
        <v>0.83953303865814255</v>
      </c>
      <c r="AU1173" s="10" t="s">
        <v>2</v>
      </c>
      <c r="AV1173" s="10" t="s">
        <v>3</v>
      </c>
      <c r="AW1173" t="s">
        <v>2107</v>
      </c>
    </row>
    <row r="1174" spans="1:49" x14ac:dyDescent="0.3">
      <c r="A1174" s="6" t="s">
        <v>2098</v>
      </c>
      <c r="B1174" s="10" t="s">
        <v>1170</v>
      </c>
      <c r="C1174" t="s">
        <v>1171</v>
      </c>
      <c r="D1174" s="10" t="s">
        <v>1177</v>
      </c>
      <c r="E1174" s="10">
        <v>2008</v>
      </c>
      <c r="F1174" t="s">
        <v>2661</v>
      </c>
      <c r="G1174" s="10" t="s">
        <v>1013</v>
      </c>
      <c r="H1174" s="10" t="s">
        <v>217</v>
      </c>
      <c r="J1174" s="10" t="s">
        <v>1175</v>
      </c>
      <c r="K1174" s="26">
        <v>3</v>
      </c>
      <c r="L1174" s="26">
        <v>3</v>
      </c>
      <c r="N1174" s="10">
        <v>2342</v>
      </c>
      <c r="P1174" s="10">
        <v>2924</v>
      </c>
      <c r="W1174">
        <v>514</v>
      </c>
      <c r="Y1174">
        <v>1865</v>
      </c>
      <c r="AD1174" s="14">
        <f t="shared" si="158"/>
        <v>0.21947053800170793</v>
      </c>
      <c r="AE1174" s="14">
        <f t="shared" si="159"/>
        <v>0.63782489740082082</v>
      </c>
      <c r="AI1174" s="3">
        <f t="shared" si="157"/>
        <v>0.85729543540252873</v>
      </c>
      <c r="AU1174" s="10" t="s">
        <v>2</v>
      </c>
      <c r="AV1174" s="10" t="s">
        <v>3</v>
      </c>
      <c r="AW1174" t="s">
        <v>2107</v>
      </c>
    </row>
    <row r="1175" spans="1:49" x14ac:dyDescent="0.3">
      <c r="A1175" s="6" t="s">
        <v>2098</v>
      </c>
      <c r="B1175" s="10" t="s">
        <v>1170</v>
      </c>
      <c r="C1175" t="s">
        <v>1171</v>
      </c>
      <c r="D1175" s="10" t="s">
        <v>1177</v>
      </c>
      <c r="E1175" s="10">
        <v>2008</v>
      </c>
      <c r="F1175" t="s">
        <v>2661</v>
      </c>
      <c r="G1175" s="10" t="s">
        <v>1013</v>
      </c>
      <c r="H1175" s="10" t="s">
        <v>217</v>
      </c>
      <c r="J1175" s="10" t="s">
        <v>2132</v>
      </c>
      <c r="K1175" s="26">
        <v>3</v>
      </c>
      <c r="L1175" s="26">
        <v>3</v>
      </c>
      <c r="N1175" s="10">
        <v>2342</v>
      </c>
      <c r="P1175" s="10">
        <v>2341</v>
      </c>
      <c r="W1175">
        <v>414</v>
      </c>
      <c r="Y1175">
        <v>1675</v>
      </c>
      <c r="AD1175" s="14">
        <f t="shared" si="158"/>
        <v>0.17677198975234842</v>
      </c>
      <c r="AE1175" s="14">
        <f t="shared" si="159"/>
        <v>0.71550619393421611</v>
      </c>
      <c r="AI1175" s="3">
        <f t="shared" si="157"/>
        <v>0.89227818368656453</v>
      </c>
      <c r="AU1175" s="10" t="s">
        <v>2</v>
      </c>
      <c r="AV1175" s="10" t="s">
        <v>3</v>
      </c>
      <c r="AW1175" t="s">
        <v>2107</v>
      </c>
    </row>
    <row r="1176" spans="1:49" x14ac:dyDescent="0.3">
      <c r="A1176" s="6" t="s">
        <v>2098</v>
      </c>
      <c r="B1176" s="10" t="s">
        <v>1170</v>
      </c>
      <c r="C1176" t="s">
        <v>1171</v>
      </c>
      <c r="D1176" s="10" t="s">
        <v>1177</v>
      </c>
      <c r="E1176" s="10">
        <v>2009</v>
      </c>
      <c r="F1176" t="s">
        <v>2661</v>
      </c>
      <c r="G1176" s="10" t="s">
        <v>1013</v>
      </c>
      <c r="H1176" s="10" t="s">
        <v>217</v>
      </c>
      <c r="J1176" s="10" t="s">
        <v>2130</v>
      </c>
      <c r="K1176" s="26">
        <v>3</v>
      </c>
      <c r="L1176" s="26">
        <v>3</v>
      </c>
      <c r="N1176" s="10">
        <v>2236</v>
      </c>
      <c r="P1176" s="10">
        <v>2149</v>
      </c>
      <c r="W1176">
        <v>369</v>
      </c>
      <c r="Y1176">
        <v>1854</v>
      </c>
      <c r="AD1176" s="14">
        <f t="shared" si="158"/>
        <v>0.16502683363148479</v>
      </c>
      <c r="AE1176" s="14">
        <f t="shared" si="159"/>
        <v>0.86272684969753377</v>
      </c>
      <c r="AI1176" s="3">
        <f t="shared" si="157"/>
        <v>1.0277536833290186</v>
      </c>
      <c r="AU1176" s="10" t="s">
        <v>2</v>
      </c>
      <c r="AV1176" s="10" t="s">
        <v>3</v>
      </c>
      <c r="AW1176" t="s">
        <v>2107</v>
      </c>
    </row>
    <row r="1177" spans="1:49" x14ac:dyDescent="0.3">
      <c r="A1177" s="6" t="s">
        <v>2098</v>
      </c>
      <c r="B1177" s="10" t="s">
        <v>1170</v>
      </c>
      <c r="C1177" t="s">
        <v>1171</v>
      </c>
      <c r="D1177" s="10" t="s">
        <v>1177</v>
      </c>
      <c r="E1177" s="10">
        <v>2009</v>
      </c>
      <c r="F1177" t="s">
        <v>2661</v>
      </c>
      <c r="G1177" s="10" t="s">
        <v>1013</v>
      </c>
      <c r="H1177" s="10" t="s">
        <v>217</v>
      </c>
      <c r="J1177" s="10" t="s">
        <v>2131</v>
      </c>
      <c r="K1177" s="26">
        <v>3</v>
      </c>
      <c r="L1177" s="26">
        <v>3</v>
      </c>
      <c r="N1177" s="10">
        <v>2236</v>
      </c>
      <c r="P1177" s="10">
        <v>2332</v>
      </c>
      <c r="W1177">
        <v>625</v>
      </c>
      <c r="Y1177">
        <v>2183</v>
      </c>
      <c r="AD1177" s="14">
        <f t="shared" si="158"/>
        <v>0.27951699463327373</v>
      </c>
      <c r="AE1177" s="14">
        <f t="shared" si="159"/>
        <v>0.93610634648370494</v>
      </c>
      <c r="AI1177" s="3">
        <f t="shared" si="157"/>
        <v>1.2156233411169786</v>
      </c>
      <c r="AU1177" s="10" t="s">
        <v>2</v>
      </c>
      <c r="AV1177" s="10" t="s">
        <v>3</v>
      </c>
      <c r="AW1177" t="s">
        <v>2107</v>
      </c>
    </row>
    <row r="1178" spans="1:49" x14ac:dyDescent="0.3">
      <c r="A1178" s="6" t="s">
        <v>2098</v>
      </c>
      <c r="B1178" s="10" t="s">
        <v>1170</v>
      </c>
      <c r="C1178" t="s">
        <v>1171</v>
      </c>
      <c r="D1178" s="10" t="s">
        <v>1177</v>
      </c>
      <c r="E1178" s="10">
        <v>2009</v>
      </c>
      <c r="F1178" t="s">
        <v>2661</v>
      </c>
      <c r="G1178" s="10" t="s">
        <v>1013</v>
      </c>
      <c r="H1178" s="10" t="s">
        <v>217</v>
      </c>
      <c r="J1178" s="10" t="s">
        <v>1175</v>
      </c>
      <c r="K1178" s="26">
        <v>3</v>
      </c>
      <c r="L1178" s="26">
        <v>3</v>
      </c>
      <c r="N1178" s="10">
        <v>2236</v>
      </c>
      <c r="P1178" s="10">
        <v>2526</v>
      </c>
      <c r="W1178">
        <v>188</v>
      </c>
      <c r="Y1178">
        <v>2089</v>
      </c>
      <c r="AD1178" s="14">
        <f t="shared" si="158"/>
        <v>8.4078711985688726E-2</v>
      </c>
      <c r="AE1178" s="14">
        <f t="shared" si="159"/>
        <v>0.82699920823436268</v>
      </c>
      <c r="AI1178" s="3">
        <f t="shared" si="157"/>
        <v>0.91107792022005141</v>
      </c>
      <c r="AU1178" s="10" t="s">
        <v>2</v>
      </c>
      <c r="AV1178" s="10" t="s">
        <v>3</v>
      </c>
      <c r="AW1178" t="s">
        <v>2107</v>
      </c>
    </row>
    <row r="1179" spans="1:49" x14ac:dyDescent="0.3">
      <c r="A1179" s="6" t="s">
        <v>2098</v>
      </c>
      <c r="B1179" s="10" t="s">
        <v>1170</v>
      </c>
      <c r="C1179" t="s">
        <v>1171</v>
      </c>
      <c r="D1179" s="10" t="s">
        <v>1177</v>
      </c>
      <c r="E1179" s="10">
        <v>2009</v>
      </c>
      <c r="F1179" t="s">
        <v>2661</v>
      </c>
      <c r="G1179" s="10" t="s">
        <v>1013</v>
      </c>
      <c r="H1179" s="10" t="s">
        <v>217</v>
      </c>
      <c r="J1179" s="10" t="s">
        <v>2132</v>
      </c>
      <c r="K1179" s="26">
        <v>3</v>
      </c>
      <c r="L1179" s="26">
        <v>3</v>
      </c>
      <c r="N1179" s="10">
        <v>2236</v>
      </c>
      <c r="P1179" s="10">
        <v>2039</v>
      </c>
      <c r="W1179">
        <v>310</v>
      </c>
      <c r="Y1179">
        <v>2239</v>
      </c>
      <c r="AD1179" s="14">
        <f t="shared" si="158"/>
        <v>0.13864042933810375</v>
      </c>
      <c r="AE1179" s="14">
        <f t="shared" si="159"/>
        <v>1.0980872976949485</v>
      </c>
      <c r="AI1179" s="3">
        <f t="shared" si="157"/>
        <v>1.2367277270330523</v>
      </c>
      <c r="AU1179" s="10" t="s">
        <v>2</v>
      </c>
      <c r="AV1179" s="10" t="s">
        <v>3</v>
      </c>
      <c r="AW1179" t="s">
        <v>2107</v>
      </c>
    </row>
    <row r="1180" spans="1:49" x14ac:dyDescent="0.3">
      <c r="A1180" s="6" t="s">
        <v>2099</v>
      </c>
      <c r="B1180" s="10" t="s">
        <v>131</v>
      </c>
      <c r="C1180" t="s">
        <v>133</v>
      </c>
      <c r="D1180" s="10" t="s">
        <v>2133</v>
      </c>
      <c r="E1180" s="10">
        <v>2005</v>
      </c>
      <c r="F1180" t="s">
        <v>2661</v>
      </c>
      <c r="G1180" s="10" t="s">
        <v>34</v>
      </c>
      <c r="H1180" s="10" t="s">
        <v>17</v>
      </c>
      <c r="J1180" s="10" t="s">
        <v>228</v>
      </c>
      <c r="K1180" s="26">
        <v>4</v>
      </c>
      <c r="L1180" s="26">
        <v>4</v>
      </c>
      <c r="N1180" s="10">
        <v>1.7</v>
      </c>
      <c r="W1180">
        <v>2.5</v>
      </c>
      <c r="AD1180" s="14">
        <f t="shared" si="158"/>
        <v>1.4705882352941178</v>
      </c>
      <c r="AI1180" s="3">
        <f t="shared" si="157"/>
        <v>1.4705882352941178</v>
      </c>
      <c r="AQ1180">
        <v>60</v>
      </c>
      <c r="AR1180" t="s">
        <v>14</v>
      </c>
      <c r="AU1180" t="s">
        <v>2</v>
      </c>
      <c r="AV1180" t="s">
        <v>2023</v>
      </c>
      <c r="AW1180" s="10" t="s">
        <v>2136</v>
      </c>
    </row>
    <row r="1181" spans="1:49" x14ac:dyDescent="0.3">
      <c r="A1181" s="6" t="s">
        <v>2099</v>
      </c>
      <c r="B1181" s="10" t="s">
        <v>131</v>
      </c>
      <c r="C1181" t="s">
        <v>133</v>
      </c>
      <c r="D1181" s="10" t="s">
        <v>2133</v>
      </c>
      <c r="E1181" s="10">
        <v>2005</v>
      </c>
      <c r="F1181" t="s">
        <v>2661</v>
      </c>
      <c r="G1181" s="10" t="s">
        <v>34</v>
      </c>
      <c r="H1181" s="10" t="s">
        <v>17</v>
      </c>
      <c r="J1181" s="10" t="s">
        <v>228</v>
      </c>
      <c r="K1181" s="26">
        <v>4</v>
      </c>
      <c r="L1181" s="26">
        <v>4</v>
      </c>
      <c r="N1181" s="10">
        <v>2.8</v>
      </c>
      <c r="W1181">
        <v>2.4</v>
      </c>
      <c r="AD1181" s="14">
        <f t="shared" si="158"/>
        <v>0.85714285714285721</v>
      </c>
      <c r="AI1181" s="3">
        <f t="shared" si="157"/>
        <v>0.85714285714285721</v>
      </c>
      <c r="AQ1181">
        <v>60</v>
      </c>
      <c r="AR1181" t="s">
        <v>14</v>
      </c>
      <c r="AU1181" t="s">
        <v>2</v>
      </c>
      <c r="AV1181" t="s">
        <v>2023</v>
      </c>
      <c r="AW1181" s="10" t="s">
        <v>2136</v>
      </c>
    </row>
    <row r="1182" spans="1:49" x14ac:dyDescent="0.3">
      <c r="A1182" s="6" t="s">
        <v>2099</v>
      </c>
      <c r="B1182" s="10" t="s">
        <v>131</v>
      </c>
      <c r="C1182" t="s">
        <v>133</v>
      </c>
      <c r="D1182" s="10" t="s">
        <v>2133</v>
      </c>
      <c r="E1182" s="10">
        <v>2006</v>
      </c>
      <c r="F1182" t="s">
        <v>2661</v>
      </c>
      <c r="G1182" s="10" t="s">
        <v>34</v>
      </c>
      <c r="H1182" s="10" t="s">
        <v>17</v>
      </c>
      <c r="J1182" s="10" t="s">
        <v>228</v>
      </c>
      <c r="K1182" s="26">
        <v>4</v>
      </c>
      <c r="L1182" s="26">
        <v>4</v>
      </c>
      <c r="N1182" s="10">
        <v>1.6</v>
      </c>
      <c r="W1182">
        <v>2.4</v>
      </c>
      <c r="AD1182" s="14">
        <f t="shared" si="158"/>
        <v>1.4999999999999998</v>
      </c>
      <c r="AI1182" s="3">
        <f t="shared" si="157"/>
        <v>1.4999999999999998</v>
      </c>
      <c r="AQ1182">
        <v>60</v>
      </c>
      <c r="AR1182" t="s">
        <v>14</v>
      </c>
      <c r="AU1182" t="s">
        <v>2</v>
      </c>
      <c r="AV1182" t="s">
        <v>2023</v>
      </c>
      <c r="AW1182" s="10" t="s">
        <v>2136</v>
      </c>
    </row>
    <row r="1183" spans="1:49" x14ac:dyDescent="0.3">
      <c r="A1183" s="6" t="s">
        <v>2099</v>
      </c>
      <c r="B1183" s="10" t="s">
        <v>131</v>
      </c>
      <c r="C1183" t="s">
        <v>133</v>
      </c>
      <c r="D1183" s="10" t="s">
        <v>2133</v>
      </c>
      <c r="E1183" s="10">
        <v>2006</v>
      </c>
      <c r="F1183" t="s">
        <v>2661</v>
      </c>
      <c r="G1183" s="10" t="s">
        <v>34</v>
      </c>
      <c r="H1183" s="10" t="s">
        <v>17</v>
      </c>
      <c r="J1183" s="10" t="s">
        <v>228</v>
      </c>
      <c r="K1183" s="26">
        <v>4</v>
      </c>
      <c r="L1183" s="26">
        <v>4</v>
      </c>
      <c r="N1183" s="10">
        <v>1.8</v>
      </c>
      <c r="W1183">
        <v>2.5</v>
      </c>
      <c r="AD1183" s="14">
        <f t="shared" si="158"/>
        <v>1.3888888888888888</v>
      </c>
      <c r="AI1183" s="3">
        <f t="shared" si="157"/>
        <v>1.3888888888888888</v>
      </c>
      <c r="AQ1183">
        <v>60</v>
      </c>
      <c r="AR1183" t="s">
        <v>14</v>
      </c>
      <c r="AU1183" t="s">
        <v>2</v>
      </c>
      <c r="AV1183" t="s">
        <v>2023</v>
      </c>
      <c r="AW1183" s="10" t="s">
        <v>2136</v>
      </c>
    </row>
    <row r="1184" spans="1:49" x14ac:dyDescent="0.3">
      <c r="A1184" s="6" t="s">
        <v>2099</v>
      </c>
      <c r="B1184" s="10" t="s">
        <v>131</v>
      </c>
      <c r="C1184" t="s">
        <v>133</v>
      </c>
      <c r="D1184" s="10" t="s">
        <v>2133</v>
      </c>
      <c r="E1184" s="10">
        <v>2007</v>
      </c>
      <c r="F1184" t="s">
        <v>2661</v>
      </c>
      <c r="G1184" s="10" t="s">
        <v>34</v>
      </c>
      <c r="H1184" s="10" t="s">
        <v>17</v>
      </c>
      <c r="J1184" s="10" t="s">
        <v>228</v>
      </c>
      <c r="K1184" s="26">
        <v>4</v>
      </c>
      <c r="L1184" s="26">
        <v>4</v>
      </c>
      <c r="N1184" s="10">
        <v>1.8</v>
      </c>
      <c r="W1184">
        <v>2.6</v>
      </c>
      <c r="AD1184" s="14">
        <f t="shared" si="158"/>
        <v>1.4444444444444444</v>
      </c>
      <c r="AI1184" s="3">
        <f t="shared" si="157"/>
        <v>1.4444444444444444</v>
      </c>
      <c r="AQ1184">
        <v>60</v>
      </c>
      <c r="AR1184" t="s">
        <v>14</v>
      </c>
      <c r="AU1184" t="s">
        <v>2</v>
      </c>
      <c r="AV1184" t="s">
        <v>2023</v>
      </c>
      <c r="AW1184" s="10" t="s">
        <v>2136</v>
      </c>
    </row>
    <row r="1185" spans="1:49" x14ac:dyDescent="0.3">
      <c r="A1185" s="6" t="s">
        <v>2099</v>
      </c>
      <c r="B1185" s="10" t="s">
        <v>131</v>
      </c>
      <c r="C1185" t="s">
        <v>133</v>
      </c>
      <c r="D1185" s="10" t="s">
        <v>2133</v>
      </c>
      <c r="E1185" s="10">
        <v>2007</v>
      </c>
      <c r="F1185" t="s">
        <v>2661</v>
      </c>
      <c r="G1185" s="10" t="s">
        <v>34</v>
      </c>
      <c r="H1185" s="10" t="s">
        <v>17</v>
      </c>
      <c r="J1185" s="10" t="s">
        <v>228</v>
      </c>
      <c r="K1185" s="26">
        <v>4</v>
      </c>
      <c r="L1185" s="26">
        <v>4</v>
      </c>
      <c r="N1185" s="10">
        <v>2.2000000000000002</v>
      </c>
      <c r="W1185">
        <v>2.2999999999999998</v>
      </c>
      <c r="AD1185" s="14">
        <f t="shared" si="158"/>
        <v>1.0454545454545452</v>
      </c>
      <c r="AI1185" s="3">
        <f t="shared" si="157"/>
        <v>1.0454545454545452</v>
      </c>
      <c r="AQ1185">
        <v>60</v>
      </c>
      <c r="AR1185" t="s">
        <v>14</v>
      </c>
      <c r="AU1185" t="s">
        <v>2</v>
      </c>
      <c r="AV1185" t="s">
        <v>2023</v>
      </c>
      <c r="AW1185" s="10" t="s">
        <v>2136</v>
      </c>
    </row>
    <row r="1186" spans="1:49" x14ac:dyDescent="0.3">
      <c r="A1186" s="6" t="s">
        <v>2099</v>
      </c>
      <c r="B1186" s="10" t="s">
        <v>131</v>
      </c>
      <c r="C1186" t="s">
        <v>133</v>
      </c>
      <c r="D1186" s="10" t="s">
        <v>2133</v>
      </c>
      <c r="E1186" s="10">
        <v>2008</v>
      </c>
      <c r="F1186" t="s">
        <v>2661</v>
      </c>
      <c r="G1186" s="10" t="s">
        <v>34</v>
      </c>
      <c r="H1186" s="10" t="s">
        <v>17</v>
      </c>
      <c r="J1186" s="10" t="s">
        <v>228</v>
      </c>
      <c r="K1186" s="26">
        <v>4</v>
      </c>
      <c r="L1186" s="26">
        <v>4</v>
      </c>
      <c r="N1186" s="10">
        <v>1.5</v>
      </c>
      <c r="W1186">
        <v>2.1</v>
      </c>
      <c r="AD1186" s="14">
        <f t="shared" si="158"/>
        <v>1.4000000000000001</v>
      </c>
      <c r="AI1186" s="3">
        <f t="shared" si="157"/>
        <v>1.4000000000000001</v>
      </c>
      <c r="AQ1186">
        <v>60</v>
      </c>
      <c r="AR1186" t="s">
        <v>14</v>
      </c>
      <c r="AU1186" t="s">
        <v>2</v>
      </c>
      <c r="AV1186" t="s">
        <v>2023</v>
      </c>
      <c r="AW1186" s="10" t="s">
        <v>2136</v>
      </c>
    </row>
    <row r="1187" spans="1:49" x14ac:dyDescent="0.3">
      <c r="A1187" s="6" t="s">
        <v>2099</v>
      </c>
      <c r="B1187" s="10" t="s">
        <v>131</v>
      </c>
      <c r="C1187" t="s">
        <v>133</v>
      </c>
      <c r="D1187" s="10" t="s">
        <v>2133</v>
      </c>
      <c r="E1187" s="10">
        <v>2008</v>
      </c>
      <c r="F1187" t="s">
        <v>2661</v>
      </c>
      <c r="G1187" s="10" t="s">
        <v>34</v>
      </c>
      <c r="H1187" s="10" t="s">
        <v>17</v>
      </c>
      <c r="J1187" s="10" t="s">
        <v>228</v>
      </c>
      <c r="K1187" s="26">
        <v>4</v>
      </c>
      <c r="L1187" s="26">
        <v>4</v>
      </c>
      <c r="N1187" s="10">
        <v>2.2999999999999998</v>
      </c>
      <c r="W1187">
        <v>2.4</v>
      </c>
      <c r="AD1187" s="14">
        <f t="shared" si="158"/>
        <v>1.0434782608695652</v>
      </c>
      <c r="AI1187" s="3">
        <f t="shared" si="157"/>
        <v>1.0434782608695652</v>
      </c>
      <c r="AQ1187">
        <v>60</v>
      </c>
      <c r="AR1187" t="s">
        <v>14</v>
      </c>
      <c r="AU1187" t="s">
        <v>2</v>
      </c>
      <c r="AV1187" t="s">
        <v>2023</v>
      </c>
      <c r="AW1187" s="10" t="s">
        <v>2136</v>
      </c>
    </row>
    <row r="1188" spans="1:49" x14ac:dyDescent="0.3">
      <c r="A1188" s="6" t="s">
        <v>2099</v>
      </c>
      <c r="B1188" s="10" t="s">
        <v>131</v>
      </c>
      <c r="C1188" t="s">
        <v>133</v>
      </c>
      <c r="D1188" s="10" t="s">
        <v>2133</v>
      </c>
      <c r="E1188" s="10">
        <v>2009</v>
      </c>
      <c r="F1188" t="s">
        <v>2661</v>
      </c>
      <c r="G1188" s="10" t="s">
        <v>34</v>
      </c>
      <c r="H1188" s="10" t="s">
        <v>17</v>
      </c>
      <c r="J1188" s="10" t="s">
        <v>228</v>
      </c>
      <c r="K1188" s="26">
        <v>4</v>
      </c>
      <c r="L1188" s="26">
        <v>4</v>
      </c>
      <c r="N1188" s="10">
        <v>2</v>
      </c>
      <c r="W1188">
        <v>2.2999999999999998</v>
      </c>
      <c r="AD1188" s="14">
        <f t="shared" si="158"/>
        <v>1.1499999999999999</v>
      </c>
      <c r="AI1188" s="3">
        <f t="shared" si="157"/>
        <v>1.1499999999999999</v>
      </c>
      <c r="AQ1188">
        <v>60</v>
      </c>
      <c r="AR1188" t="s">
        <v>14</v>
      </c>
      <c r="AU1188" t="s">
        <v>2</v>
      </c>
      <c r="AV1188" t="s">
        <v>2023</v>
      </c>
      <c r="AW1188" s="10" t="s">
        <v>2136</v>
      </c>
    </row>
    <row r="1189" spans="1:49" x14ac:dyDescent="0.3">
      <c r="A1189" s="6" t="s">
        <v>2099</v>
      </c>
      <c r="B1189" s="10" t="s">
        <v>131</v>
      </c>
      <c r="C1189" t="s">
        <v>133</v>
      </c>
      <c r="D1189" s="10" t="s">
        <v>2133</v>
      </c>
      <c r="E1189" s="10">
        <v>2009</v>
      </c>
      <c r="F1189" t="s">
        <v>2661</v>
      </c>
      <c r="G1189" s="10" t="s">
        <v>34</v>
      </c>
      <c r="H1189" s="10" t="s">
        <v>17</v>
      </c>
      <c r="J1189" s="10" t="s">
        <v>228</v>
      </c>
      <c r="K1189" s="26">
        <v>4</v>
      </c>
      <c r="L1189" s="26">
        <v>4</v>
      </c>
      <c r="N1189" s="10">
        <v>2.2000000000000002</v>
      </c>
      <c r="W1189">
        <v>2.6</v>
      </c>
      <c r="AD1189" s="14">
        <f t="shared" si="158"/>
        <v>1.1818181818181817</v>
      </c>
      <c r="AI1189" s="3">
        <f t="shared" si="157"/>
        <v>1.1818181818181817</v>
      </c>
      <c r="AQ1189">
        <v>60</v>
      </c>
      <c r="AR1189" t="s">
        <v>14</v>
      </c>
      <c r="AU1189" t="s">
        <v>2</v>
      </c>
      <c r="AV1189" t="s">
        <v>2023</v>
      </c>
      <c r="AW1189" s="10" t="s">
        <v>2136</v>
      </c>
    </row>
    <row r="1190" spans="1:49" x14ac:dyDescent="0.3">
      <c r="A1190" s="6" t="s">
        <v>2099</v>
      </c>
      <c r="B1190" s="10" t="s">
        <v>131</v>
      </c>
      <c r="C1190" t="s">
        <v>133</v>
      </c>
      <c r="D1190" s="10" t="s">
        <v>2133</v>
      </c>
      <c r="E1190" s="10">
        <v>2010</v>
      </c>
      <c r="F1190" t="s">
        <v>2661</v>
      </c>
      <c r="G1190" s="10" t="s">
        <v>34</v>
      </c>
      <c r="H1190" s="10" t="s">
        <v>17</v>
      </c>
      <c r="J1190" s="10" t="s">
        <v>228</v>
      </c>
      <c r="K1190" s="26">
        <v>4</v>
      </c>
      <c r="L1190" s="26">
        <v>4</v>
      </c>
      <c r="N1190" s="10">
        <v>1.6</v>
      </c>
      <c r="W1190">
        <v>2.2999999999999998</v>
      </c>
      <c r="AD1190" s="14">
        <f t="shared" si="158"/>
        <v>1.4374999999999998</v>
      </c>
      <c r="AI1190" s="3">
        <f t="shared" si="157"/>
        <v>1.4374999999999998</v>
      </c>
      <c r="AQ1190">
        <v>60</v>
      </c>
      <c r="AR1190" t="s">
        <v>14</v>
      </c>
      <c r="AU1190" t="s">
        <v>2</v>
      </c>
      <c r="AV1190" t="s">
        <v>2023</v>
      </c>
      <c r="AW1190" s="10" t="s">
        <v>2136</v>
      </c>
    </row>
    <row r="1191" spans="1:49" x14ac:dyDescent="0.3">
      <c r="A1191" s="6" t="s">
        <v>2099</v>
      </c>
      <c r="B1191" s="10" t="s">
        <v>131</v>
      </c>
      <c r="C1191" t="s">
        <v>133</v>
      </c>
      <c r="D1191" s="10" t="s">
        <v>2133</v>
      </c>
      <c r="E1191" s="10">
        <v>2010</v>
      </c>
      <c r="F1191" t="s">
        <v>2661</v>
      </c>
      <c r="G1191" s="10" t="s">
        <v>34</v>
      </c>
      <c r="H1191" s="10" t="s">
        <v>17</v>
      </c>
      <c r="J1191" s="10" t="s">
        <v>228</v>
      </c>
      <c r="K1191" s="26">
        <v>4</v>
      </c>
      <c r="L1191" s="26">
        <v>4</v>
      </c>
      <c r="N1191" s="10">
        <v>2.2000000000000002</v>
      </c>
      <c r="W1191">
        <v>2.5</v>
      </c>
      <c r="AD1191" s="14">
        <f t="shared" si="158"/>
        <v>1.1363636363636362</v>
      </c>
      <c r="AI1191" s="3">
        <f t="shared" si="157"/>
        <v>1.1363636363636362</v>
      </c>
      <c r="AQ1191">
        <v>60</v>
      </c>
      <c r="AR1191" t="s">
        <v>14</v>
      </c>
      <c r="AU1191" t="s">
        <v>2</v>
      </c>
      <c r="AV1191" t="s">
        <v>2023</v>
      </c>
      <c r="AW1191" s="10" t="s">
        <v>2136</v>
      </c>
    </row>
    <row r="1192" spans="1:49" x14ac:dyDescent="0.3">
      <c r="A1192" s="6" t="s">
        <v>2099</v>
      </c>
      <c r="B1192" s="10" t="s">
        <v>131</v>
      </c>
      <c r="C1192" t="s">
        <v>133</v>
      </c>
      <c r="D1192" s="10" t="s">
        <v>2133</v>
      </c>
      <c r="E1192" s="10">
        <v>2011</v>
      </c>
      <c r="F1192" t="s">
        <v>2661</v>
      </c>
      <c r="G1192" s="10" t="s">
        <v>34</v>
      </c>
      <c r="H1192" s="10" t="s">
        <v>17</v>
      </c>
      <c r="J1192" s="10" t="s">
        <v>228</v>
      </c>
      <c r="K1192" s="26">
        <v>4</v>
      </c>
      <c r="L1192" s="26">
        <v>4</v>
      </c>
      <c r="N1192" s="10">
        <v>1.3</v>
      </c>
      <c r="W1192">
        <v>2.9</v>
      </c>
      <c r="AD1192" s="14">
        <f t="shared" si="158"/>
        <v>2.2307692307692308</v>
      </c>
      <c r="AI1192" s="3">
        <f t="shared" si="157"/>
        <v>2.2307692307692308</v>
      </c>
      <c r="AQ1192">
        <v>60</v>
      </c>
      <c r="AR1192" t="s">
        <v>14</v>
      </c>
      <c r="AU1192" t="s">
        <v>2</v>
      </c>
      <c r="AV1192" t="s">
        <v>2023</v>
      </c>
      <c r="AW1192" s="10" t="s">
        <v>2136</v>
      </c>
    </row>
    <row r="1193" spans="1:49" x14ac:dyDescent="0.3">
      <c r="A1193" s="6" t="s">
        <v>2099</v>
      </c>
      <c r="B1193" s="10" t="s">
        <v>131</v>
      </c>
      <c r="C1193" t="s">
        <v>133</v>
      </c>
      <c r="D1193" s="10" t="s">
        <v>2133</v>
      </c>
      <c r="E1193" s="10">
        <v>2011</v>
      </c>
      <c r="F1193" t="s">
        <v>2661</v>
      </c>
      <c r="G1193" s="10" t="s">
        <v>34</v>
      </c>
      <c r="H1193" s="10" t="s">
        <v>17</v>
      </c>
      <c r="J1193" s="10" t="s">
        <v>228</v>
      </c>
      <c r="K1193" s="26">
        <v>4</v>
      </c>
      <c r="L1193" s="26">
        <v>4</v>
      </c>
      <c r="N1193" s="10">
        <v>2.5</v>
      </c>
      <c r="W1193">
        <v>2.7</v>
      </c>
      <c r="AD1193" s="14">
        <f t="shared" si="158"/>
        <v>1.08</v>
      </c>
      <c r="AI1193" s="3">
        <f t="shared" si="157"/>
        <v>1.08</v>
      </c>
      <c r="AQ1193">
        <v>60</v>
      </c>
      <c r="AR1193" t="s">
        <v>14</v>
      </c>
      <c r="AU1193" t="s">
        <v>2</v>
      </c>
      <c r="AV1193" t="s">
        <v>2023</v>
      </c>
      <c r="AW1193" s="10" t="s">
        <v>2136</v>
      </c>
    </row>
    <row r="1194" spans="1:49" x14ac:dyDescent="0.3">
      <c r="A1194" s="6" t="s">
        <v>2099</v>
      </c>
      <c r="B1194" s="10" t="s">
        <v>131</v>
      </c>
      <c r="C1194" t="s">
        <v>133</v>
      </c>
      <c r="D1194" s="10" t="s">
        <v>2133</v>
      </c>
      <c r="E1194" s="10">
        <v>2012</v>
      </c>
      <c r="F1194" t="s">
        <v>2661</v>
      </c>
      <c r="G1194" s="10" t="s">
        <v>34</v>
      </c>
      <c r="H1194" s="10" t="s">
        <v>17</v>
      </c>
      <c r="J1194" s="10" t="s">
        <v>228</v>
      </c>
      <c r="K1194" s="26">
        <v>4</v>
      </c>
      <c r="L1194" s="26">
        <v>4</v>
      </c>
      <c r="N1194" s="10">
        <v>1</v>
      </c>
      <c r="W1194">
        <v>2.2000000000000002</v>
      </c>
      <c r="AD1194" s="14">
        <f t="shared" si="158"/>
        <v>2.2000000000000002</v>
      </c>
      <c r="AI1194" s="3">
        <f t="shared" si="157"/>
        <v>2.2000000000000002</v>
      </c>
      <c r="AQ1194">
        <v>60</v>
      </c>
      <c r="AR1194" t="s">
        <v>14</v>
      </c>
      <c r="AU1194" t="s">
        <v>2</v>
      </c>
      <c r="AV1194" t="s">
        <v>2023</v>
      </c>
      <c r="AW1194" s="10" t="s">
        <v>2136</v>
      </c>
    </row>
    <row r="1195" spans="1:49" x14ac:dyDescent="0.3">
      <c r="A1195" s="6" t="s">
        <v>2099</v>
      </c>
      <c r="B1195" s="10" t="s">
        <v>131</v>
      </c>
      <c r="C1195" t="s">
        <v>133</v>
      </c>
      <c r="D1195" s="10" t="s">
        <v>2133</v>
      </c>
      <c r="E1195" s="10">
        <v>2012</v>
      </c>
      <c r="F1195" t="s">
        <v>2661</v>
      </c>
      <c r="G1195" s="10" t="s">
        <v>34</v>
      </c>
      <c r="H1195" s="10" t="s">
        <v>17</v>
      </c>
      <c r="J1195" s="10" t="s">
        <v>228</v>
      </c>
      <c r="K1195" s="26">
        <v>4</v>
      </c>
      <c r="L1195" s="26">
        <v>4</v>
      </c>
      <c r="N1195" s="10">
        <v>1</v>
      </c>
      <c r="W1195">
        <v>1.8</v>
      </c>
      <c r="AD1195" s="14">
        <f t="shared" si="158"/>
        <v>1.8</v>
      </c>
      <c r="AI1195" s="3">
        <f t="shared" si="157"/>
        <v>1.8</v>
      </c>
      <c r="AQ1195">
        <v>60</v>
      </c>
      <c r="AR1195" t="s">
        <v>14</v>
      </c>
      <c r="AU1195" t="s">
        <v>2</v>
      </c>
      <c r="AV1195" t="s">
        <v>2023</v>
      </c>
      <c r="AW1195" s="10" t="s">
        <v>2136</v>
      </c>
    </row>
    <row r="1196" spans="1:49" x14ac:dyDescent="0.3">
      <c r="A1196" s="6" t="s">
        <v>2099</v>
      </c>
      <c r="B1196" s="10" t="s">
        <v>131</v>
      </c>
      <c r="C1196" t="s">
        <v>133</v>
      </c>
      <c r="D1196" s="10" t="s">
        <v>2133</v>
      </c>
      <c r="E1196" s="10">
        <v>2005</v>
      </c>
      <c r="F1196" t="s">
        <v>2661</v>
      </c>
      <c r="G1196" s="10" t="s">
        <v>34</v>
      </c>
      <c r="H1196" s="10" t="s">
        <v>17</v>
      </c>
      <c r="J1196" s="10" t="s">
        <v>2134</v>
      </c>
      <c r="K1196" s="26">
        <v>4</v>
      </c>
      <c r="L1196" s="26">
        <v>4</v>
      </c>
      <c r="N1196" s="10">
        <v>1.7</v>
      </c>
      <c r="W1196">
        <v>2.6</v>
      </c>
      <c r="AD1196" s="14">
        <f t="shared" si="158"/>
        <v>1.5294117647058825</v>
      </c>
      <c r="AI1196" s="3">
        <f t="shared" si="157"/>
        <v>1.5294117647058825</v>
      </c>
      <c r="AQ1196">
        <v>60</v>
      </c>
      <c r="AR1196" t="s">
        <v>14</v>
      </c>
      <c r="AU1196" t="s">
        <v>2</v>
      </c>
      <c r="AV1196" t="s">
        <v>2023</v>
      </c>
      <c r="AW1196" s="10" t="s">
        <v>2136</v>
      </c>
    </row>
    <row r="1197" spans="1:49" x14ac:dyDescent="0.3">
      <c r="A1197" s="6" t="s">
        <v>2099</v>
      </c>
      <c r="B1197" s="10" t="s">
        <v>131</v>
      </c>
      <c r="C1197" t="s">
        <v>133</v>
      </c>
      <c r="D1197" s="10" t="s">
        <v>2133</v>
      </c>
      <c r="E1197" s="10">
        <v>2005</v>
      </c>
      <c r="F1197" t="s">
        <v>2661</v>
      </c>
      <c r="G1197" s="10" t="s">
        <v>34</v>
      </c>
      <c r="H1197" s="10" t="s">
        <v>17</v>
      </c>
      <c r="J1197" s="10" t="s">
        <v>2134</v>
      </c>
      <c r="K1197" s="26">
        <v>4</v>
      </c>
      <c r="L1197" s="26">
        <v>4</v>
      </c>
      <c r="N1197" s="10">
        <v>2.8</v>
      </c>
      <c r="W1197">
        <v>3.1</v>
      </c>
      <c r="AD1197" s="14">
        <f t="shared" si="158"/>
        <v>1.1071428571428572</v>
      </c>
      <c r="AI1197" s="3">
        <f t="shared" si="157"/>
        <v>1.1071428571428572</v>
      </c>
      <c r="AQ1197">
        <v>60</v>
      </c>
      <c r="AR1197" t="s">
        <v>14</v>
      </c>
      <c r="AU1197" t="s">
        <v>2</v>
      </c>
      <c r="AV1197" t="s">
        <v>2023</v>
      </c>
      <c r="AW1197" s="10" t="s">
        <v>2136</v>
      </c>
    </row>
    <row r="1198" spans="1:49" x14ac:dyDescent="0.3">
      <c r="A1198" s="6" t="s">
        <v>2099</v>
      </c>
      <c r="B1198" s="10" t="s">
        <v>131</v>
      </c>
      <c r="C1198" t="s">
        <v>133</v>
      </c>
      <c r="D1198" s="10" t="s">
        <v>2133</v>
      </c>
      <c r="E1198" s="10">
        <v>2006</v>
      </c>
      <c r="F1198" t="s">
        <v>2661</v>
      </c>
      <c r="G1198" s="10" t="s">
        <v>34</v>
      </c>
      <c r="H1198" s="10" t="s">
        <v>17</v>
      </c>
      <c r="J1198" s="10" t="s">
        <v>2134</v>
      </c>
      <c r="K1198" s="26">
        <v>4</v>
      </c>
      <c r="L1198" s="26">
        <v>4</v>
      </c>
      <c r="N1198" s="10">
        <v>1.6</v>
      </c>
      <c r="W1198">
        <v>3</v>
      </c>
      <c r="AD1198" s="14">
        <f t="shared" si="158"/>
        <v>1.875</v>
      </c>
      <c r="AI1198" s="3">
        <f t="shared" si="157"/>
        <v>1.875</v>
      </c>
      <c r="AQ1198">
        <v>60</v>
      </c>
      <c r="AR1198" t="s">
        <v>14</v>
      </c>
      <c r="AU1198" t="s">
        <v>2</v>
      </c>
      <c r="AV1198" t="s">
        <v>2023</v>
      </c>
      <c r="AW1198" s="10" t="s">
        <v>2136</v>
      </c>
    </row>
    <row r="1199" spans="1:49" x14ac:dyDescent="0.3">
      <c r="A1199" s="6" t="s">
        <v>2099</v>
      </c>
      <c r="B1199" s="10" t="s">
        <v>131</v>
      </c>
      <c r="C1199" t="s">
        <v>133</v>
      </c>
      <c r="D1199" s="10" t="s">
        <v>2133</v>
      </c>
      <c r="E1199" s="10">
        <v>2006</v>
      </c>
      <c r="F1199" t="s">
        <v>2661</v>
      </c>
      <c r="G1199" s="10" t="s">
        <v>34</v>
      </c>
      <c r="H1199" s="10" t="s">
        <v>17</v>
      </c>
      <c r="J1199" s="10" t="s">
        <v>2134</v>
      </c>
      <c r="K1199" s="26">
        <v>4</v>
      </c>
      <c r="L1199" s="26">
        <v>4</v>
      </c>
      <c r="N1199" s="10">
        <v>1.8</v>
      </c>
      <c r="W1199">
        <v>2.7</v>
      </c>
      <c r="AD1199" s="14">
        <f t="shared" si="158"/>
        <v>1.5</v>
      </c>
      <c r="AI1199" s="3">
        <f t="shared" si="157"/>
        <v>1.5</v>
      </c>
      <c r="AQ1199">
        <v>60</v>
      </c>
      <c r="AR1199" t="s">
        <v>14</v>
      </c>
      <c r="AU1199" t="s">
        <v>2</v>
      </c>
      <c r="AV1199" t="s">
        <v>2023</v>
      </c>
      <c r="AW1199" s="10" t="s">
        <v>2136</v>
      </c>
    </row>
    <row r="1200" spans="1:49" x14ac:dyDescent="0.3">
      <c r="A1200" s="6" t="s">
        <v>2099</v>
      </c>
      <c r="B1200" s="10" t="s">
        <v>131</v>
      </c>
      <c r="C1200" t="s">
        <v>133</v>
      </c>
      <c r="D1200" s="10" t="s">
        <v>2133</v>
      </c>
      <c r="E1200" s="10">
        <v>2007</v>
      </c>
      <c r="F1200" t="s">
        <v>2661</v>
      </c>
      <c r="G1200" s="10" t="s">
        <v>34</v>
      </c>
      <c r="H1200" s="10" t="s">
        <v>17</v>
      </c>
      <c r="J1200" s="10" t="s">
        <v>2134</v>
      </c>
      <c r="K1200" s="26">
        <v>4</v>
      </c>
      <c r="L1200" s="26">
        <v>4</v>
      </c>
      <c r="N1200" s="10">
        <v>1.8</v>
      </c>
      <c r="W1200">
        <v>2.5</v>
      </c>
      <c r="AD1200" s="14">
        <f t="shared" si="158"/>
        <v>1.3888888888888888</v>
      </c>
      <c r="AI1200" s="3">
        <f t="shared" si="157"/>
        <v>1.3888888888888888</v>
      </c>
      <c r="AQ1200">
        <v>60</v>
      </c>
      <c r="AR1200" t="s">
        <v>14</v>
      </c>
      <c r="AU1200" t="s">
        <v>2</v>
      </c>
      <c r="AV1200" t="s">
        <v>2023</v>
      </c>
      <c r="AW1200" s="10" t="s">
        <v>2136</v>
      </c>
    </row>
    <row r="1201" spans="1:49" x14ac:dyDescent="0.3">
      <c r="A1201" s="6" t="s">
        <v>2099</v>
      </c>
      <c r="B1201" s="10" t="s">
        <v>131</v>
      </c>
      <c r="C1201" t="s">
        <v>133</v>
      </c>
      <c r="D1201" s="10" t="s">
        <v>2133</v>
      </c>
      <c r="E1201" s="10">
        <v>2007</v>
      </c>
      <c r="F1201" t="s">
        <v>2661</v>
      </c>
      <c r="G1201" s="10" t="s">
        <v>34</v>
      </c>
      <c r="H1201" s="10" t="s">
        <v>17</v>
      </c>
      <c r="J1201" s="10" t="s">
        <v>2134</v>
      </c>
      <c r="K1201" s="26">
        <v>4</v>
      </c>
      <c r="L1201" s="26">
        <v>4</v>
      </c>
      <c r="N1201" s="10">
        <v>2.2000000000000002</v>
      </c>
      <c r="W1201">
        <v>2.4</v>
      </c>
      <c r="AD1201" s="14">
        <f t="shared" si="158"/>
        <v>1.0909090909090908</v>
      </c>
      <c r="AI1201" s="3">
        <f t="shared" si="157"/>
        <v>1.0909090909090908</v>
      </c>
      <c r="AQ1201">
        <v>60</v>
      </c>
      <c r="AR1201" t="s">
        <v>14</v>
      </c>
      <c r="AU1201" t="s">
        <v>2</v>
      </c>
      <c r="AV1201" t="s">
        <v>2023</v>
      </c>
      <c r="AW1201" s="10" t="s">
        <v>2136</v>
      </c>
    </row>
    <row r="1202" spans="1:49" x14ac:dyDescent="0.3">
      <c r="A1202" s="6" t="s">
        <v>2099</v>
      </c>
      <c r="B1202" s="10" t="s">
        <v>131</v>
      </c>
      <c r="C1202" t="s">
        <v>133</v>
      </c>
      <c r="D1202" s="10" t="s">
        <v>2133</v>
      </c>
      <c r="E1202" s="10">
        <v>2008</v>
      </c>
      <c r="F1202" t="s">
        <v>2661</v>
      </c>
      <c r="G1202" s="10" t="s">
        <v>34</v>
      </c>
      <c r="H1202" s="10" t="s">
        <v>17</v>
      </c>
      <c r="J1202" s="10" t="s">
        <v>2134</v>
      </c>
      <c r="K1202" s="26">
        <v>4</v>
      </c>
      <c r="L1202" s="26">
        <v>4</v>
      </c>
      <c r="N1202" s="10">
        <v>1.5</v>
      </c>
      <c r="W1202">
        <v>2.5</v>
      </c>
      <c r="AD1202" s="14">
        <f t="shared" si="158"/>
        <v>1.6666666666666667</v>
      </c>
      <c r="AI1202" s="3">
        <f t="shared" si="157"/>
        <v>1.6666666666666667</v>
      </c>
      <c r="AQ1202">
        <v>60</v>
      </c>
      <c r="AR1202" t="s">
        <v>14</v>
      </c>
      <c r="AU1202" t="s">
        <v>2</v>
      </c>
      <c r="AV1202" t="s">
        <v>2023</v>
      </c>
      <c r="AW1202" s="10" t="s">
        <v>2136</v>
      </c>
    </row>
    <row r="1203" spans="1:49" x14ac:dyDescent="0.3">
      <c r="A1203" s="6" t="s">
        <v>2099</v>
      </c>
      <c r="B1203" s="10" t="s">
        <v>131</v>
      </c>
      <c r="C1203" t="s">
        <v>133</v>
      </c>
      <c r="D1203" s="10" t="s">
        <v>2133</v>
      </c>
      <c r="E1203" s="10">
        <v>2008</v>
      </c>
      <c r="F1203" t="s">
        <v>2661</v>
      </c>
      <c r="G1203" s="10" t="s">
        <v>34</v>
      </c>
      <c r="H1203" s="10" t="s">
        <v>17</v>
      </c>
      <c r="J1203" s="10" t="s">
        <v>2134</v>
      </c>
      <c r="K1203" s="26">
        <v>4</v>
      </c>
      <c r="L1203" s="26">
        <v>4</v>
      </c>
      <c r="N1203" s="10">
        <v>2.2999999999999998</v>
      </c>
      <c r="W1203">
        <v>3</v>
      </c>
      <c r="AD1203" s="14">
        <f t="shared" si="158"/>
        <v>1.3043478260869565</v>
      </c>
      <c r="AI1203" s="3">
        <f t="shared" si="157"/>
        <v>1.3043478260869565</v>
      </c>
      <c r="AQ1203">
        <v>60</v>
      </c>
      <c r="AR1203" t="s">
        <v>14</v>
      </c>
      <c r="AU1203" t="s">
        <v>2</v>
      </c>
      <c r="AV1203" t="s">
        <v>2023</v>
      </c>
      <c r="AW1203" s="10" t="s">
        <v>2136</v>
      </c>
    </row>
    <row r="1204" spans="1:49" x14ac:dyDescent="0.3">
      <c r="A1204" s="6" t="s">
        <v>2099</v>
      </c>
      <c r="B1204" s="10" t="s">
        <v>131</v>
      </c>
      <c r="C1204" t="s">
        <v>133</v>
      </c>
      <c r="D1204" s="10" t="s">
        <v>2133</v>
      </c>
      <c r="E1204" s="10">
        <v>2009</v>
      </c>
      <c r="F1204" t="s">
        <v>2661</v>
      </c>
      <c r="G1204" s="10" t="s">
        <v>34</v>
      </c>
      <c r="H1204" s="10" t="s">
        <v>17</v>
      </c>
      <c r="J1204" s="10" t="s">
        <v>2134</v>
      </c>
      <c r="K1204" s="26">
        <v>4</v>
      </c>
      <c r="L1204" s="26">
        <v>4</v>
      </c>
      <c r="N1204" s="10">
        <v>2</v>
      </c>
      <c r="W1204">
        <v>2.5</v>
      </c>
      <c r="AD1204" s="14">
        <f t="shared" si="158"/>
        <v>1.25</v>
      </c>
      <c r="AI1204" s="3">
        <f t="shared" si="157"/>
        <v>1.25</v>
      </c>
      <c r="AQ1204">
        <v>60</v>
      </c>
      <c r="AR1204" t="s">
        <v>14</v>
      </c>
      <c r="AU1204" t="s">
        <v>2</v>
      </c>
      <c r="AV1204" t="s">
        <v>2023</v>
      </c>
      <c r="AW1204" s="10" t="s">
        <v>2136</v>
      </c>
    </row>
    <row r="1205" spans="1:49" x14ac:dyDescent="0.3">
      <c r="A1205" s="6" t="s">
        <v>2099</v>
      </c>
      <c r="B1205" s="10" t="s">
        <v>131</v>
      </c>
      <c r="C1205" t="s">
        <v>133</v>
      </c>
      <c r="D1205" s="10" t="s">
        <v>2133</v>
      </c>
      <c r="E1205" s="10">
        <v>2009</v>
      </c>
      <c r="F1205" t="s">
        <v>2661</v>
      </c>
      <c r="G1205" s="10" t="s">
        <v>34</v>
      </c>
      <c r="H1205" s="10" t="s">
        <v>17</v>
      </c>
      <c r="J1205" s="10" t="s">
        <v>2134</v>
      </c>
      <c r="K1205" s="26">
        <v>4</v>
      </c>
      <c r="L1205" s="26">
        <v>4</v>
      </c>
      <c r="N1205" s="10">
        <v>2.2000000000000002</v>
      </c>
      <c r="W1205">
        <v>2.9</v>
      </c>
      <c r="AD1205" s="14">
        <f t="shared" si="158"/>
        <v>1.3181818181818181</v>
      </c>
      <c r="AI1205" s="3">
        <f t="shared" si="157"/>
        <v>1.3181818181818181</v>
      </c>
      <c r="AQ1205">
        <v>60</v>
      </c>
      <c r="AR1205" t="s">
        <v>14</v>
      </c>
      <c r="AU1205" t="s">
        <v>2</v>
      </c>
      <c r="AV1205" t="s">
        <v>2023</v>
      </c>
      <c r="AW1205" s="10" t="s">
        <v>2136</v>
      </c>
    </row>
    <row r="1206" spans="1:49" x14ac:dyDescent="0.3">
      <c r="A1206" s="6" t="s">
        <v>2099</v>
      </c>
      <c r="B1206" s="10" t="s">
        <v>131</v>
      </c>
      <c r="C1206" t="s">
        <v>133</v>
      </c>
      <c r="D1206" s="10" t="s">
        <v>2133</v>
      </c>
      <c r="E1206" s="10">
        <v>2010</v>
      </c>
      <c r="F1206" t="s">
        <v>2661</v>
      </c>
      <c r="G1206" s="10" t="s">
        <v>34</v>
      </c>
      <c r="H1206" s="10" t="s">
        <v>17</v>
      </c>
      <c r="J1206" s="10" t="s">
        <v>2134</v>
      </c>
      <c r="K1206" s="26">
        <v>4</v>
      </c>
      <c r="L1206" s="26">
        <v>4</v>
      </c>
      <c r="N1206" s="10">
        <v>1.6</v>
      </c>
      <c r="W1206">
        <v>2.2999999999999998</v>
      </c>
      <c r="AD1206" s="14">
        <f t="shared" si="158"/>
        <v>1.4374999999999998</v>
      </c>
      <c r="AI1206" s="3">
        <f t="shared" si="157"/>
        <v>1.4374999999999998</v>
      </c>
      <c r="AQ1206">
        <v>60</v>
      </c>
      <c r="AR1206" t="s">
        <v>14</v>
      </c>
      <c r="AU1206" t="s">
        <v>2</v>
      </c>
      <c r="AV1206" t="s">
        <v>2023</v>
      </c>
      <c r="AW1206" s="10" t="s">
        <v>2136</v>
      </c>
    </row>
    <row r="1207" spans="1:49" x14ac:dyDescent="0.3">
      <c r="A1207" s="6" t="s">
        <v>2099</v>
      </c>
      <c r="B1207" s="10" t="s">
        <v>131</v>
      </c>
      <c r="C1207" t="s">
        <v>133</v>
      </c>
      <c r="D1207" s="10" t="s">
        <v>2133</v>
      </c>
      <c r="E1207" s="10">
        <v>2010</v>
      </c>
      <c r="F1207" t="s">
        <v>2661</v>
      </c>
      <c r="G1207" s="10" t="s">
        <v>34</v>
      </c>
      <c r="H1207" s="10" t="s">
        <v>17</v>
      </c>
      <c r="J1207" s="10" t="s">
        <v>2134</v>
      </c>
      <c r="K1207" s="26">
        <v>4</v>
      </c>
      <c r="L1207" s="26">
        <v>4</v>
      </c>
      <c r="N1207" s="10">
        <v>2.2000000000000002</v>
      </c>
      <c r="W1207">
        <v>2.9</v>
      </c>
      <c r="AD1207" s="14">
        <f t="shared" si="158"/>
        <v>1.3181818181818181</v>
      </c>
      <c r="AI1207" s="3">
        <f t="shared" si="157"/>
        <v>1.3181818181818181</v>
      </c>
      <c r="AQ1207">
        <v>60</v>
      </c>
      <c r="AR1207" t="s">
        <v>14</v>
      </c>
      <c r="AU1207" t="s">
        <v>2</v>
      </c>
      <c r="AV1207" t="s">
        <v>2023</v>
      </c>
      <c r="AW1207" s="10" t="s">
        <v>2136</v>
      </c>
    </row>
    <row r="1208" spans="1:49" x14ac:dyDescent="0.3">
      <c r="A1208" s="6" t="s">
        <v>2099</v>
      </c>
      <c r="B1208" s="10" t="s">
        <v>131</v>
      </c>
      <c r="C1208" t="s">
        <v>133</v>
      </c>
      <c r="D1208" s="10" t="s">
        <v>2133</v>
      </c>
      <c r="E1208" s="10">
        <v>2011</v>
      </c>
      <c r="F1208" t="s">
        <v>2661</v>
      </c>
      <c r="G1208" s="10" t="s">
        <v>34</v>
      </c>
      <c r="H1208" s="10" t="s">
        <v>17</v>
      </c>
      <c r="J1208" s="10" t="s">
        <v>2134</v>
      </c>
      <c r="K1208" s="26">
        <v>4</v>
      </c>
      <c r="L1208" s="26">
        <v>4</v>
      </c>
      <c r="N1208" s="10">
        <v>1.3</v>
      </c>
      <c r="W1208">
        <v>2.4</v>
      </c>
      <c r="AD1208" s="14">
        <f t="shared" si="158"/>
        <v>1.846153846153846</v>
      </c>
      <c r="AI1208" s="3">
        <f t="shared" si="157"/>
        <v>1.846153846153846</v>
      </c>
      <c r="AQ1208">
        <v>60</v>
      </c>
      <c r="AR1208" t="s">
        <v>14</v>
      </c>
      <c r="AU1208" t="s">
        <v>2</v>
      </c>
      <c r="AV1208" t="s">
        <v>2023</v>
      </c>
      <c r="AW1208" s="10" t="s">
        <v>2136</v>
      </c>
    </row>
    <row r="1209" spans="1:49" x14ac:dyDescent="0.3">
      <c r="A1209" s="6" t="s">
        <v>2099</v>
      </c>
      <c r="B1209" s="10" t="s">
        <v>131</v>
      </c>
      <c r="C1209" t="s">
        <v>133</v>
      </c>
      <c r="D1209" s="10" t="s">
        <v>2133</v>
      </c>
      <c r="E1209" s="10">
        <v>2011</v>
      </c>
      <c r="F1209" t="s">
        <v>2661</v>
      </c>
      <c r="G1209" s="10" t="s">
        <v>34</v>
      </c>
      <c r="H1209" s="10" t="s">
        <v>17</v>
      </c>
      <c r="J1209" s="10" t="s">
        <v>2134</v>
      </c>
      <c r="K1209" s="26">
        <v>4</v>
      </c>
      <c r="L1209" s="26">
        <v>4</v>
      </c>
      <c r="N1209" s="10">
        <v>2.5</v>
      </c>
      <c r="W1209">
        <v>3.1</v>
      </c>
      <c r="AD1209" s="14">
        <f t="shared" si="158"/>
        <v>1.24</v>
      </c>
      <c r="AI1209" s="3">
        <f t="shared" ref="AI1209:AI1272" si="160">AD1209+AE1209</f>
        <v>1.24</v>
      </c>
      <c r="AQ1209">
        <v>60</v>
      </c>
      <c r="AR1209" t="s">
        <v>14</v>
      </c>
      <c r="AU1209" t="s">
        <v>2</v>
      </c>
      <c r="AV1209" t="s">
        <v>2023</v>
      </c>
      <c r="AW1209" s="10" t="s">
        <v>2136</v>
      </c>
    </row>
    <row r="1210" spans="1:49" x14ac:dyDescent="0.3">
      <c r="A1210" s="6" t="s">
        <v>2099</v>
      </c>
      <c r="B1210" s="10" t="s">
        <v>131</v>
      </c>
      <c r="C1210" t="s">
        <v>133</v>
      </c>
      <c r="D1210" s="10" t="s">
        <v>2133</v>
      </c>
      <c r="E1210" s="10">
        <v>2012</v>
      </c>
      <c r="F1210" t="s">
        <v>2661</v>
      </c>
      <c r="G1210" s="10" t="s">
        <v>34</v>
      </c>
      <c r="H1210" s="10" t="s">
        <v>17</v>
      </c>
      <c r="J1210" s="10" t="s">
        <v>2134</v>
      </c>
      <c r="K1210" s="26">
        <v>4</v>
      </c>
      <c r="L1210" s="26">
        <v>4</v>
      </c>
      <c r="N1210" s="10">
        <v>1</v>
      </c>
      <c r="W1210">
        <v>2.2999999999999998</v>
      </c>
      <c r="AD1210" s="14">
        <f t="shared" si="158"/>
        <v>2.2999999999999998</v>
      </c>
      <c r="AI1210" s="3">
        <f t="shared" si="160"/>
        <v>2.2999999999999998</v>
      </c>
      <c r="AQ1210">
        <v>60</v>
      </c>
      <c r="AR1210" t="s">
        <v>14</v>
      </c>
      <c r="AU1210" t="s">
        <v>2</v>
      </c>
      <c r="AV1210" t="s">
        <v>2023</v>
      </c>
      <c r="AW1210" s="10" t="s">
        <v>2136</v>
      </c>
    </row>
    <row r="1211" spans="1:49" x14ac:dyDescent="0.3">
      <c r="A1211" s="6" t="s">
        <v>2099</v>
      </c>
      <c r="B1211" s="10" t="s">
        <v>131</v>
      </c>
      <c r="C1211" t="s">
        <v>133</v>
      </c>
      <c r="D1211" s="10" t="s">
        <v>2133</v>
      </c>
      <c r="E1211" s="10">
        <v>2012</v>
      </c>
      <c r="F1211" t="s">
        <v>2661</v>
      </c>
      <c r="G1211" s="10" t="s">
        <v>34</v>
      </c>
      <c r="H1211" s="10" t="s">
        <v>17</v>
      </c>
      <c r="J1211" s="10" t="s">
        <v>2134</v>
      </c>
      <c r="K1211" s="26">
        <v>4</v>
      </c>
      <c r="L1211" s="26">
        <v>4</v>
      </c>
      <c r="N1211" s="10">
        <v>1</v>
      </c>
      <c r="W1211">
        <v>2</v>
      </c>
      <c r="AD1211" s="14">
        <f t="shared" si="158"/>
        <v>2</v>
      </c>
      <c r="AI1211" s="3">
        <f t="shared" si="160"/>
        <v>2</v>
      </c>
      <c r="AQ1211">
        <v>60</v>
      </c>
      <c r="AR1211" t="s">
        <v>14</v>
      </c>
      <c r="AU1211" t="s">
        <v>2</v>
      </c>
      <c r="AV1211" t="s">
        <v>2023</v>
      </c>
      <c r="AW1211" s="10" t="s">
        <v>2136</v>
      </c>
    </row>
    <row r="1212" spans="1:49" x14ac:dyDescent="0.3">
      <c r="A1212" s="6" t="s">
        <v>2099</v>
      </c>
      <c r="B1212" s="10" t="s">
        <v>131</v>
      </c>
      <c r="C1212" t="s">
        <v>133</v>
      </c>
      <c r="D1212" s="10" t="s">
        <v>2133</v>
      </c>
      <c r="E1212" s="10">
        <v>2005</v>
      </c>
      <c r="F1212" t="s">
        <v>2661</v>
      </c>
      <c r="G1212" s="10" t="s">
        <v>34</v>
      </c>
      <c r="H1212" s="10" t="s">
        <v>17</v>
      </c>
      <c r="J1212" s="10" t="s">
        <v>1507</v>
      </c>
      <c r="K1212" s="26">
        <v>4</v>
      </c>
      <c r="L1212" s="26">
        <v>4</v>
      </c>
      <c r="N1212" s="10">
        <v>1.7</v>
      </c>
      <c r="W1212">
        <v>2.2999999999999998</v>
      </c>
      <c r="AD1212" s="14">
        <f t="shared" si="158"/>
        <v>1.3529411764705881</v>
      </c>
      <c r="AI1212" s="3">
        <f t="shared" si="160"/>
        <v>1.3529411764705881</v>
      </c>
      <c r="AQ1212">
        <v>60</v>
      </c>
      <c r="AR1212" t="s">
        <v>14</v>
      </c>
      <c r="AU1212" t="s">
        <v>2</v>
      </c>
      <c r="AV1212" t="s">
        <v>2023</v>
      </c>
      <c r="AW1212" s="10" t="s">
        <v>2136</v>
      </c>
    </row>
    <row r="1213" spans="1:49" x14ac:dyDescent="0.3">
      <c r="A1213" s="6" t="s">
        <v>2099</v>
      </c>
      <c r="B1213" s="10" t="s">
        <v>131</v>
      </c>
      <c r="C1213" t="s">
        <v>133</v>
      </c>
      <c r="D1213" s="10" t="s">
        <v>2133</v>
      </c>
      <c r="E1213" s="10">
        <v>2005</v>
      </c>
      <c r="F1213" t="s">
        <v>2661</v>
      </c>
      <c r="G1213" s="10" t="s">
        <v>34</v>
      </c>
      <c r="H1213" s="10" t="s">
        <v>17</v>
      </c>
      <c r="J1213" s="10" t="s">
        <v>1507</v>
      </c>
      <c r="K1213" s="26">
        <v>4</v>
      </c>
      <c r="L1213" s="26">
        <v>4</v>
      </c>
      <c r="N1213" s="10">
        <v>2.8</v>
      </c>
      <c r="W1213">
        <v>2.9</v>
      </c>
      <c r="AD1213" s="14">
        <f t="shared" si="158"/>
        <v>1.0357142857142858</v>
      </c>
      <c r="AI1213" s="3">
        <f t="shared" si="160"/>
        <v>1.0357142857142858</v>
      </c>
      <c r="AQ1213">
        <v>60</v>
      </c>
      <c r="AR1213" t="s">
        <v>14</v>
      </c>
      <c r="AU1213" t="s">
        <v>2</v>
      </c>
      <c r="AV1213" t="s">
        <v>2023</v>
      </c>
      <c r="AW1213" s="10" t="s">
        <v>2136</v>
      </c>
    </row>
    <row r="1214" spans="1:49" x14ac:dyDescent="0.3">
      <c r="A1214" s="6" t="s">
        <v>2099</v>
      </c>
      <c r="B1214" s="10" t="s">
        <v>131</v>
      </c>
      <c r="C1214" t="s">
        <v>133</v>
      </c>
      <c r="D1214" s="10" t="s">
        <v>2133</v>
      </c>
      <c r="E1214" s="10">
        <v>2006</v>
      </c>
      <c r="F1214" t="s">
        <v>2661</v>
      </c>
      <c r="G1214" s="10" t="s">
        <v>34</v>
      </c>
      <c r="H1214" s="10" t="s">
        <v>17</v>
      </c>
      <c r="J1214" s="10" t="s">
        <v>1507</v>
      </c>
      <c r="K1214" s="26">
        <v>4</v>
      </c>
      <c r="L1214" s="26">
        <v>4</v>
      </c>
      <c r="N1214" s="10">
        <v>1.6</v>
      </c>
      <c r="W1214">
        <v>2.7</v>
      </c>
      <c r="AD1214" s="14">
        <f t="shared" si="158"/>
        <v>1.6875</v>
      </c>
      <c r="AI1214" s="3">
        <f t="shared" si="160"/>
        <v>1.6875</v>
      </c>
      <c r="AQ1214">
        <v>60</v>
      </c>
      <c r="AR1214" t="s">
        <v>14</v>
      </c>
      <c r="AU1214" t="s">
        <v>2</v>
      </c>
      <c r="AV1214" t="s">
        <v>2023</v>
      </c>
      <c r="AW1214" s="10" t="s">
        <v>2136</v>
      </c>
    </row>
    <row r="1215" spans="1:49" x14ac:dyDescent="0.3">
      <c r="A1215" s="6" t="s">
        <v>2099</v>
      </c>
      <c r="B1215" s="10" t="s">
        <v>131</v>
      </c>
      <c r="C1215" t="s">
        <v>133</v>
      </c>
      <c r="D1215" s="10" t="s">
        <v>2133</v>
      </c>
      <c r="E1215" s="10">
        <v>2006</v>
      </c>
      <c r="F1215" t="s">
        <v>2661</v>
      </c>
      <c r="G1215" s="10" t="s">
        <v>34</v>
      </c>
      <c r="H1215" s="10" t="s">
        <v>17</v>
      </c>
      <c r="J1215" s="10" t="s">
        <v>1507</v>
      </c>
      <c r="K1215" s="26">
        <v>4</v>
      </c>
      <c r="L1215" s="26">
        <v>4</v>
      </c>
      <c r="N1215" s="10">
        <v>1.8</v>
      </c>
      <c r="W1215">
        <v>2.2000000000000002</v>
      </c>
      <c r="AD1215" s="14">
        <f t="shared" si="158"/>
        <v>1.2222222222222223</v>
      </c>
      <c r="AI1215" s="3">
        <f t="shared" si="160"/>
        <v>1.2222222222222223</v>
      </c>
      <c r="AQ1215">
        <v>60</v>
      </c>
      <c r="AR1215" t="s">
        <v>14</v>
      </c>
      <c r="AU1215" t="s">
        <v>2</v>
      </c>
      <c r="AV1215" t="s">
        <v>2023</v>
      </c>
      <c r="AW1215" s="10" t="s">
        <v>2136</v>
      </c>
    </row>
    <row r="1216" spans="1:49" x14ac:dyDescent="0.3">
      <c r="A1216" s="6" t="s">
        <v>2099</v>
      </c>
      <c r="B1216" s="10" t="s">
        <v>131</v>
      </c>
      <c r="C1216" t="s">
        <v>133</v>
      </c>
      <c r="D1216" s="10" t="s">
        <v>2133</v>
      </c>
      <c r="E1216" s="10">
        <v>2007</v>
      </c>
      <c r="F1216" t="s">
        <v>2661</v>
      </c>
      <c r="G1216" s="10" t="s">
        <v>34</v>
      </c>
      <c r="H1216" s="10" t="s">
        <v>17</v>
      </c>
      <c r="J1216" s="10" t="s">
        <v>1507</v>
      </c>
      <c r="K1216" s="26">
        <v>4</v>
      </c>
      <c r="L1216" s="26">
        <v>4</v>
      </c>
      <c r="N1216" s="10">
        <v>1.8</v>
      </c>
      <c r="W1216">
        <v>2.9</v>
      </c>
      <c r="AD1216" s="14">
        <f t="shared" si="158"/>
        <v>1.6111111111111109</v>
      </c>
      <c r="AI1216" s="3">
        <f t="shared" si="160"/>
        <v>1.6111111111111109</v>
      </c>
      <c r="AQ1216">
        <v>60</v>
      </c>
      <c r="AR1216" t="s">
        <v>14</v>
      </c>
      <c r="AU1216" t="s">
        <v>2</v>
      </c>
      <c r="AV1216" t="s">
        <v>2023</v>
      </c>
      <c r="AW1216" s="10" t="s">
        <v>2136</v>
      </c>
    </row>
    <row r="1217" spans="1:49" x14ac:dyDescent="0.3">
      <c r="A1217" s="6" t="s">
        <v>2099</v>
      </c>
      <c r="B1217" s="10" t="s">
        <v>131</v>
      </c>
      <c r="C1217" t="s">
        <v>133</v>
      </c>
      <c r="D1217" s="10" t="s">
        <v>2133</v>
      </c>
      <c r="E1217" s="10">
        <v>2007</v>
      </c>
      <c r="F1217" t="s">
        <v>2661</v>
      </c>
      <c r="G1217" s="10" t="s">
        <v>34</v>
      </c>
      <c r="H1217" s="10" t="s">
        <v>17</v>
      </c>
      <c r="J1217" s="10" t="s">
        <v>1507</v>
      </c>
      <c r="K1217" s="26">
        <v>4</v>
      </c>
      <c r="L1217" s="26">
        <v>4</v>
      </c>
      <c r="N1217" s="10">
        <v>2.2000000000000002</v>
      </c>
      <c r="W1217">
        <v>2</v>
      </c>
      <c r="AD1217" s="14">
        <f t="shared" si="158"/>
        <v>0.90909090909090906</v>
      </c>
      <c r="AI1217" s="3">
        <f t="shared" si="160"/>
        <v>0.90909090909090906</v>
      </c>
      <c r="AQ1217">
        <v>60</v>
      </c>
      <c r="AR1217" t="s">
        <v>14</v>
      </c>
      <c r="AU1217" t="s">
        <v>2</v>
      </c>
      <c r="AV1217" t="s">
        <v>2023</v>
      </c>
      <c r="AW1217" s="10" t="s">
        <v>2136</v>
      </c>
    </row>
    <row r="1218" spans="1:49" x14ac:dyDescent="0.3">
      <c r="A1218" s="6" t="s">
        <v>2099</v>
      </c>
      <c r="B1218" s="10" t="s">
        <v>131</v>
      </c>
      <c r="C1218" t="s">
        <v>133</v>
      </c>
      <c r="D1218" s="10" t="s">
        <v>2133</v>
      </c>
      <c r="E1218" s="10">
        <v>2008</v>
      </c>
      <c r="F1218" t="s">
        <v>2661</v>
      </c>
      <c r="G1218" s="10" t="s">
        <v>34</v>
      </c>
      <c r="H1218" s="10" t="s">
        <v>17</v>
      </c>
      <c r="J1218" s="10" t="s">
        <v>1507</v>
      </c>
      <c r="K1218" s="26">
        <v>4</v>
      </c>
      <c r="L1218" s="26">
        <v>4</v>
      </c>
      <c r="N1218" s="10">
        <v>1.5</v>
      </c>
      <c r="W1218">
        <v>2.2999999999999998</v>
      </c>
      <c r="AD1218" s="14">
        <f t="shared" si="158"/>
        <v>1.5333333333333332</v>
      </c>
      <c r="AI1218" s="3">
        <f t="shared" si="160"/>
        <v>1.5333333333333332</v>
      </c>
      <c r="AQ1218">
        <v>60</v>
      </c>
      <c r="AR1218" t="s">
        <v>14</v>
      </c>
      <c r="AU1218" t="s">
        <v>2</v>
      </c>
      <c r="AV1218" t="s">
        <v>2023</v>
      </c>
      <c r="AW1218" s="10" t="s">
        <v>2136</v>
      </c>
    </row>
    <row r="1219" spans="1:49" x14ac:dyDescent="0.3">
      <c r="A1219" s="6" t="s">
        <v>2099</v>
      </c>
      <c r="B1219" s="10" t="s">
        <v>131</v>
      </c>
      <c r="C1219" t="s">
        <v>133</v>
      </c>
      <c r="D1219" s="10" t="s">
        <v>2133</v>
      </c>
      <c r="E1219" s="10">
        <v>2008</v>
      </c>
      <c r="F1219" t="s">
        <v>2661</v>
      </c>
      <c r="G1219" s="10" t="s">
        <v>34</v>
      </c>
      <c r="H1219" s="10" t="s">
        <v>17</v>
      </c>
      <c r="J1219" s="10" t="s">
        <v>1507</v>
      </c>
      <c r="K1219" s="26">
        <v>4</v>
      </c>
      <c r="L1219" s="26">
        <v>4</v>
      </c>
      <c r="N1219" s="10">
        <v>2.2999999999999998</v>
      </c>
      <c r="W1219">
        <v>2.7</v>
      </c>
      <c r="AD1219" s="14">
        <f t="shared" si="158"/>
        <v>1.173913043478261</v>
      </c>
      <c r="AI1219" s="3">
        <f t="shared" si="160"/>
        <v>1.173913043478261</v>
      </c>
      <c r="AQ1219">
        <v>60</v>
      </c>
      <c r="AR1219" t="s">
        <v>14</v>
      </c>
      <c r="AU1219" t="s">
        <v>2</v>
      </c>
      <c r="AV1219" t="s">
        <v>2023</v>
      </c>
      <c r="AW1219" s="10" t="s">
        <v>2136</v>
      </c>
    </row>
    <row r="1220" spans="1:49" x14ac:dyDescent="0.3">
      <c r="A1220" s="6" t="s">
        <v>2099</v>
      </c>
      <c r="B1220" s="10" t="s">
        <v>131</v>
      </c>
      <c r="C1220" t="s">
        <v>133</v>
      </c>
      <c r="D1220" s="10" t="s">
        <v>2133</v>
      </c>
      <c r="E1220" s="10">
        <v>2009</v>
      </c>
      <c r="F1220" t="s">
        <v>2661</v>
      </c>
      <c r="G1220" s="10" t="s">
        <v>34</v>
      </c>
      <c r="H1220" s="10" t="s">
        <v>17</v>
      </c>
      <c r="J1220" s="10" t="s">
        <v>1507</v>
      </c>
      <c r="K1220" s="26">
        <v>4</v>
      </c>
      <c r="L1220" s="26">
        <v>4</v>
      </c>
      <c r="N1220" s="10">
        <v>2</v>
      </c>
      <c r="W1220">
        <v>2</v>
      </c>
      <c r="AD1220" s="14">
        <f t="shared" si="158"/>
        <v>1</v>
      </c>
      <c r="AI1220" s="3">
        <f t="shared" si="160"/>
        <v>1</v>
      </c>
      <c r="AQ1220">
        <v>60</v>
      </c>
      <c r="AR1220" t="s">
        <v>14</v>
      </c>
      <c r="AU1220" t="s">
        <v>2</v>
      </c>
      <c r="AV1220" t="s">
        <v>2023</v>
      </c>
      <c r="AW1220" s="10" t="s">
        <v>2136</v>
      </c>
    </row>
    <row r="1221" spans="1:49" x14ac:dyDescent="0.3">
      <c r="A1221" s="6" t="s">
        <v>2099</v>
      </c>
      <c r="B1221" s="10" t="s">
        <v>131</v>
      </c>
      <c r="C1221" t="s">
        <v>133</v>
      </c>
      <c r="D1221" s="10" t="s">
        <v>2133</v>
      </c>
      <c r="E1221" s="10">
        <v>2009</v>
      </c>
      <c r="F1221" t="s">
        <v>2661</v>
      </c>
      <c r="G1221" s="10" t="s">
        <v>34</v>
      </c>
      <c r="H1221" s="10" t="s">
        <v>17</v>
      </c>
      <c r="J1221" s="10" t="s">
        <v>1507</v>
      </c>
      <c r="K1221" s="26">
        <v>4</v>
      </c>
      <c r="L1221" s="26">
        <v>4</v>
      </c>
      <c r="N1221" s="10">
        <v>2.2000000000000002</v>
      </c>
      <c r="W1221">
        <v>2.8</v>
      </c>
      <c r="AD1221" s="14">
        <f t="shared" si="158"/>
        <v>1.2727272727272725</v>
      </c>
      <c r="AI1221" s="3">
        <f t="shared" si="160"/>
        <v>1.2727272727272725</v>
      </c>
      <c r="AQ1221">
        <v>60</v>
      </c>
      <c r="AR1221" t="s">
        <v>14</v>
      </c>
      <c r="AU1221" t="s">
        <v>2</v>
      </c>
      <c r="AV1221" t="s">
        <v>2023</v>
      </c>
      <c r="AW1221" s="10" t="s">
        <v>2136</v>
      </c>
    </row>
    <row r="1222" spans="1:49" x14ac:dyDescent="0.3">
      <c r="A1222" s="6" t="s">
        <v>2099</v>
      </c>
      <c r="B1222" s="10" t="s">
        <v>131</v>
      </c>
      <c r="C1222" t="s">
        <v>133</v>
      </c>
      <c r="D1222" s="10" t="s">
        <v>2133</v>
      </c>
      <c r="E1222" s="10">
        <v>2010</v>
      </c>
      <c r="F1222" t="s">
        <v>2661</v>
      </c>
      <c r="G1222" s="10" t="s">
        <v>34</v>
      </c>
      <c r="H1222" s="10" t="s">
        <v>17</v>
      </c>
      <c r="J1222" s="10" t="s">
        <v>1507</v>
      </c>
      <c r="K1222" s="26">
        <v>4</v>
      </c>
      <c r="L1222" s="26">
        <v>4</v>
      </c>
      <c r="N1222" s="10">
        <v>1.6</v>
      </c>
      <c r="W1222">
        <v>2.1</v>
      </c>
      <c r="AD1222" s="14">
        <f t="shared" si="158"/>
        <v>1.3125</v>
      </c>
      <c r="AI1222" s="3">
        <f t="shared" si="160"/>
        <v>1.3125</v>
      </c>
      <c r="AQ1222">
        <v>60</v>
      </c>
      <c r="AR1222" t="s">
        <v>14</v>
      </c>
      <c r="AU1222" t="s">
        <v>2</v>
      </c>
      <c r="AV1222" t="s">
        <v>2023</v>
      </c>
      <c r="AW1222" s="10" t="s">
        <v>2136</v>
      </c>
    </row>
    <row r="1223" spans="1:49" x14ac:dyDescent="0.3">
      <c r="A1223" s="6" t="s">
        <v>2099</v>
      </c>
      <c r="B1223" s="10" t="s">
        <v>131</v>
      </c>
      <c r="C1223" t="s">
        <v>133</v>
      </c>
      <c r="D1223" s="10" t="s">
        <v>2133</v>
      </c>
      <c r="E1223" s="10">
        <v>2010</v>
      </c>
      <c r="F1223" t="s">
        <v>2661</v>
      </c>
      <c r="G1223" s="10" t="s">
        <v>34</v>
      </c>
      <c r="H1223" s="10" t="s">
        <v>17</v>
      </c>
      <c r="J1223" s="10" t="s">
        <v>1507</v>
      </c>
      <c r="K1223" s="26">
        <v>4</v>
      </c>
      <c r="L1223" s="26">
        <v>4</v>
      </c>
      <c r="N1223" s="10">
        <v>2.2000000000000002</v>
      </c>
      <c r="W1223">
        <v>2.8</v>
      </c>
      <c r="AD1223" s="14">
        <f t="shared" si="158"/>
        <v>1.2727272727272725</v>
      </c>
      <c r="AI1223" s="3">
        <f t="shared" si="160"/>
        <v>1.2727272727272725</v>
      </c>
      <c r="AQ1223">
        <v>60</v>
      </c>
      <c r="AR1223" t="s">
        <v>14</v>
      </c>
      <c r="AU1223" t="s">
        <v>2</v>
      </c>
      <c r="AV1223" t="s">
        <v>2023</v>
      </c>
      <c r="AW1223" s="10" t="s">
        <v>2136</v>
      </c>
    </row>
    <row r="1224" spans="1:49" x14ac:dyDescent="0.3">
      <c r="A1224" s="6" t="s">
        <v>2099</v>
      </c>
      <c r="B1224" s="10" t="s">
        <v>131</v>
      </c>
      <c r="C1224" t="s">
        <v>133</v>
      </c>
      <c r="D1224" s="10" t="s">
        <v>2133</v>
      </c>
      <c r="E1224" s="10">
        <v>2011</v>
      </c>
      <c r="F1224" t="s">
        <v>2661</v>
      </c>
      <c r="G1224" s="10" t="s">
        <v>34</v>
      </c>
      <c r="H1224" s="10" t="s">
        <v>17</v>
      </c>
      <c r="J1224" s="10" t="s">
        <v>1507</v>
      </c>
      <c r="K1224" s="26">
        <v>4</v>
      </c>
      <c r="L1224" s="26">
        <v>4</v>
      </c>
      <c r="N1224" s="10">
        <v>1.3</v>
      </c>
      <c r="W1224">
        <v>2.2999999999999998</v>
      </c>
      <c r="AD1224" s="14">
        <f t="shared" ref="AD1224:AD1287" si="161">W1224/N1224</f>
        <v>1.7692307692307689</v>
      </c>
      <c r="AI1224" s="3">
        <f t="shared" si="160"/>
        <v>1.7692307692307689</v>
      </c>
      <c r="AQ1224">
        <v>60</v>
      </c>
      <c r="AR1224" t="s">
        <v>14</v>
      </c>
      <c r="AU1224" t="s">
        <v>2</v>
      </c>
      <c r="AV1224" t="s">
        <v>2023</v>
      </c>
      <c r="AW1224" s="10" t="s">
        <v>2136</v>
      </c>
    </row>
    <row r="1225" spans="1:49" x14ac:dyDescent="0.3">
      <c r="A1225" s="6" t="s">
        <v>2099</v>
      </c>
      <c r="B1225" s="10" t="s">
        <v>131</v>
      </c>
      <c r="C1225" t="s">
        <v>133</v>
      </c>
      <c r="D1225" s="10" t="s">
        <v>2133</v>
      </c>
      <c r="E1225" s="10">
        <v>2011</v>
      </c>
      <c r="F1225" t="s">
        <v>2661</v>
      </c>
      <c r="G1225" s="10" t="s">
        <v>34</v>
      </c>
      <c r="H1225" s="10" t="s">
        <v>17</v>
      </c>
      <c r="J1225" s="10" t="s">
        <v>1507</v>
      </c>
      <c r="K1225" s="26">
        <v>4</v>
      </c>
      <c r="L1225" s="26">
        <v>4</v>
      </c>
      <c r="N1225" s="10">
        <v>2.5</v>
      </c>
      <c r="W1225">
        <v>3.1</v>
      </c>
      <c r="AD1225" s="14">
        <f t="shared" si="161"/>
        <v>1.24</v>
      </c>
      <c r="AI1225" s="3">
        <f t="shared" si="160"/>
        <v>1.24</v>
      </c>
      <c r="AQ1225">
        <v>60</v>
      </c>
      <c r="AR1225" t="s">
        <v>14</v>
      </c>
      <c r="AU1225" t="s">
        <v>2</v>
      </c>
      <c r="AV1225" t="s">
        <v>2023</v>
      </c>
      <c r="AW1225" s="10" t="s">
        <v>2136</v>
      </c>
    </row>
    <row r="1226" spans="1:49" x14ac:dyDescent="0.3">
      <c r="A1226" s="6" t="s">
        <v>2099</v>
      </c>
      <c r="B1226" s="10" t="s">
        <v>131</v>
      </c>
      <c r="C1226" t="s">
        <v>133</v>
      </c>
      <c r="D1226" s="10" t="s">
        <v>2133</v>
      </c>
      <c r="E1226" s="10">
        <v>2012</v>
      </c>
      <c r="F1226" t="s">
        <v>2661</v>
      </c>
      <c r="G1226" s="10" t="s">
        <v>34</v>
      </c>
      <c r="H1226" s="10" t="s">
        <v>17</v>
      </c>
      <c r="J1226" s="10" t="s">
        <v>1507</v>
      </c>
      <c r="K1226" s="26">
        <v>4</v>
      </c>
      <c r="L1226" s="26">
        <v>4</v>
      </c>
      <c r="N1226" s="10">
        <v>1</v>
      </c>
      <c r="W1226">
        <v>2.1</v>
      </c>
      <c r="AD1226" s="14">
        <f t="shared" si="161"/>
        <v>2.1</v>
      </c>
      <c r="AI1226" s="3">
        <f t="shared" si="160"/>
        <v>2.1</v>
      </c>
      <c r="AQ1226">
        <v>60</v>
      </c>
      <c r="AR1226" t="s">
        <v>14</v>
      </c>
      <c r="AU1226" t="s">
        <v>2</v>
      </c>
      <c r="AV1226" t="s">
        <v>2023</v>
      </c>
      <c r="AW1226" s="10" t="s">
        <v>2136</v>
      </c>
    </row>
    <row r="1227" spans="1:49" x14ac:dyDescent="0.3">
      <c r="A1227" s="6" t="s">
        <v>2099</v>
      </c>
      <c r="B1227" s="10" t="s">
        <v>131</v>
      </c>
      <c r="C1227" t="s">
        <v>133</v>
      </c>
      <c r="D1227" s="10" t="s">
        <v>2133</v>
      </c>
      <c r="E1227" s="10">
        <v>2012</v>
      </c>
      <c r="F1227" t="s">
        <v>2661</v>
      </c>
      <c r="G1227" s="10" t="s">
        <v>34</v>
      </c>
      <c r="H1227" s="10" t="s">
        <v>17</v>
      </c>
      <c r="J1227" s="10" t="s">
        <v>1507</v>
      </c>
      <c r="K1227" s="26">
        <v>4</v>
      </c>
      <c r="L1227" s="26">
        <v>4</v>
      </c>
      <c r="N1227" s="10">
        <v>1</v>
      </c>
      <c r="W1227">
        <v>2.2999999999999998</v>
      </c>
      <c r="AD1227" s="14">
        <f t="shared" si="161"/>
        <v>2.2999999999999998</v>
      </c>
      <c r="AI1227" s="3">
        <f t="shared" si="160"/>
        <v>2.2999999999999998</v>
      </c>
      <c r="AQ1227">
        <v>60</v>
      </c>
      <c r="AR1227" t="s">
        <v>14</v>
      </c>
      <c r="AU1227" t="s">
        <v>2</v>
      </c>
      <c r="AV1227" t="s">
        <v>2023</v>
      </c>
      <c r="AW1227" s="10" t="s">
        <v>2136</v>
      </c>
    </row>
    <row r="1228" spans="1:49" x14ac:dyDescent="0.3">
      <c r="A1228" s="6" t="s">
        <v>2099</v>
      </c>
      <c r="B1228" s="10" t="s">
        <v>131</v>
      </c>
      <c r="C1228" t="s">
        <v>133</v>
      </c>
      <c r="D1228" s="10" t="s">
        <v>2133</v>
      </c>
      <c r="E1228" s="10">
        <v>2005</v>
      </c>
      <c r="F1228" t="s">
        <v>2661</v>
      </c>
      <c r="G1228" s="10" t="s">
        <v>34</v>
      </c>
      <c r="H1228" s="10" t="s">
        <v>17</v>
      </c>
      <c r="J1228" s="10" t="s">
        <v>119</v>
      </c>
      <c r="K1228" s="26">
        <v>4</v>
      </c>
      <c r="L1228" s="26">
        <v>4</v>
      </c>
      <c r="N1228" s="10">
        <v>1.7</v>
      </c>
      <c r="W1228">
        <v>2</v>
      </c>
      <c r="AD1228" s="14">
        <f t="shared" si="161"/>
        <v>1.1764705882352942</v>
      </c>
      <c r="AI1228" s="3">
        <f t="shared" si="160"/>
        <v>1.1764705882352942</v>
      </c>
      <c r="AQ1228">
        <v>60</v>
      </c>
      <c r="AR1228" t="s">
        <v>14</v>
      </c>
      <c r="AU1228" t="s">
        <v>2</v>
      </c>
      <c r="AV1228" t="s">
        <v>2023</v>
      </c>
      <c r="AW1228" s="10" t="s">
        <v>2136</v>
      </c>
    </row>
    <row r="1229" spans="1:49" x14ac:dyDescent="0.3">
      <c r="A1229" s="6" t="s">
        <v>2099</v>
      </c>
      <c r="B1229" s="10" t="s">
        <v>131</v>
      </c>
      <c r="C1229" t="s">
        <v>133</v>
      </c>
      <c r="D1229" s="10" t="s">
        <v>2133</v>
      </c>
      <c r="E1229" s="10">
        <v>2005</v>
      </c>
      <c r="F1229" t="s">
        <v>2661</v>
      </c>
      <c r="G1229" s="10" t="s">
        <v>34</v>
      </c>
      <c r="H1229" s="10" t="s">
        <v>17</v>
      </c>
      <c r="J1229" s="10" t="s">
        <v>119</v>
      </c>
      <c r="K1229" s="26">
        <v>4</v>
      </c>
      <c r="L1229" s="26">
        <v>4</v>
      </c>
      <c r="N1229" s="10">
        <v>2.8</v>
      </c>
      <c r="W1229">
        <v>3</v>
      </c>
      <c r="AD1229" s="14">
        <f t="shared" si="161"/>
        <v>1.0714285714285714</v>
      </c>
      <c r="AI1229" s="3">
        <f t="shared" si="160"/>
        <v>1.0714285714285714</v>
      </c>
      <c r="AQ1229">
        <v>60</v>
      </c>
      <c r="AR1229" t="s">
        <v>14</v>
      </c>
      <c r="AU1229" t="s">
        <v>2</v>
      </c>
      <c r="AV1229" t="s">
        <v>2023</v>
      </c>
      <c r="AW1229" s="10" t="s">
        <v>2136</v>
      </c>
    </row>
    <row r="1230" spans="1:49" x14ac:dyDescent="0.3">
      <c r="A1230" s="6" t="s">
        <v>2099</v>
      </c>
      <c r="B1230" s="10" t="s">
        <v>131</v>
      </c>
      <c r="C1230" t="s">
        <v>133</v>
      </c>
      <c r="D1230" s="10" t="s">
        <v>2133</v>
      </c>
      <c r="E1230" s="10">
        <v>2006</v>
      </c>
      <c r="F1230" t="s">
        <v>2661</v>
      </c>
      <c r="G1230" s="10" t="s">
        <v>34</v>
      </c>
      <c r="H1230" s="10" t="s">
        <v>17</v>
      </c>
      <c r="J1230" s="10" t="s">
        <v>119</v>
      </c>
      <c r="K1230" s="26">
        <v>4</v>
      </c>
      <c r="L1230" s="26">
        <v>4</v>
      </c>
      <c r="N1230" s="10">
        <v>1.6</v>
      </c>
      <c r="W1230">
        <v>2.9</v>
      </c>
      <c r="AD1230" s="14">
        <f t="shared" si="161"/>
        <v>1.8124999999999998</v>
      </c>
      <c r="AI1230" s="3">
        <f t="shared" si="160"/>
        <v>1.8124999999999998</v>
      </c>
      <c r="AQ1230">
        <v>60</v>
      </c>
      <c r="AR1230" t="s">
        <v>14</v>
      </c>
      <c r="AU1230" t="s">
        <v>2</v>
      </c>
      <c r="AV1230" t="s">
        <v>2023</v>
      </c>
      <c r="AW1230" s="10" t="s">
        <v>2136</v>
      </c>
    </row>
    <row r="1231" spans="1:49" x14ac:dyDescent="0.3">
      <c r="A1231" s="6" t="s">
        <v>2099</v>
      </c>
      <c r="B1231" s="10" t="s">
        <v>131</v>
      </c>
      <c r="C1231" t="s">
        <v>133</v>
      </c>
      <c r="D1231" s="10" t="s">
        <v>2133</v>
      </c>
      <c r="E1231" s="10">
        <v>2006</v>
      </c>
      <c r="F1231" t="s">
        <v>2661</v>
      </c>
      <c r="G1231" s="10" t="s">
        <v>34</v>
      </c>
      <c r="H1231" s="10" t="s">
        <v>17</v>
      </c>
      <c r="J1231" s="10" t="s">
        <v>119</v>
      </c>
      <c r="K1231" s="26">
        <v>4</v>
      </c>
      <c r="L1231" s="26">
        <v>4</v>
      </c>
      <c r="N1231" s="10">
        <v>1.8</v>
      </c>
      <c r="W1231">
        <v>2.5</v>
      </c>
      <c r="AD1231" s="14">
        <f t="shared" si="161"/>
        <v>1.3888888888888888</v>
      </c>
      <c r="AI1231" s="3">
        <f t="shared" si="160"/>
        <v>1.3888888888888888</v>
      </c>
      <c r="AQ1231">
        <v>60</v>
      </c>
      <c r="AR1231" t="s">
        <v>14</v>
      </c>
      <c r="AU1231" t="s">
        <v>2</v>
      </c>
      <c r="AV1231" t="s">
        <v>2023</v>
      </c>
      <c r="AW1231" s="10" t="s">
        <v>2136</v>
      </c>
    </row>
    <row r="1232" spans="1:49" x14ac:dyDescent="0.3">
      <c r="A1232" s="6" t="s">
        <v>2099</v>
      </c>
      <c r="B1232" s="10" t="s">
        <v>131</v>
      </c>
      <c r="C1232" t="s">
        <v>133</v>
      </c>
      <c r="D1232" s="10" t="s">
        <v>2133</v>
      </c>
      <c r="E1232" s="10">
        <v>2007</v>
      </c>
      <c r="F1232" t="s">
        <v>2661</v>
      </c>
      <c r="G1232" s="10" t="s">
        <v>34</v>
      </c>
      <c r="H1232" s="10" t="s">
        <v>17</v>
      </c>
      <c r="J1232" s="10" t="s">
        <v>119</v>
      </c>
      <c r="K1232" s="26">
        <v>4</v>
      </c>
      <c r="L1232" s="26">
        <v>4</v>
      </c>
      <c r="N1232" s="10">
        <v>1.8</v>
      </c>
      <c r="W1232">
        <v>3</v>
      </c>
      <c r="AD1232" s="14">
        <f t="shared" si="161"/>
        <v>1.6666666666666665</v>
      </c>
      <c r="AI1232" s="3">
        <f t="shared" si="160"/>
        <v>1.6666666666666665</v>
      </c>
      <c r="AQ1232">
        <v>60</v>
      </c>
      <c r="AR1232" t="s">
        <v>14</v>
      </c>
      <c r="AU1232" t="s">
        <v>2</v>
      </c>
      <c r="AV1232" t="s">
        <v>2023</v>
      </c>
      <c r="AW1232" s="10" t="s">
        <v>2136</v>
      </c>
    </row>
    <row r="1233" spans="1:49" x14ac:dyDescent="0.3">
      <c r="A1233" s="6" t="s">
        <v>2099</v>
      </c>
      <c r="B1233" s="10" t="s">
        <v>131</v>
      </c>
      <c r="C1233" t="s">
        <v>133</v>
      </c>
      <c r="D1233" s="10" t="s">
        <v>2133</v>
      </c>
      <c r="E1233" s="10">
        <v>2007</v>
      </c>
      <c r="F1233" t="s">
        <v>2661</v>
      </c>
      <c r="G1233" s="10" t="s">
        <v>34</v>
      </c>
      <c r="H1233" s="10" t="s">
        <v>17</v>
      </c>
      <c r="J1233" s="10" t="s">
        <v>119</v>
      </c>
      <c r="K1233" s="26">
        <v>4</v>
      </c>
      <c r="L1233" s="26">
        <v>4</v>
      </c>
      <c r="N1233" s="10">
        <v>2.2000000000000002</v>
      </c>
      <c r="W1233">
        <v>2.2999999999999998</v>
      </c>
      <c r="AD1233" s="14">
        <f t="shared" si="161"/>
        <v>1.0454545454545452</v>
      </c>
      <c r="AI1233" s="3">
        <f t="shared" si="160"/>
        <v>1.0454545454545452</v>
      </c>
      <c r="AQ1233">
        <v>60</v>
      </c>
      <c r="AR1233" t="s">
        <v>14</v>
      </c>
      <c r="AU1233" t="s">
        <v>2</v>
      </c>
      <c r="AV1233" t="s">
        <v>2023</v>
      </c>
      <c r="AW1233" s="10" t="s">
        <v>2136</v>
      </c>
    </row>
    <row r="1234" spans="1:49" x14ac:dyDescent="0.3">
      <c r="A1234" s="6" t="s">
        <v>2099</v>
      </c>
      <c r="B1234" s="10" t="s">
        <v>131</v>
      </c>
      <c r="C1234" t="s">
        <v>133</v>
      </c>
      <c r="D1234" s="10" t="s">
        <v>2133</v>
      </c>
      <c r="E1234" s="10">
        <v>2008</v>
      </c>
      <c r="F1234" t="s">
        <v>2661</v>
      </c>
      <c r="G1234" s="10" t="s">
        <v>34</v>
      </c>
      <c r="H1234" s="10" t="s">
        <v>17</v>
      </c>
      <c r="J1234" s="10" t="s">
        <v>119</v>
      </c>
      <c r="K1234" s="26">
        <v>4</v>
      </c>
      <c r="L1234" s="26">
        <v>4</v>
      </c>
      <c r="N1234" s="10">
        <v>1.5</v>
      </c>
      <c r="W1234">
        <v>2.1</v>
      </c>
      <c r="AD1234" s="14">
        <f t="shared" si="161"/>
        <v>1.4000000000000001</v>
      </c>
      <c r="AI1234" s="3">
        <f t="shared" si="160"/>
        <v>1.4000000000000001</v>
      </c>
      <c r="AQ1234">
        <v>60</v>
      </c>
      <c r="AR1234" t="s">
        <v>14</v>
      </c>
      <c r="AU1234" t="s">
        <v>2</v>
      </c>
      <c r="AV1234" t="s">
        <v>2023</v>
      </c>
      <c r="AW1234" s="10" t="s">
        <v>2136</v>
      </c>
    </row>
    <row r="1235" spans="1:49" x14ac:dyDescent="0.3">
      <c r="A1235" s="6" t="s">
        <v>2099</v>
      </c>
      <c r="B1235" s="10" t="s">
        <v>131</v>
      </c>
      <c r="C1235" t="s">
        <v>133</v>
      </c>
      <c r="D1235" s="10" t="s">
        <v>2133</v>
      </c>
      <c r="E1235" s="10">
        <v>2008</v>
      </c>
      <c r="F1235" t="s">
        <v>2661</v>
      </c>
      <c r="G1235" s="10" t="s">
        <v>34</v>
      </c>
      <c r="H1235" s="10" t="s">
        <v>17</v>
      </c>
      <c r="J1235" s="10" t="s">
        <v>119</v>
      </c>
      <c r="K1235" s="26">
        <v>4</v>
      </c>
      <c r="L1235" s="26">
        <v>4</v>
      </c>
      <c r="N1235" s="10">
        <v>2.2999999999999998</v>
      </c>
      <c r="W1235">
        <v>3</v>
      </c>
      <c r="AD1235" s="14">
        <f t="shared" si="161"/>
        <v>1.3043478260869565</v>
      </c>
      <c r="AI1235" s="3">
        <f t="shared" si="160"/>
        <v>1.3043478260869565</v>
      </c>
      <c r="AQ1235">
        <v>60</v>
      </c>
      <c r="AR1235" t="s">
        <v>14</v>
      </c>
      <c r="AU1235" t="s">
        <v>2</v>
      </c>
      <c r="AV1235" t="s">
        <v>2023</v>
      </c>
      <c r="AW1235" s="10" t="s">
        <v>2136</v>
      </c>
    </row>
    <row r="1236" spans="1:49" x14ac:dyDescent="0.3">
      <c r="A1236" s="6" t="s">
        <v>2099</v>
      </c>
      <c r="B1236" s="10" t="s">
        <v>131</v>
      </c>
      <c r="C1236" t="s">
        <v>133</v>
      </c>
      <c r="D1236" s="10" t="s">
        <v>2133</v>
      </c>
      <c r="E1236" s="10">
        <v>2009</v>
      </c>
      <c r="F1236" t="s">
        <v>2661</v>
      </c>
      <c r="G1236" s="10" t="s">
        <v>34</v>
      </c>
      <c r="H1236" s="10" t="s">
        <v>17</v>
      </c>
      <c r="J1236" s="10" t="s">
        <v>119</v>
      </c>
      <c r="K1236" s="26">
        <v>4</v>
      </c>
      <c r="L1236" s="26">
        <v>4</v>
      </c>
      <c r="N1236" s="10">
        <v>2</v>
      </c>
      <c r="W1236">
        <v>2.5</v>
      </c>
      <c r="AD1236" s="14">
        <f t="shared" si="161"/>
        <v>1.25</v>
      </c>
      <c r="AI1236" s="3">
        <f t="shared" si="160"/>
        <v>1.25</v>
      </c>
      <c r="AQ1236">
        <v>60</v>
      </c>
      <c r="AR1236" t="s">
        <v>14</v>
      </c>
      <c r="AU1236" t="s">
        <v>2</v>
      </c>
      <c r="AV1236" t="s">
        <v>2023</v>
      </c>
      <c r="AW1236" s="10" t="s">
        <v>2136</v>
      </c>
    </row>
    <row r="1237" spans="1:49" x14ac:dyDescent="0.3">
      <c r="A1237" s="6" t="s">
        <v>2099</v>
      </c>
      <c r="B1237" s="10" t="s">
        <v>131</v>
      </c>
      <c r="C1237" t="s">
        <v>133</v>
      </c>
      <c r="D1237" s="10" t="s">
        <v>2133</v>
      </c>
      <c r="E1237" s="10">
        <v>2009</v>
      </c>
      <c r="F1237" t="s">
        <v>2661</v>
      </c>
      <c r="G1237" s="10" t="s">
        <v>34</v>
      </c>
      <c r="H1237" s="10" t="s">
        <v>17</v>
      </c>
      <c r="J1237" s="10" t="s">
        <v>119</v>
      </c>
      <c r="K1237" s="26">
        <v>4</v>
      </c>
      <c r="L1237" s="26">
        <v>4</v>
      </c>
      <c r="N1237" s="10">
        <v>2.2000000000000002</v>
      </c>
      <c r="W1237">
        <v>2.7</v>
      </c>
      <c r="AD1237" s="14">
        <f t="shared" si="161"/>
        <v>1.2272727272727273</v>
      </c>
      <c r="AI1237" s="3">
        <f t="shared" si="160"/>
        <v>1.2272727272727273</v>
      </c>
      <c r="AQ1237">
        <v>60</v>
      </c>
      <c r="AR1237" t="s">
        <v>14</v>
      </c>
      <c r="AU1237" t="s">
        <v>2</v>
      </c>
      <c r="AV1237" t="s">
        <v>2023</v>
      </c>
      <c r="AW1237" s="10" t="s">
        <v>2136</v>
      </c>
    </row>
    <row r="1238" spans="1:49" x14ac:dyDescent="0.3">
      <c r="A1238" s="6" t="s">
        <v>2099</v>
      </c>
      <c r="B1238" s="10" t="s">
        <v>131</v>
      </c>
      <c r="C1238" t="s">
        <v>133</v>
      </c>
      <c r="D1238" s="10" t="s">
        <v>2133</v>
      </c>
      <c r="E1238" s="10">
        <v>2010</v>
      </c>
      <c r="F1238" t="s">
        <v>2661</v>
      </c>
      <c r="G1238" s="10" t="s">
        <v>34</v>
      </c>
      <c r="H1238" s="10" t="s">
        <v>17</v>
      </c>
      <c r="J1238" s="10" t="s">
        <v>119</v>
      </c>
      <c r="K1238" s="26">
        <v>4</v>
      </c>
      <c r="L1238" s="26">
        <v>4</v>
      </c>
      <c r="N1238" s="10">
        <v>1.6</v>
      </c>
      <c r="W1238">
        <v>2.2999999999999998</v>
      </c>
      <c r="AD1238" s="14">
        <f t="shared" si="161"/>
        <v>1.4374999999999998</v>
      </c>
      <c r="AI1238" s="3">
        <f t="shared" si="160"/>
        <v>1.4374999999999998</v>
      </c>
      <c r="AQ1238">
        <v>60</v>
      </c>
      <c r="AR1238" t="s">
        <v>14</v>
      </c>
      <c r="AU1238" t="s">
        <v>2</v>
      </c>
      <c r="AV1238" t="s">
        <v>2023</v>
      </c>
      <c r="AW1238" s="10" t="s">
        <v>2136</v>
      </c>
    </row>
    <row r="1239" spans="1:49" x14ac:dyDescent="0.3">
      <c r="A1239" s="6" t="s">
        <v>2099</v>
      </c>
      <c r="B1239" s="10" t="s">
        <v>131</v>
      </c>
      <c r="C1239" t="s">
        <v>133</v>
      </c>
      <c r="D1239" s="10" t="s">
        <v>2133</v>
      </c>
      <c r="E1239" s="10">
        <v>2010</v>
      </c>
      <c r="F1239" t="s">
        <v>2661</v>
      </c>
      <c r="G1239" s="10" t="s">
        <v>34</v>
      </c>
      <c r="H1239" s="10" t="s">
        <v>17</v>
      </c>
      <c r="J1239" s="10" t="s">
        <v>119</v>
      </c>
      <c r="K1239" s="26">
        <v>4</v>
      </c>
      <c r="L1239" s="26">
        <v>4</v>
      </c>
      <c r="N1239" s="10">
        <v>2.2000000000000002</v>
      </c>
      <c r="W1239">
        <v>2.9</v>
      </c>
      <c r="AD1239" s="14">
        <f t="shared" si="161"/>
        <v>1.3181818181818181</v>
      </c>
      <c r="AI1239" s="3">
        <f t="shared" si="160"/>
        <v>1.3181818181818181</v>
      </c>
      <c r="AQ1239">
        <v>60</v>
      </c>
      <c r="AR1239" t="s">
        <v>14</v>
      </c>
      <c r="AU1239" t="s">
        <v>2</v>
      </c>
      <c r="AV1239" t="s">
        <v>2023</v>
      </c>
      <c r="AW1239" s="10" t="s">
        <v>2136</v>
      </c>
    </row>
    <row r="1240" spans="1:49" x14ac:dyDescent="0.3">
      <c r="A1240" s="6" t="s">
        <v>2099</v>
      </c>
      <c r="B1240" s="10" t="s">
        <v>131</v>
      </c>
      <c r="C1240" t="s">
        <v>133</v>
      </c>
      <c r="D1240" s="10" t="s">
        <v>2133</v>
      </c>
      <c r="E1240" s="10">
        <v>2011</v>
      </c>
      <c r="F1240" t="s">
        <v>2661</v>
      </c>
      <c r="G1240" s="10" t="s">
        <v>34</v>
      </c>
      <c r="H1240" s="10" t="s">
        <v>17</v>
      </c>
      <c r="J1240" s="10" t="s">
        <v>119</v>
      </c>
      <c r="K1240" s="26">
        <v>4</v>
      </c>
      <c r="L1240" s="26">
        <v>4</v>
      </c>
      <c r="N1240" s="10">
        <v>1.3</v>
      </c>
      <c r="W1240">
        <v>2.4</v>
      </c>
      <c r="AD1240" s="14">
        <f t="shared" si="161"/>
        <v>1.846153846153846</v>
      </c>
      <c r="AI1240" s="3">
        <f t="shared" si="160"/>
        <v>1.846153846153846</v>
      </c>
      <c r="AQ1240">
        <v>60</v>
      </c>
      <c r="AR1240" t="s">
        <v>14</v>
      </c>
      <c r="AU1240" t="s">
        <v>2</v>
      </c>
      <c r="AV1240" t="s">
        <v>2023</v>
      </c>
      <c r="AW1240" s="10" t="s">
        <v>2136</v>
      </c>
    </row>
    <row r="1241" spans="1:49" x14ac:dyDescent="0.3">
      <c r="A1241" s="6" t="s">
        <v>2099</v>
      </c>
      <c r="B1241" s="10" t="s">
        <v>131</v>
      </c>
      <c r="C1241" t="s">
        <v>133</v>
      </c>
      <c r="D1241" s="10" t="s">
        <v>2133</v>
      </c>
      <c r="E1241" s="10">
        <v>2011</v>
      </c>
      <c r="F1241" t="s">
        <v>2661</v>
      </c>
      <c r="G1241" s="10" t="s">
        <v>34</v>
      </c>
      <c r="H1241" s="10" t="s">
        <v>17</v>
      </c>
      <c r="J1241" s="10" t="s">
        <v>119</v>
      </c>
      <c r="K1241" s="26">
        <v>4</v>
      </c>
      <c r="L1241" s="26">
        <v>4</v>
      </c>
      <c r="N1241" s="10">
        <v>2.5</v>
      </c>
      <c r="W1241">
        <v>2.6</v>
      </c>
      <c r="AD1241" s="14">
        <f t="shared" si="161"/>
        <v>1.04</v>
      </c>
      <c r="AI1241" s="3">
        <f t="shared" si="160"/>
        <v>1.04</v>
      </c>
      <c r="AQ1241">
        <v>60</v>
      </c>
      <c r="AR1241" t="s">
        <v>14</v>
      </c>
      <c r="AU1241" t="s">
        <v>2</v>
      </c>
      <c r="AV1241" t="s">
        <v>2023</v>
      </c>
      <c r="AW1241" s="10" t="s">
        <v>2136</v>
      </c>
    </row>
    <row r="1242" spans="1:49" x14ac:dyDescent="0.3">
      <c r="A1242" s="6" t="s">
        <v>2099</v>
      </c>
      <c r="B1242" s="10" t="s">
        <v>131</v>
      </c>
      <c r="C1242" t="s">
        <v>133</v>
      </c>
      <c r="D1242" s="10" t="s">
        <v>2133</v>
      </c>
      <c r="E1242" s="10">
        <v>2012</v>
      </c>
      <c r="F1242" t="s">
        <v>2661</v>
      </c>
      <c r="G1242" s="10" t="s">
        <v>34</v>
      </c>
      <c r="H1242" s="10" t="s">
        <v>17</v>
      </c>
      <c r="J1242" s="10" t="s">
        <v>119</v>
      </c>
      <c r="K1242" s="26">
        <v>4</v>
      </c>
      <c r="L1242" s="26">
        <v>4</v>
      </c>
      <c r="N1242" s="10">
        <v>1</v>
      </c>
      <c r="W1242">
        <v>2</v>
      </c>
      <c r="AD1242" s="14">
        <f t="shared" si="161"/>
        <v>2</v>
      </c>
      <c r="AI1242" s="3">
        <f t="shared" si="160"/>
        <v>2</v>
      </c>
      <c r="AQ1242">
        <v>60</v>
      </c>
      <c r="AR1242" t="s">
        <v>14</v>
      </c>
      <c r="AU1242" t="s">
        <v>2</v>
      </c>
      <c r="AV1242" t="s">
        <v>2023</v>
      </c>
      <c r="AW1242" s="10" t="s">
        <v>2136</v>
      </c>
    </row>
    <row r="1243" spans="1:49" x14ac:dyDescent="0.3">
      <c r="A1243" s="6" t="s">
        <v>2099</v>
      </c>
      <c r="B1243" s="10" t="s">
        <v>131</v>
      </c>
      <c r="C1243" t="s">
        <v>133</v>
      </c>
      <c r="D1243" s="10" t="s">
        <v>2133</v>
      </c>
      <c r="E1243" s="10">
        <v>2012</v>
      </c>
      <c r="F1243" t="s">
        <v>2661</v>
      </c>
      <c r="G1243" s="10" t="s">
        <v>34</v>
      </c>
      <c r="H1243" s="10" t="s">
        <v>17</v>
      </c>
      <c r="J1243" s="10" t="s">
        <v>119</v>
      </c>
      <c r="K1243" s="26">
        <v>4</v>
      </c>
      <c r="L1243" s="26">
        <v>4</v>
      </c>
      <c r="N1243" s="10">
        <v>1</v>
      </c>
      <c r="W1243">
        <v>1.7</v>
      </c>
      <c r="AD1243" s="14">
        <f t="shared" si="161"/>
        <v>1.7</v>
      </c>
      <c r="AI1243" s="3">
        <f t="shared" si="160"/>
        <v>1.7</v>
      </c>
      <c r="AQ1243">
        <v>60</v>
      </c>
      <c r="AR1243" t="s">
        <v>14</v>
      </c>
      <c r="AU1243" t="s">
        <v>2</v>
      </c>
      <c r="AV1243" t="s">
        <v>2023</v>
      </c>
      <c r="AW1243" s="10" t="s">
        <v>2136</v>
      </c>
    </row>
    <row r="1244" spans="1:49" x14ac:dyDescent="0.3">
      <c r="A1244" s="6" t="s">
        <v>2099</v>
      </c>
      <c r="B1244" s="10" t="s">
        <v>131</v>
      </c>
      <c r="C1244" t="s">
        <v>133</v>
      </c>
      <c r="D1244" s="10" t="s">
        <v>2133</v>
      </c>
      <c r="E1244" s="10">
        <v>2005</v>
      </c>
      <c r="F1244" t="s">
        <v>2661</v>
      </c>
      <c r="G1244" s="10" t="s">
        <v>34</v>
      </c>
      <c r="H1244" s="10" t="s">
        <v>17</v>
      </c>
      <c r="J1244" s="10" t="s">
        <v>200</v>
      </c>
      <c r="K1244" s="26">
        <v>4</v>
      </c>
      <c r="L1244" s="26">
        <v>4</v>
      </c>
      <c r="N1244" s="10">
        <v>1.7</v>
      </c>
      <c r="W1244">
        <v>2.5</v>
      </c>
      <c r="AD1244" s="14">
        <f t="shared" si="161"/>
        <v>1.4705882352941178</v>
      </c>
      <c r="AI1244" s="3">
        <f t="shared" si="160"/>
        <v>1.4705882352941178</v>
      </c>
      <c r="AQ1244">
        <v>60</v>
      </c>
      <c r="AR1244" t="s">
        <v>14</v>
      </c>
      <c r="AU1244" t="s">
        <v>2</v>
      </c>
      <c r="AV1244" t="s">
        <v>2023</v>
      </c>
      <c r="AW1244" s="10" t="s">
        <v>2136</v>
      </c>
    </row>
    <row r="1245" spans="1:49" x14ac:dyDescent="0.3">
      <c r="A1245" s="6" t="s">
        <v>2099</v>
      </c>
      <c r="B1245" s="10" t="s">
        <v>131</v>
      </c>
      <c r="C1245" t="s">
        <v>133</v>
      </c>
      <c r="D1245" s="10" t="s">
        <v>2133</v>
      </c>
      <c r="E1245" s="10">
        <v>2005</v>
      </c>
      <c r="F1245" t="s">
        <v>2661</v>
      </c>
      <c r="G1245" s="10" t="s">
        <v>34</v>
      </c>
      <c r="H1245" s="10" t="s">
        <v>17</v>
      </c>
      <c r="J1245" s="10" t="s">
        <v>200</v>
      </c>
      <c r="K1245" s="26">
        <v>4</v>
      </c>
      <c r="L1245" s="26">
        <v>4</v>
      </c>
      <c r="N1245" s="10">
        <v>2.8</v>
      </c>
      <c r="W1245">
        <v>3</v>
      </c>
      <c r="AD1245" s="14">
        <f t="shared" si="161"/>
        <v>1.0714285714285714</v>
      </c>
      <c r="AI1245" s="3">
        <f t="shared" si="160"/>
        <v>1.0714285714285714</v>
      </c>
      <c r="AQ1245">
        <v>60</v>
      </c>
      <c r="AR1245" t="s">
        <v>14</v>
      </c>
      <c r="AU1245" t="s">
        <v>2</v>
      </c>
      <c r="AV1245" t="s">
        <v>2023</v>
      </c>
      <c r="AW1245" s="10" t="s">
        <v>2136</v>
      </c>
    </row>
    <row r="1246" spans="1:49" x14ac:dyDescent="0.3">
      <c r="A1246" s="6" t="s">
        <v>2099</v>
      </c>
      <c r="B1246" s="10" t="s">
        <v>131</v>
      </c>
      <c r="C1246" t="s">
        <v>133</v>
      </c>
      <c r="D1246" s="10" t="s">
        <v>2133</v>
      </c>
      <c r="E1246" s="10">
        <v>2006</v>
      </c>
      <c r="F1246" t="s">
        <v>2661</v>
      </c>
      <c r="G1246" s="10" t="s">
        <v>34</v>
      </c>
      <c r="H1246" s="10" t="s">
        <v>17</v>
      </c>
      <c r="J1246" s="10" t="s">
        <v>200</v>
      </c>
      <c r="K1246" s="26">
        <v>4</v>
      </c>
      <c r="L1246" s="26">
        <v>4</v>
      </c>
      <c r="N1246" s="10">
        <v>1.6</v>
      </c>
      <c r="W1246">
        <v>2.2999999999999998</v>
      </c>
      <c r="AD1246" s="14">
        <f t="shared" si="161"/>
        <v>1.4374999999999998</v>
      </c>
      <c r="AI1246" s="3">
        <f t="shared" si="160"/>
        <v>1.4374999999999998</v>
      </c>
      <c r="AQ1246">
        <v>60</v>
      </c>
      <c r="AR1246" t="s">
        <v>14</v>
      </c>
      <c r="AU1246" t="s">
        <v>2</v>
      </c>
      <c r="AV1246" t="s">
        <v>2023</v>
      </c>
      <c r="AW1246" s="10" t="s">
        <v>2136</v>
      </c>
    </row>
    <row r="1247" spans="1:49" x14ac:dyDescent="0.3">
      <c r="A1247" s="6" t="s">
        <v>2099</v>
      </c>
      <c r="B1247" s="10" t="s">
        <v>131</v>
      </c>
      <c r="C1247" t="s">
        <v>133</v>
      </c>
      <c r="D1247" s="10" t="s">
        <v>2133</v>
      </c>
      <c r="E1247" s="10">
        <v>2006</v>
      </c>
      <c r="F1247" t="s">
        <v>2661</v>
      </c>
      <c r="G1247" s="10" t="s">
        <v>34</v>
      </c>
      <c r="H1247" s="10" t="s">
        <v>17</v>
      </c>
      <c r="J1247" s="10" t="s">
        <v>200</v>
      </c>
      <c r="K1247" s="26">
        <v>4</v>
      </c>
      <c r="L1247" s="26">
        <v>4</v>
      </c>
      <c r="N1247" s="10">
        <v>1.8</v>
      </c>
      <c r="W1247">
        <v>2.7</v>
      </c>
      <c r="AD1247" s="14">
        <f t="shared" si="161"/>
        <v>1.5</v>
      </c>
      <c r="AI1247" s="3">
        <f t="shared" si="160"/>
        <v>1.5</v>
      </c>
      <c r="AQ1247">
        <v>60</v>
      </c>
      <c r="AR1247" t="s">
        <v>14</v>
      </c>
      <c r="AU1247" t="s">
        <v>2</v>
      </c>
      <c r="AV1247" t="s">
        <v>2023</v>
      </c>
      <c r="AW1247" s="10" t="s">
        <v>2136</v>
      </c>
    </row>
    <row r="1248" spans="1:49" x14ac:dyDescent="0.3">
      <c r="A1248" s="6" t="s">
        <v>2099</v>
      </c>
      <c r="B1248" s="10" t="s">
        <v>131</v>
      </c>
      <c r="C1248" t="s">
        <v>133</v>
      </c>
      <c r="D1248" s="10" t="s">
        <v>2133</v>
      </c>
      <c r="E1248" s="10">
        <v>2007</v>
      </c>
      <c r="F1248" t="s">
        <v>2661</v>
      </c>
      <c r="G1248" s="10" t="s">
        <v>34</v>
      </c>
      <c r="H1248" s="10" t="s">
        <v>17</v>
      </c>
      <c r="J1248" s="10" t="s">
        <v>200</v>
      </c>
      <c r="K1248" s="26">
        <v>4</v>
      </c>
      <c r="L1248" s="26">
        <v>4</v>
      </c>
      <c r="N1248" s="10">
        <v>1.8</v>
      </c>
      <c r="W1248">
        <v>2.5</v>
      </c>
      <c r="AD1248" s="14">
        <f t="shared" si="161"/>
        <v>1.3888888888888888</v>
      </c>
      <c r="AI1248" s="3">
        <f t="shared" si="160"/>
        <v>1.3888888888888888</v>
      </c>
      <c r="AQ1248">
        <v>60</v>
      </c>
      <c r="AR1248" t="s">
        <v>14</v>
      </c>
      <c r="AU1248" t="s">
        <v>2</v>
      </c>
      <c r="AV1248" t="s">
        <v>2023</v>
      </c>
      <c r="AW1248" s="10" t="s">
        <v>2136</v>
      </c>
    </row>
    <row r="1249" spans="1:49" x14ac:dyDescent="0.3">
      <c r="A1249" s="6" t="s">
        <v>2099</v>
      </c>
      <c r="B1249" s="10" t="s">
        <v>131</v>
      </c>
      <c r="C1249" t="s">
        <v>133</v>
      </c>
      <c r="D1249" s="10" t="s">
        <v>2133</v>
      </c>
      <c r="E1249" s="10">
        <v>2007</v>
      </c>
      <c r="F1249" t="s">
        <v>2661</v>
      </c>
      <c r="G1249" s="10" t="s">
        <v>34</v>
      </c>
      <c r="H1249" s="10" t="s">
        <v>17</v>
      </c>
      <c r="J1249" s="10" t="s">
        <v>200</v>
      </c>
      <c r="K1249" s="26">
        <v>4</v>
      </c>
      <c r="L1249" s="26">
        <v>4</v>
      </c>
      <c r="N1249" s="10">
        <v>2.2000000000000002</v>
      </c>
      <c r="W1249">
        <v>2.6</v>
      </c>
      <c r="AD1249" s="14">
        <f t="shared" si="161"/>
        <v>1.1818181818181817</v>
      </c>
      <c r="AI1249" s="3">
        <f t="shared" si="160"/>
        <v>1.1818181818181817</v>
      </c>
      <c r="AQ1249">
        <v>60</v>
      </c>
      <c r="AR1249" t="s">
        <v>14</v>
      </c>
      <c r="AU1249" t="s">
        <v>2</v>
      </c>
      <c r="AV1249" t="s">
        <v>2023</v>
      </c>
      <c r="AW1249" s="10" t="s">
        <v>2136</v>
      </c>
    </row>
    <row r="1250" spans="1:49" x14ac:dyDescent="0.3">
      <c r="A1250" s="6" t="s">
        <v>2099</v>
      </c>
      <c r="B1250" s="10" t="s">
        <v>131</v>
      </c>
      <c r="C1250" t="s">
        <v>133</v>
      </c>
      <c r="D1250" s="10" t="s">
        <v>2133</v>
      </c>
      <c r="E1250" s="10">
        <v>2008</v>
      </c>
      <c r="F1250" t="s">
        <v>2661</v>
      </c>
      <c r="G1250" s="10" t="s">
        <v>34</v>
      </c>
      <c r="H1250" s="10" t="s">
        <v>17</v>
      </c>
      <c r="J1250" s="10" t="s">
        <v>200</v>
      </c>
      <c r="K1250" s="26">
        <v>4</v>
      </c>
      <c r="L1250" s="26">
        <v>4</v>
      </c>
      <c r="N1250" s="10">
        <v>1.5</v>
      </c>
      <c r="W1250">
        <v>2.6</v>
      </c>
      <c r="AD1250" s="14">
        <f t="shared" si="161"/>
        <v>1.7333333333333334</v>
      </c>
      <c r="AI1250" s="3">
        <f t="shared" si="160"/>
        <v>1.7333333333333334</v>
      </c>
      <c r="AQ1250">
        <v>60</v>
      </c>
      <c r="AR1250" t="s">
        <v>14</v>
      </c>
      <c r="AU1250" t="s">
        <v>2</v>
      </c>
      <c r="AV1250" t="s">
        <v>2023</v>
      </c>
      <c r="AW1250" s="10" t="s">
        <v>2136</v>
      </c>
    </row>
    <row r="1251" spans="1:49" x14ac:dyDescent="0.3">
      <c r="A1251" s="6" t="s">
        <v>2099</v>
      </c>
      <c r="B1251" s="10" t="s">
        <v>131</v>
      </c>
      <c r="C1251" t="s">
        <v>133</v>
      </c>
      <c r="D1251" s="10" t="s">
        <v>2133</v>
      </c>
      <c r="E1251" s="10">
        <v>2008</v>
      </c>
      <c r="F1251" t="s">
        <v>2661</v>
      </c>
      <c r="G1251" s="10" t="s">
        <v>34</v>
      </c>
      <c r="H1251" s="10" t="s">
        <v>17</v>
      </c>
      <c r="J1251" s="10" t="s">
        <v>200</v>
      </c>
      <c r="K1251" s="26">
        <v>4</v>
      </c>
      <c r="L1251" s="26">
        <v>4</v>
      </c>
      <c r="N1251" s="10">
        <v>2.2999999999999998</v>
      </c>
      <c r="W1251">
        <v>3</v>
      </c>
      <c r="AD1251" s="14">
        <f t="shared" si="161"/>
        <v>1.3043478260869565</v>
      </c>
      <c r="AI1251" s="3">
        <f t="shared" si="160"/>
        <v>1.3043478260869565</v>
      </c>
      <c r="AQ1251">
        <v>60</v>
      </c>
      <c r="AR1251" t="s">
        <v>14</v>
      </c>
      <c r="AU1251" t="s">
        <v>2</v>
      </c>
      <c r="AV1251" t="s">
        <v>2023</v>
      </c>
      <c r="AW1251" s="10" t="s">
        <v>2136</v>
      </c>
    </row>
    <row r="1252" spans="1:49" x14ac:dyDescent="0.3">
      <c r="A1252" s="6" t="s">
        <v>2099</v>
      </c>
      <c r="B1252" s="10" t="s">
        <v>131</v>
      </c>
      <c r="C1252" t="s">
        <v>133</v>
      </c>
      <c r="D1252" s="10" t="s">
        <v>2133</v>
      </c>
      <c r="E1252" s="10">
        <v>2009</v>
      </c>
      <c r="F1252" t="s">
        <v>2661</v>
      </c>
      <c r="G1252" s="10" t="s">
        <v>34</v>
      </c>
      <c r="H1252" s="10" t="s">
        <v>17</v>
      </c>
      <c r="J1252" s="10" t="s">
        <v>200</v>
      </c>
      <c r="K1252" s="26">
        <v>4</v>
      </c>
      <c r="L1252" s="26">
        <v>4</v>
      </c>
      <c r="N1252" s="10">
        <v>2</v>
      </c>
      <c r="W1252">
        <v>2.5</v>
      </c>
      <c r="AD1252" s="14">
        <f t="shared" si="161"/>
        <v>1.25</v>
      </c>
      <c r="AI1252" s="3">
        <f t="shared" si="160"/>
        <v>1.25</v>
      </c>
      <c r="AQ1252">
        <v>60</v>
      </c>
      <c r="AR1252" t="s">
        <v>14</v>
      </c>
      <c r="AU1252" t="s">
        <v>2</v>
      </c>
      <c r="AV1252" t="s">
        <v>2023</v>
      </c>
      <c r="AW1252" s="10" t="s">
        <v>2136</v>
      </c>
    </row>
    <row r="1253" spans="1:49" x14ac:dyDescent="0.3">
      <c r="A1253" s="6" t="s">
        <v>2099</v>
      </c>
      <c r="B1253" s="10" t="s">
        <v>131</v>
      </c>
      <c r="C1253" t="s">
        <v>133</v>
      </c>
      <c r="D1253" s="10" t="s">
        <v>2133</v>
      </c>
      <c r="E1253" s="10">
        <v>2009</v>
      </c>
      <c r="F1253" t="s">
        <v>2661</v>
      </c>
      <c r="G1253" s="10" t="s">
        <v>34</v>
      </c>
      <c r="H1253" s="10" t="s">
        <v>17</v>
      </c>
      <c r="J1253" s="10" t="s">
        <v>200</v>
      </c>
      <c r="K1253" s="26">
        <v>4</v>
      </c>
      <c r="L1253" s="26">
        <v>4</v>
      </c>
      <c r="N1253" s="10">
        <v>2.2000000000000002</v>
      </c>
      <c r="W1253">
        <v>2.6</v>
      </c>
      <c r="AD1253" s="14">
        <f t="shared" si="161"/>
        <v>1.1818181818181817</v>
      </c>
      <c r="AI1253" s="3">
        <f t="shared" si="160"/>
        <v>1.1818181818181817</v>
      </c>
      <c r="AQ1253">
        <v>60</v>
      </c>
      <c r="AR1253" t="s">
        <v>14</v>
      </c>
      <c r="AU1253" t="s">
        <v>2</v>
      </c>
      <c r="AV1253" t="s">
        <v>2023</v>
      </c>
      <c r="AW1253" s="10" t="s">
        <v>2136</v>
      </c>
    </row>
    <row r="1254" spans="1:49" x14ac:dyDescent="0.3">
      <c r="A1254" s="6" t="s">
        <v>2099</v>
      </c>
      <c r="B1254" s="10" t="s">
        <v>131</v>
      </c>
      <c r="C1254" t="s">
        <v>133</v>
      </c>
      <c r="D1254" s="10" t="s">
        <v>2133</v>
      </c>
      <c r="E1254" s="10">
        <v>2010</v>
      </c>
      <c r="F1254" t="s">
        <v>2661</v>
      </c>
      <c r="G1254" s="10" t="s">
        <v>34</v>
      </c>
      <c r="H1254" s="10" t="s">
        <v>17</v>
      </c>
      <c r="J1254" s="10" t="s">
        <v>200</v>
      </c>
      <c r="K1254" s="26">
        <v>4</v>
      </c>
      <c r="L1254" s="26">
        <v>4</v>
      </c>
      <c r="N1254" s="10">
        <v>1.6</v>
      </c>
      <c r="W1254">
        <v>2.1</v>
      </c>
      <c r="AD1254" s="14">
        <f t="shared" si="161"/>
        <v>1.3125</v>
      </c>
      <c r="AI1254" s="3">
        <f t="shared" si="160"/>
        <v>1.3125</v>
      </c>
      <c r="AQ1254">
        <v>60</v>
      </c>
      <c r="AR1254" t="s">
        <v>14</v>
      </c>
      <c r="AU1254" t="s">
        <v>2</v>
      </c>
      <c r="AV1254" t="s">
        <v>2023</v>
      </c>
      <c r="AW1254" s="10" t="s">
        <v>2136</v>
      </c>
    </row>
    <row r="1255" spans="1:49" x14ac:dyDescent="0.3">
      <c r="A1255" s="6" t="s">
        <v>2099</v>
      </c>
      <c r="B1255" s="10" t="s">
        <v>131</v>
      </c>
      <c r="C1255" t="s">
        <v>133</v>
      </c>
      <c r="D1255" s="10" t="s">
        <v>2133</v>
      </c>
      <c r="E1255" s="10">
        <v>2010</v>
      </c>
      <c r="F1255" t="s">
        <v>2661</v>
      </c>
      <c r="G1255" s="10" t="s">
        <v>34</v>
      </c>
      <c r="H1255" s="10" t="s">
        <v>17</v>
      </c>
      <c r="J1255" s="10" t="s">
        <v>200</v>
      </c>
      <c r="K1255" s="26">
        <v>4</v>
      </c>
      <c r="L1255" s="26">
        <v>4</v>
      </c>
      <c r="N1255" s="10">
        <v>2.2000000000000002</v>
      </c>
      <c r="W1255">
        <v>2.4</v>
      </c>
      <c r="AD1255" s="14">
        <f t="shared" si="161"/>
        <v>1.0909090909090908</v>
      </c>
      <c r="AI1255" s="3">
        <f t="shared" si="160"/>
        <v>1.0909090909090908</v>
      </c>
      <c r="AQ1255">
        <v>60</v>
      </c>
      <c r="AR1255" t="s">
        <v>14</v>
      </c>
      <c r="AU1255" t="s">
        <v>2</v>
      </c>
      <c r="AV1255" t="s">
        <v>2023</v>
      </c>
      <c r="AW1255" s="10" t="s">
        <v>2136</v>
      </c>
    </row>
    <row r="1256" spans="1:49" x14ac:dyDescent="0.3">
      <c r="A1256" s="6" t="s">
        <v>2099</v>
      </c>
      <c r="B1256" s="10" t="s">
        <v>131</v>
      </c>
      <c r="C1256" t="s">
        <v>133</v>
      </c>
      <c r="D1256" s="10" t="s">
        <v>2133</v>
      </c>
      <c r="E1256" s="10">
        <v>2011</v>
      </c>
      <c r="F1256" t="s">
        <v>2661</v>
      </c>
      <c r="G1256" s="10" t="s">
        <v>34</v>
      </c>
      <c r="H1256" s="10" t="s">
        <v>17</v>
      </c>
      <c r="J1256" s="10" t="s">
        <v>200</v>
      </c>
      <c r="K1256" s="26">
        <v>4</v>
      </c>
      <c r="L1256" s="26">
        <v>4</v>
      </c>
      <c r="N1256" s="10">
        <v>1.3</v>
      </c>
      <c r="W1256">
        <v>2.2000000000000002</v>
      </c>
      <c r="AD1256" s="14">
        <f t="shared" si="161"/>
        <v>1.6923076923076923</v>
      </c>
      <c r="AI1256" s="3">
        <f t="shared" si="160"/>
        <v>1.6923076923076923</v>
      </c>
      <c r="AQ1256">
        <v>60</v>
      </c>
      <c r="AR1256" t="s">
        <v>14</v>
      </c>
      <c r="AU1256" t="s">
        <v>2</v>
      </c>
      <c r="AV1256" t="s">
        <v>2023</v>
      </c>
      <c r="AW1256" s="10" t="s">
        <v>2136</v>
      </c>
    </row>
    <row r="1257" spans="1:49" x14ac:dyDescent="0.3">
      <c r="A1257" s="6" t="s">
        <v>2099</v>
      </c>
      <c r="B1257" s="10" t="s">
        <v>131</v>
      </c>
      <c r="C1257" t="s">
        <v>133</v>
      </c>
      <c r="D1257" s="10" t="s">
        <v>2133</v>
      </c>
      <c r="E1257" s="10">
        <v>2011</v>
      </c>
      <c r="F1257" t="s">
        <v>2661</v>
      </c>
      <c r="G1257" s="10" t="s">
        <v>34</v>
      </c>
      <c r="H1257" s="10" t="s">
        <v>17</v>
      </c>
      <c r="J1257" s="10" t="s">
        <v>200</v>
      </c>
      <c r="K1257" s="26">
        <v>4</v>
      </c>
      <c r="L1257" s="26">
        <v>4</v>
      </c>
      <c r="N1257" s="10">
        <v>2.5</v>
      </c>
      <c r="W1257">
        <v>2.8</v>
      </c>
      <c r="AD1257" s="14">
        <f t="shared" si="161"/>
        <v>1.1199999999999999</v>
      </c>
      <c r="AI1257" s="3">
        <f t="shared" si="160"/>
        <v>1.1199999999999999</v>
      </c>
      <c r="AQ1257">
        <v>60</v>
      </c>
      <c r="AR1257" t="s">
        <v>14</v>
      </c>
      <c r="AU1257" t="s">
        <v>2</v>
      </c>
      <c r="AV1257" t="s">
        <v>2023</v>
      </c>
      <c r="AW1257" s="10" t="s">
        <v>2136</v>
      </c>
    </row>
    <row r="1258" spans="1:49" x14ac:dyDescent="0.3">
      <c r="A1258" s="6" t="s">
        <v>2099</v>
      </c>
      <c r="B1258" s="10" t="s">
        <v>131</v>
      </c>
      <c r="C1258" t="s">
        <v>133</v>
      </c>
      <c r="D1258" s="10" t="s">
        <v>2133</v>
      </c>
      <c r="E1258" s="10">
        <v>2012</v>
      </c>
      <c r="F1258" t="s">
        <v>2661</v>
      </c>
      <c r="G1258" s="10" t="s">
        <v>34</v>
      </c>
      <c r="H1258" s="10" t="s">
        <v>17</v>
      </c>
      <c r="J1258" s="10" t="s">
        <v>200</v>
      </c>
      <c r="K1258" s="26">
        <v>4</v>
      </c>
      <c r="L1258" s="26">
        <v>4</v>
      </c>
      <c r="N1258" s="10">
        <v>1</v>
      </c>
      <c r="W1258">
        <v>1.9</v>
      </c>
      <c r="AD1258" s="14">
        <f t="shared" si="161"/>
        <v>1.9</v>
      </c>
      <c r="AI1258" s="3">
        <f t="shared" si="160"/>
        <v>1.9</v>
      </c>
      <c r="AQ1258">
        <v>60</v>
      </c>
      <c r="AR1258" t="s">
        <v>14</v>
      </c>
      <c r="AU1258" t="s">
        <v>2</v>
      </c>
      <c r="AV1258" t="s">
        <v>2023</v>
      </c>
      <c r="AW1258" s="10" t="s">
        <v>2136</v>
      </c>
    </row>
    <row r="1259" spans="1:49" x14ac:dyDescent="0.3">
      <c r="A1259" s="6" t="s">
        <v>2099</v>
      </c>
      <c r="B1259" s="10" t="s">
        <v>131</v>
      </c>
      <c r="C1259" t="s">
        <v>133</v>
      </c>
      <c r="D1259" s="10" t="s">
        <v>2133</v>
      </c>
      <c r="E1259" s="10">
        <v>2012</v>
      </c>
      <c r="F1259" t="s">
        <v>2661</v>
      </c>
      <c r="G1259" s="10" t="s">
        <v>34</v>
      </c>
      <c r="H1259" s="10" t="s">
        <v>17</v>
      </c>
      <c r="J1259" s="10" t="s">
        <v>200</v>
      </c>
      <c r="K1259" s="26">
        <v>4</v>
      </c>
      <c r="L1259" s="26">
        <v>4</v>
      </c>
      <c r="N1259" s="10">
        <v>1</v>
      </c>
      <c r="W1259">
        <v>1.6</v>
      </c>
      <c r="AD1259" s="14">
        <f t="shared" si="161"/>
        <v>1.6</v>
      </c>
      <c r="AI1259" s="3">
        <f t="shared" si="160"/>
        <v>1.6</v>
      </c>
      <c r="AQ1259">
        <v>60</v>
      </c>
      <c r="AR1259" t="s">
        <v>14</v>
      </c>
      <c r="AU1259" t="s">
        <v>2</v>
      </c>
      <c r="AV1259" t="s">
        <v>2023</v>
      </c>
      <c r="AW1259" s="10" t="s">
        <v>2136</v>
      </c>
    </row>
    <row r="1260" spans="1:49" x14ac:dyDescent="0.3">
      <c r="A1260" s="6" t="s">
        <v>2099</v>
      </c>
      <c r="B1260" s="10" t="s">
        <v>131</v>
      </c>
      <c r="C1260" t="s">
        <v>133</v>
      </c>
      <c r="D1260" s="10" t="s">
        <v>2133</v>
      </c>
      <c r="E1260" s="10">
        <v>2005</v>
      </c>
      <c r="F1260" t="s">
        <v>2661</v>
      </c>
      <c r="G1260" s="10" t="s">
        <v>34</v>
      </c>
      <c r="H1260" s="10" t="s">
        <v>17</v>
      </c>
      <c r="J1260" s="10" t="s">
        <v>2135</v>
      </c>
      <c r="K1260" s="26">
        <v>4</v>
      </c>
      <c r="L1260" s="26">
        <v>4</v>
      </c>
      <c r="N1260" s="10">
        <v>1.7</v>
      </c>
      <c r="W1260">
        <v>4</v>
      </c>
      <c r="AD1260" s="14">
        <f t="shared" si="161"/>
        <v>2.3529411764705883</v>
      </c>
      <c r="AI1260" s="3">
        <f t="shared" si="160"/>
        <v>2.3529411764705883</v>
      </c>
      <c r="AQ1260">
        <v>60</v>
      </c>
      <c r="AR1260" t="s">
        <v>14</v>
      </c>
      <c r="AU1260" t="s">
        <v>2</v>
      </c>
      <c r="AV1260" t="s">
        <v>2023</v>
      </c>
      <c r="AW1260" s="10" t="s">
        <v>2136</v>
      </c>
    </row>
    <row r="1261" spans="1:49" x14ac:dyDescent="0.3">
      <c r="A1261" s="6" t="s">
        <v>2099</v>
      </c>
      <c r="B1261" s="10" t="s">
        <v>131</v>
      </c>
      <c r="C1261" t="s">
        <v>133</v>
      </c>
      <c r="D1261" s="10" t="s">
        <v>2133</v>
      </c>
      <c r="E1261" s="10">
        <v>2005</v>
      </c>
      <c r="F1261" t="s">
        <v>2661</v>
      </c>
      <c r="G1261" s="10" t="s">
        <v>34</v>
      </c>
      <c r="H1261" s="10" t="s">
        <v>17</v>
      </c>
      <c r="J1261" s="10" t="s">
        <v>2135</v>
      </c>
      <c r="K1261" s="26">
        <v>4</v>
      </c>
      <c r="L1261" s="26">
        <v>4</v>
      </c>
      <c r="N1261" s="10">
        <v>2.8</v>
      </c>
      <c r="W1261">
        <v>4.4000000000000004</v>
      </c>
      <c r="AD1261" s="14">
        <f t="shared" si="161"/>
        <v>1.5714285714285716</v>
      </c>
      <c r="AI1261" s="3">
        <f t="shared" si="160"/>
        <v>1.5714285714285716</v>
      </c>
      <c r="AQ1261">
        <v>60</v>
      </c>
      <c r="AR1261" t="s">
        <v>14</v>
      </c>
      <c r="AU1261" t="s">
        <v>2</v>
      </c>
      <c r="AV1261" t="s">
        <v>2023</v>
      </c>
      <c r="AW1261" s="10" t="s">
        <v>2136</v>
      </c>
    </row>
    <row r="1262" spans="1:49" x14ac:dyDescent="0.3">
      <c r="A1262" s="6" t="s">
        <v>2099</v>
      </c>
      <c r="B1262" s="10" t="s">
        <v>131</v>
      </c>
      <c r="C1262" t="s">
        <v>133</v>
      </c>
      <c r="D1262" s="10" t="s">
        <v>2133</v>
      </c>
      <c r="E1262" s="10">
        <v>2006</v>
      </c>
      <c r="F1262" t="s">
        <v>2661</v>
      </c>
      <c r="G1262" s="10" t="s">
        <v>34</v>
      </c>
      <c r="H1262" s="10" t="s">
        <v>17</v>
      </c>
      <c r="J1262" s="10" t="s">
        <v>2135</v>
      </c>
      <c r="K1262" s="26">
        <v>4</v>
      </c>
      <c r="L1262" s="26">
        <v>4</v>
      </c>
      <c r="N1262" s="10">
        <v>1.6</v>
      </c>
      <c r="W1262">
        <v>4.4000000000000004</v>
      </c>
      <c r="AD1262" s="14">
        <f t="shared" si="161"/>
        <v>2.75</v>
      </c>
      <c r="AI1262" s="3">
        <f t="shared" si="160"/>
        <v>2.75</v>
      </c>
      <c r="AQ1262">
        <v>60</v>
      </c>
      <c r="AR1262" t="s">
        <v>14</v>
      </c>
      <c r="AU1262" t="s">
        <v>2</v>
      </c>
      <c r="AV1262" t="s">
        <v>2023</v>
      </c>
      <c r="AW1262" s="10" t="s">
        <v>2136</v>
      </c>
    </row>
    <row r="1263" spans="1:49" x14ac:dyDescent="0.3">
      <c r="A1263" s="6" t="s">
        <v>2099</v>
      </c>
      <c r="B1263" s="10" t="s">
        <v>131</v>
      </c>
      <c r="C1263" t="s">
        <v>133</v>
      </c>
      <c r="D1263" s="10" t="s">
        <v>2133</v>
      </c>
      <c r="E1263" s="10">
        <v>2006</v>
      </c>
      <c r="F1263" t="s">
        <v>2661</v>
      </c>
      <c r="G1263" s="10" t="s">
        <v>34</v>
      </c>
      <c r="H1263" s="10" t="s">
        <v>17</v>
      </c>
      <c r="J1263" s="10" t="s">
        <v>2135</v>
      </c>
      <c r="K1263" s="26">
        <v>4</v>
      </c>
      <c r="L1263" s="26">
        <v>4</v>
      </c>
      <c r="N1263" s="10">
        <v>1.8</v>
      </c>
      <c r="W1263">
        <v>4.0999999999999996</v>
      </c>
      <c r="AD1263" s="14">
        <f t="shared" si="161"/>
        <v>2.2777777777777777</v>
      </c>
      <c r="AI1263" s="3">
        <f t="shared" si="160"/>
        <v>2.2777777777777777</v>
      </c>
      <c r="AQ1263">
        <v>60</v>
      </c>
      <c r="AR1263" t="s">
        <v>14</v>
      </c>
      <c r="AU1263" t="s">
        <v>2</v>
      </c>
      <c r="AV1263" t="s">
        <v>2023</v>
      </c>
      <c r="AW1263" s="10" t="s">
        <v>2136</v>
      </c>
    </row>
    <row r="1264" spans="1:49" x14ac:dyDescent="0.3">
      <c r="A1264" s="6" t="s">
        <v>2099</v>
      </c>
      <c r="B1264" s="10" t="s">
        <v>131</v>
      </c>
      <c r="C1264" t="s">
        <v>133</v>
      </c>
      <c r="D1264" s="10" t="s">
        <v>2133</v>
      </c>
      <c r="E1264" s="10">
        <v>2007</v>
      </c>
      <c r="F1264" t="s">
        <v>2661</v>
      </c>
      <c r="G1264" s="10" t="s">
        <v>34</v>
      </c>
      <c r="H1264" s="10" t="s">
        <v>17</v>
      </c>
      <c r="J1264" s="10" t="s">
        <v>2135</v>
      </c>
      <c r="K1264" s="26">
        <v>4</v>
      </c>
      <c r="L1264" s="26">
        <v>4</v>
      </c>
      <c r="N1264" s="10">
        <v>1.8</v>
      </c>
      <c r="W1264">
        <v>4.5999999999999996</v>
      </c>
      <c r="AD1264" s="14">
        <f t="shared" si="161"/>
        <v>2.5555555555555554</v>
      </c>
      <c r="AI1264" s="3">
        <f t="shared" si="160"/>
        <v>2.5555555555555554</v>
      </c>
      <c r="AQ1264">
        <v>60</v>
      </c>
      <c r="AR1264" t="s">
        <v>14</v>
      </c>
      <c r="AU1264" t="s">
        <v>2</v>
      </c>
      <c r="AV1264" t="s">
        <v>2023</v>
      </c>
      <c r="AW1264" s="10" t="s">
        <v>2136</v>
      </c>
    </row>
    <row r="1265" spans="1:49" x14ac:dyDescent="0.3">
      <c r="A1265" s="6" t="s">
        <v>2099</v>
      </c>
      <c r="B1265" s="10" t="s">
        <v>131</v>
      </c>
      <c r="C1265" t="s">
        <v>133</v>
      </c>
      <c r="D1265" s="10" t="s">
        <v>2133</v>
      </c>
      <c r="E1265" s="10">
        <v>2007</v>
      </c>
      <c r="F1265" t="s">
        <v>2661</v>
      </c>
      <c r="G1265" s="10" t="s">
        <v>34</v>
      </c>
      <c r="H1265" s="10" t="s">
        <v>17</v>
      </c>
      <c r="J1265" s="10" t="s">
        <v>2135</v>
      </c>
      <c r="K1265" s="26">
        <v>4</v>
      </c>
      <c r="L1265" s="26">
        <v>4</v>
      </c>
      <c r="N1265" s="10">
        <v>2.2000000000000002</v>
      </c>
      <c r="W1265">
        <v>4</v>
      </c>
      <c r="AD1265" s="14">
        <f t="shared" si="161"/>
        <v>1.8181818181818181</v>
      </c>
      <c r="AI1265" s="3">
        <f t="shared" si="160"/>
        <v>1.8181818181818181</v>
      </c>
      <c r="AQ1265">
        <v>60</v>
      </c>
      <c r="AR1265" t="s">
        <v>14</v>
      </c>
      <c r="AU1265" t="s">
        <v>2</v>
      </c>
      <c r="AV1265" t="s">
        <v>2023</v>
      </c>
      <c r="AW1265" s="10" t="s">
        <v>2136</v>
      </c>
    </row>
    <row r="1266" spans="1:49" x14ac:dyDescent="0.3">
      <c r="A1266" s="6" t="s">
        <v>2099</v>
      </c>
      <c r="B1266" s="10" t="s">
        <v>131</v>
      </c>
      <c r="C1266" t="s">
        <v>133</v>
      </c>
      <c r="D1266" s="10" t="s">
        <v>2133</v>
      </c>
      <c r="E1266" s="10">
        <v>2008</v>
      </c>
      <c r="F1266" t="s">
        <v>2661</v>
      </c>
      <c r="G1266" s="10" t="s">
        <v>34</v>
      </c>
      <c r="H1266" s="10" t="s">
        <v>17</v>
      </c>
      <c r="J1266" s="10" t="s">
        <v>2135</v>
      </c>
      <c r="K1266" s="26">
        <v>4</v>
      </c>
      <c r="L1266" s="26">
        <v>4</v>
      </c>
      <c r="N1266" s="10">
        <v>1.5</v>
      </c>
      <c r="W1266">
        <v>4.5999999999999996</v>
      </c>
      <c r="AD1266" s="14">
        <f t="shared" si="161"/>
        <v>3.0666666666666664</v>
      </c>
      <c r="AI1266" s="3">
        <f t="shared" si="160"/>
        <v>3.0666666666666664</v>
      </c>
      <c r="AQ1266">
        <v>60</v>
      </c>
      <c r="AR1266" t="s">
        <v>14</v>
      </c>
      <c r="AU1266" t="s">
        <v>2</v>
      </c>
      <c r="AV1266" t="s">
        <v>2023</v>
      </c>
      <c r="AW1266" s="10" t="s">
        <v>2136</v>
      </c>
    </row>
    <row r="1267" spans="1:49" x14ac:dyDescent="0.3">
      <c r="A1267" s="6" t="s">
        <v>2099</v>
      </c>
      <c r="B1267" s="10" t="s">
        <v>131</v>
      </c>
      <c r="C1267" t="s">
        <v>133</v>
      </c>
      <c r="D1267" s="10" t="s">
        <v>2133</v>
      </c>
      <c r="E1267" s="10">
        <v>2008</v>
      </c>
      <c r="F1267" t="s">
        <v>2661</v>
      </c>
      <c r="G1267" s="10" t="s">
        <v>34</v>
      </c>
      <c r="H1267" s="10" t="s">
        <v>17</v>
      </c>
      <c r="J1267" s="10" t="s">
        <v>2135</v>
      </c>
      <c r="K1267" s="26">
        <v>4</v>
      </c>
      <c r="L1267" s="26">
        <v>4</v>
      </c>
      <c r="N1267" s="10">
        <v>2.2999999999999998</v>
      </c>
      <c r="W1267">
        <v>4.4000000000000004</v>
      </c>
      <c r="AD1267" s="14">
        <f t="shared" si="161"/>
        <v>1.9130434782608698</v>
      </c>
      <c r="AI1267" s="3">
        <f t="shared" si="160"/>
        <v>1.9130434782608698</v>
      </c>
      <c r="AQ1267">
        <v>60</v>
      </c>
      <c r="AR1267" t="s">
        <v>14</v>
      </c>
      <c r="AU1267" t="s">
        <v>2</v>
      </c>
      <c r="AV1267" t="s">
        <v>2023</v>
      </c>
      <c r="AW1267" s="10" t="s">
        <v>2136</v>
      </c>
    </row>
    <row r="1268" spans="1:49" x14ac:dyDescent="0.3">
      <c r="A1268" s="6" t="s">
        <v>2099</v>
      </c>
      <c r="B1268" s="10" t="s">
        <v>131</v>
      </c>
      <c r="C1268" t="s">
        <v>133</v>
      </c>
      <c r="D1268" s="10" t="s">
        <v>2133</v>
      </c>
      <c r="E1268" s="10">
        <v>2009</v>
      </c>
      <c r="F1268" t="s">
        <v>2661</v>
      </c>
      <c r="G1268" s="10" t="s">
        <v>34</v>
      </c>
      <c r="H1268" s="10" t="s">
        <v>17</v>
      </c>
      <c r="J1268" s="10" t="s">
        <v>2135</v>
      </c>
      <c r="K1268" s="26">
        <v>4</v>
      </c>
      <c r="L1268" s="26">
        <v>4</v>
      </c>
      <c r="N1268" s="10">
        <v>2</v>
      </c>
      <c r="W1268">
        <v>4</v>
      </c>
      <c r="AD1268" s="14">
        <f t="shared" si="161"/>
        <v>2</v>
      </c>
      <c r="AI1268" s="3">
        <f t="shared" si="160"/>
        <v>2</v>
      </c>
      <c r="AQ1268">
        <v>60</v>
      </c>
      <c r="AR1268" t="s">
        <v>14</v>
      </c>
      <c r="AU1268" t="s">
        <v>2</v>
      </c>
      <c r="AV1268" t="s">
        <v>2023</v>
      </c>
      <c r="AW1268" s="10" t="s">
        <v>2136</v>
      </c>
    </row>
    <row r="1269" spans="1:49" x14ac:dyDescent="0.3">
      <c r="A1269" s="6" t="s">
        <v>2099</v>
      </c>
      <c r="B1269" s="10" t="s">
        <v>131</v>
      </c>
      <c r="C1269" t="s">
        <v>133</v>
      </c>
      <c r="D1269" s="10" t="s">
        <v>2133</v>
      </c>
      <c r="E1269" s="10">
        <v>2009</v>
      </c>
      <c r="F1269" t="s">
        <v>2661</v>
      </c>
      <c r="G1269" s="10" t="s">
        <v>34</v>
      </c>
      <c r="H1269" s="10" t="s">
        <v>17</v>
      </c>
      <c r="J1269" s="10" t="s">
        <v>2135</v>
      </c>
      <c r="K1269" s="26">
        <v>4</v>
      </c>
      <c r="L1269" s="26">
        <v>4</v>
      </c>
      <c r="N1269" s="10">
        <v>2.2000000000000002</v>
      </c>
      <c r="W1269">
        <v>4.5999999999999996</v>
      </c>
      <c r="AD1269" s="14">
        <f t="shared" si="161"/>
        <v>2.0909090909090904</v>
      </c>
      <c r="AI1269" s="3">
        <f t="shared" si="160"/>
        <v>2.0909090909090904</v>
      </c>
      <c r="AQ1269">
        <v>60</v>
      </c>
      <c r="AR1269" t="s">
        <v>14</v>
      </c>
      <c r="AU1269" t="s">
        <v>2</v>
      </c>
      <c r="AV1269" t="s">
        <v>2023</v>
      </c>
      <c r="AW1269" s="10" t="s">
        <v>2136</v>
      </c>
    </row>
    <row r="1270" spans="1:49" x14ac:dyDescent="0.3">
      <c r="A1270" s="6" t="s">
        <v>2099</v>
      </c>
      <c r="B1270" s="10" t="s">
        <v>131</v>
      </c>
      <c r="C1270" t="s">
        <v>133</v>
      </c>
      <c r="D1270" s="10" t="s">
        <v>2133</v>
      </c>
      <c r="E1270" s="10">
        <v>2010</v>
      </c>
      <c r="F1270" t="s">
        <v>2661</v>
      </c>
      <c r="G1270" s="10" t="s">
        <v>34</v>
      </c>
      <c r="H1270" s="10" t="s">
        <v>17</v>
      </c>
      <c r="J1270" s="10" t="s">
        <v>2135</v>
      </c>
      <c r="K1270" s="26">
        <v>4</v>
      </c>
      <c r="L1270" s="26">
        <v>4</v>
      </c>
      <c r="N1270" s="10">
        <v>1.6</v>
      </c>
      <c r="W1270">
        <v>5.5</v>
      </c>
      <c r="AD1270" s="14">
        <f t="shared" si="161"/>
        <v>3.4375</v>
      </c>
      <c r="AI1270" s="3">
        <f t="shared" si="160"/>
        <v>3.4375</v>
      </c>
      <c r="AQ1270">
        <v>60</v>
      </c>
      <c r="AR1270" t="s">
        <v>14</v>
      </c>
      <c r="AU1270" t="s">
        <v>2</v>
      </c>
      <c r="AV1270" t="s">
        <v>2023</v>
      </c>
      <c r="AW1270" s="10" t="s">
        <v>2136</v>
      </c>
    </row>
    <row r="1271" spans="1:49" x14ac:dyDescent="0.3">
      <c r="A1271" s="6" t="s">
        <v>2099</v>
      </c>
      <c r="B1271" s="10" t="s">
        <v>131</v>
      </c>
      <c r="C1271" t="s">
        <v>133</v>
      </c>
      <c r="D1271" s="10" t="s">
        <v>2133</v>
      </c>
      <c r="E1271" s="10">
        <v>2010</v>
      </c>
      <c r="F1271" t="s">
        <v>2661</v>
      </c>
      <c r="G1271" s="10" t="s">
        <v>34</v>
      </c>
      <c r="H1271" s="10" t="s">
        <v>17</v>
      </c>
      <c r="J1271" s="10" t="s">
        <v>2135</v>
      </c>
      <c r="K1271" s="26">
        <v>4</v>
      </c>
      <c r="L1271" s="26">
        <v>4</v>
      </c>
      <c r="N1271" s="10">
        <v>2.2000000000000002</v>
      </c>
      <c r="W1271">
        <v>4.5999999999999996</v>
      </c>
      <c r="AD1271" s="14">
        <f t="shared" si="161"/>
        <v>2.0909090909090904</v>
      </c>
      <c r="AI1271" s="3">
        <f t="shared" si="160"/>
        <v>2.0909090909090904</v>
      </c>
      <c r="AQ1271">
        <v>60</v>
      </c>
      <c r="AR1271" t="s">
        <v>14</v>
      </c>
      <c r="AU1271" t="s">
        <v>2</v>
      </c>
      <c r="AV1271" t="s">
        <v>2023</v>
      </c>
      <c r="AW1271" s="10" t="s">
        <v>2136</v>
      </c>
    </row>
    <row r="1272" spans="1:49" x14ac:dyDescent="0.3">
      <c r="A1272" s="6" t="s">
        <v>2099</v>
      </c>
      <c r="B1272" s="10" t="s">
        <v>131</v>
      </c>
      <c r="C1272" t="s">
        <v>133</v>
      </c>
      <c r="D1272" s="10" t="s">
        <v>2133</v>
      </c>
      <c r="E1272" s="10">
        <v>2011</v>
      </c>
      <c r="F1272" t="s">
        <v>2661</v>
      </c>
      <c r="G1272" s="10" t="s">
        <v>34</v>
      </c>
      <c r="H1272" s="10" t="s">
        <v>17</v>
      </c>
      <c r="J1272" s="10" t="s">
        <v>2135</v>
      </c>
      <c r="K1272" s="26">
        <v>4</v>
      </c>
      <c r="L1272" s="26">
        <v>4</v>
      </c>
      <c r="N1272" s="10">
        <v>1.3</v>
      </c>
      <c r="W1272">
        <v>2.4</v>
      </c>
      <c r="AD1272" s="14">
        <f t="shared" si="161"/>
        <v>1.846153846153846</v>
      </c>
      <c r="AI1272" s="3">
        <f t="shared" si="160"/>
        <v>1.846153846153846</v>
      </c>
      <c r="AQ1272">
        <v>60</v>
      </c>
      <c r="AR1272" t="s">
        <v>14</v>
      </c>
      <c r="AU1272" t="s">
        <v>2</v>
      </c>
      <c r="AV1272" t="s">
        <v>2023</v>
      </c>
      <c r="AW1272" s="10" t="s">
        <v>2136</v>
      </c>
    </row>
    <row r="1273" spans="1:49" x14ac:dyDescent="0.3">
      <c r="A1273" s="6" t="s">
        <v>2099</v>
      </c>
      <c r="B1273" s="10" t="s">
        <v>131</v>
      </c>
      <c r="C1273" t="s">
        <v>133</v>
      </c>
      <c r="D1273" s="10" t="s">
        <v>2133</v>
      </c>
      <c r="E1273" s="10">
        <v>2011</v>
      </c>
      <c r="F1273" t="s">
        <v>2661</v>
      </c>
      <c r="G1273" s="10" t="s">
        <v>34</v>
      </c>
      <c r="H1273" s="10" t="s">
        <v>17</v>
      </c>
      <c r="J1273" s="10" t="s">
        <v>2135</v>
      </c>
      <c r="K1273" s="26">
        <v>4</v>
      </c>
      <c r="L1273" s="26">
        <v>4</v>
      </c>
      <c r="N1273" s="10">
        <v>2.5</v>
      </c>
      <c r="W1273">
        <v>5</v>
      </c>
      <c r="AD1273" s="14">
        <f t="shared" si="161"/>
        <v>2</v>
      </c>
      <c r="AI1273" s="3">
        <f t="shared" ref="AI1273:AI1293" si="162">AD1273+AE1273</f>
        <v>2</v>
      </c>
      <c r="AQ1273">
        <v>60</v>
      </c>
      <c r="AR1273" t="s">
        <v>14</v>
      </c>
      <c r="AU1273" t="s">
        <v>2</v>
      </c>
      <c r="AV1273" t="s">
        <v>2023</v>
      </c>
      <c r="AW1273" s="10" t="s">
        <v>2136</v>
      </c>
    </row>
    <row r="1274" spans="1:49" x14ac:dyDescent="0.3">
      <c r="A1274" s="6" t="s">
        <v>2099</v>
      </c>
      <c r="B1274" s="10" t="s">
        <v>131</v>
      </c>
      <c r="C1274" t="s">
        <v>133</v>
      </c>
      <c r="D1274" s="10" t="s">
        <v>2133</v>
      </c>
      <c r="E1274" s="10">
        <v>2012</v>
      </c>
      <c r="F1274" t="s">
        <v>2661</v>
      </c>
      <c r="G1274" s="10" t="s">
        <v>34</v>
      </c>
      <c r="H1274" s="10" t="s">
        <v>17</v>
      </c>
      <c r="J1274" s="10" t="s">
        <v>2135</v>
      </c>
      <c r="K1274" s="26">
        <v>4</v>
      </c>
      <c r="L1274" s="26">
        <v>4</v>
      </c>
      <c r="N1274" s="10">
        <v>1</v>
      </c>
      <c r="W1274">
        <v>4.3</v>
      </c>
      <c r="AD1274" s="14">
        <f t="shared" si="161"/>
        <v>4.3</v>
      </c>
      <c r="AI1274" s="3">
        <f t="shared" si="162"/>
        <v>4.3</v>
      </c>
      <c r="AQ1274">
        <v>60</v>
      </c>
      <c r="AR1274" t="s">
        <v>14</v>
      </c>
      <c r="AU1274" t="s">
        <v>2</v>
      </c>
      <c r="AV1274" t="s">
        <v>2023</v>
      </c>
      <c r="AW1274" s="10" t="s">
        <v>2136</v>
      </c>
    </row>
    <row r="1275" spans="1:49" x14ac:dyDescent="0.3">
      <c r="A1275" s="6" t="s">
        <v>2099</v>
      </c>
      <c r="B1275" s="10" t="s">
        <v>131</v>
      </c>
      <c r="C1275" t="s">
        <v>133</v>
      </c>
      <c r="D1275" s="10" t="s">
        <v>2133</v>
      </c>
      <c r="E1275" s="10">
        <v>2012</v>
      </c>
      <c r="F1275" t="s">
        <v>2661</v>
      </c>
      <c r="G1275" s="10" t="s">
        <v>34</v>
      </c>
      <c r="H1275" s="10" t="s">
        <v>17</v>
      </c>
      <c r="J1275" s="10" t="s">
        <v>2135</v>
      </c>
      <c r="K1275" s="26">
        <v>4</v>
      </c>
      <c r="L1275" s="26">
        <v>4</v>
      </c>
      <c r="N1275" s="10">
        <v>1</v>
      </c>
      <c r="W1275">
        <v>4</v>
      </c>
      <c r="AD1275" s="14">
        <f t="shared" si="161"/>
        <v>4</v>
      </c>
      <c r="AI1275" s="3">
        <f t="shared" si="162"/>
        <v>4</v>
      </c>
      <c r="AQ1275">
        <v>60</v>
      </c>
      <c r="AR1275" t="s">
        <v>14</v>
      </c>
      <c r="AU1275" t="s">
        <v>2</v>
      </c>
      <c r="AV1275" t="s">
        <v>2023</v>
      </c>
      <c r="AW1275" s="10" t="s">
        <v>2136</v>
      </c>
    </row>
    <row r="1276" spans="1:49" x14ac:dyDescent="0.3">
      <c r="A1276" s="6" t="s">
        <v>2100</v>
      </c>
      <c r="B1276" s="10" t="s">
        <v>2124</v>
      </c>
      <c r="C1276" t="s">
        <v>2125</v>
      </c>
      <c r="D1276" s="10" t="s">
        <v>2137</v>
      </c>
      <c r="E1276" s="10">
        <v>1994</v>
      </c>
      <c r="F1276" t="s">
        <v>2661</v>
      </c>
      <c r="G1276" s="10" t="s">
        <v>6</v>
      </c>
      <c r="H1276" s="10" t="s">
        <v>217</v>
      </c>
      <c r="I1276" s="10" t="s">
        <v>2139</v>
      </c>
      <c r="J1276" s="10" t="s">
        <v>2138</v>
      </c>
      <c r="K1276" s="26">
        <v>4</v>
      </c>
      <c r="L1276" s="26">
        <v>4</v>
      </c>
      <c r="N1276" s="10">
        <v>15060</v>
      </c>
      <c r="P1276">
        <v>1472</v>
      </c>
      <c r="W1276">
        <v>5602</v>
      </c>
      <c r="Y1276">
        <v>1252</v>
      </c>
      <c r="AD1276" s="14">
        <f t="shared" si="161"/>
        <v>0.37197875166002659</v>
      </c>
      <c r="AE1276" s="3">
        <f t="shared" ref="AE1276:AE1297" si="163">Y1276/P1276</f>
        <v>0.85054347826086951</v>
      </c>
      <c r="AI1276" s="3">
        <f t="shared" si="162"/>
        <v>1.2225222299208962</v>
      </c>
      <c r="AQ1276">
        <v>150</v>
      </c>
      <c r="AR1276" t="s">
        <v>14</v>
      </c>
      <c r="AS1276" t="s">
        <v>3</v>
      </c>
      <c r="AT1276" t="s">
        <v>3</v>
      </c>
      <c r="AU1276" s="10" t="s">
        <v>2</v>
      </c>
      <c r="AV1276" s="10" t="s">
        <v>3</v>
      </c>
    </row>
    <row r="1277" spans="1:49" x14ac:dyDescent="0.3">
      <c r="A1277" s="6" t="s">
        <v>2100</v>
      </c>
      <c r="B1277" s="10" t="s">
        <v>2124</v>
      </c>
      <c r="C1277" t="s">
        <v>2125</v>
      </c>
      <c r="D1277" s="10" t="s">
        <v>2137</v>
      </c>
      <c r="E1277" s="10">
        <v>1994</v>
      </c>
      <c r="F1277" t="s">
        <v>2661</v>
      </c>
      <c r="G1277" s="10" t="s">
        <v>6</v>
      </c>
      <c r="H1277" s="10" t="s">
        <v>217</v>
      </c>
      <c r="I1277" s="10" t="s">
        <v>2140</v>
      </c>
      <c r="J1277" s="10" t="s">
        <v>2138</v>
      </c>
      <c r="K1277" s="26">
        <v>4</v>
      </c>
      <c r="L1277" s="26">
        <v>4</v>
      </c>
      <c r="N1277" s="10">
        <v>15060</v>
      </c>
      <c r="P1277">
        <v>1472</v>
      </c>
      <c r="W1277">
        <v>8421</v>
      </c>
      <c r="Y1277">
        <v>1140</v>
      </c>
      <c r="AD1277" s="14">
        <f t="shared" si="161"/>
        <v>0.55916334661354583</v>
      </c>
      <c r="AE1277" s="3">
        <f t="shared" si="163"/>
        <v>0.77445652173913049</v>
      </c>
      <c r="AI1277" s="3">
        <f t="shared" si="162"/>
        <v>1.3336198683526763</v>
      </c>
      <c r="AQ1277">
        <v>150</v>
      </c>
      <c r="AR1277" t="s">
        <v>14</v>
      </c>
      <c r="AS1277" t="s">
        <v>3</v>
      </c>
      <c r="AT1277" t="s">
        <v>3</v>
      </c>
      <c r="AU1277" s="10" t="s">
        <v>2</v>
      </c>
      <c r="AV1277" s="10" t="s">
        <v>3</v>
      </c>
    </row>
    <row r="1278" spans="1:49" x14ac:dyDescent="0.3">
      <c r="A1278" s="6" t="s">
        <v>2100</v>
      </c>
      <c r="B1278" s="10" t="s">
        <v>2124</v>
      </c>
      <c r="C1278" t="s">
        <v>2125</v>
      </c>
      <c r="D1278" s="10" t="s">
        <v>2137</v>
      </c>
      <c r="E1278" s="10">
        <v>1994</v>
      </c>
      <c r="F1278" t="s">
        <v>2661</v>
      </c>
      <c r="G1278" s="10" t="s">
        <v>6</v>
      </c>
      <c r="H1278" s="10" t="s">
        <v>217</v>
      </c>
      <c r="I1278" s="10" t="s">
        <v>2141</v>
      </c>
      <c r="J1278" s="10" t="s">
        <v>2138</v>
      </c>
      <c r="K1278" s="26">
        <v>4</v>
      </c>
      <c r="L1278" s="26">
        <v>4</v>
      </c>
      <c r="N1278" s="10">
        <v>15060</v>
      </c>
      <c r="P1278">
        <v>1472</v>
      </c>
      <c r="W1278">
        <v>8572</v>
      </c>
      <c r="Y1278">
        <v>633</v>
      </c>
      <c r="AD1278" s="14">
        <f t="shared" si="161"/>
        <v>0.56918990703851258</v>
      </c>
      <c r="AE1278" s="3">
        <f t="shared" si="163"/>
        <v>0.43002717391304346</v>
      </c>
      <c r="AI1278" s="3">
        <f t="shared" si="162"/>
        <v>0.99921708095155604</v>
      </c>
      <c r="AQ1278">
        <v>150</v>
      </c>
      <c r="AR1278" t="s">
        <v>14</v>
      </c>
      <c r="AS1278" t="s">
        <v>3</v>
      </c>
      <c r="AT1278" t="s">
        <v>3</v>
      </c>
      <c r="AU1278" s="10" t="s">
        <v>2</v>
      </c>
      <c r="AV1278" s="10" t="s">
        <v>3</v>
      </c>
    </row>
    <row r="1279" spans="1:49" x14ac:dyDescent="0.3">
      <c r="A1279" s="6" t="s">
        <v>2100</v>
      </c>
      <c r="B1279" s="10" t="s">
        <v>2124</v>
      </c>
      <c r="C1279" t="s">
        <v>2125</v>
      </c>
      <c r="D1279" s="10" t="s">
        <v>2137</v>
      </c>
      <c r="E1279" s="10">
        <v>1995</v>
      </c>
      <c r="F1279" t="s">
        <v>2661</v>
      </c>
      <c r="G1279" s="10" t="s">
        <v>6</v>
      </c>
      <c r="H1279" s="10" t="s">
        <v>217</v>
      </c>
      <c r="I1279" s="10" t="s">
        <v>2139</v>
      </c>
      <c r="J1279" s="10" t="s">
        <v>2138</v>
      </c>
      <c r="K1279" s="26">
        <v>4</v>
      </c>
      <c r="L1279" s="26">
        <v>4</v>
      </c>
      <c r="N1279" s="10">
        <v>10175</v>
      </c>
      <c r="P1279">
        <v>1144</v>
      </c>
      <c r="W1279">
        <v>3943</v>
      </c>
      <c r="Y1279">
        <v>940</v>
      </c>
      <c r="AD1279" s="14">
        <f t="shared" si="161"/>
        <v>0.38751842751842752</v>
      </c>
      <c r="AE1279" s="3">
        <f t="shared" si="163"/>
        <v>0.82167832167832167</v>
      </c>
      <c r="AI1279" s="3">
        <f t="shared" si="162"/>
        <v>1.2091967491967492</v>
      </c>
      <c r="AQ1279">
        <v>150</v>
      </c>
      <c r="AR1279" t="s">
        <v>14</v>
      </c>
      <c r="AS1279" t="s">
        <v>3</v>
      </c>
      <c r="AT1279" t="s">
        <v>3</v>
      </c>
      <c r="AU1279" s="10" t="s">
        <v>2</v>
      </c>
      <c r="AV1279" s="10" t="s">
        <v>3</v>
      </c>
    </row>
    <row r="1280" spans="1:49" x14ac:dyDescent="0.3">
      <c r="A1280" s="6" t="s">
        <v>2100</v>
      </c>
      <c r="B1280" s="10" t="s">
        <v>2124</v>
      </c>
      <c r="C1280" t="s">
        <v>2125</v>
      </c>
      <c r="D1280" s="10" t="s">
        <v>2137</v>
      </c>
      <c r="E1280" s="10">
        <v>1995</v>
      </c>
      <c r="F1280" t="s">
        <v>2661</v>
      </c>
      <c r="G1280" s="10" t="s">
        <v>6</v>
      </c>
      <c r="H1280" s="10" t="s">
        <v>217</v>
      </c>
      <c r="I1280" s="10" t="s">
        <v>2140</v>
      </c>
      <c r="J1280" s="10" t="s">
        <v>2138</v>
      </c>
      <c r="K1280" s="26">
        <v>4</v>
      </c>
      <c r="L1280" s="26">
        <v>4</v>
      </c>
      <c r="N1280" s="10">
        <v>10175</v>
      </c>
      <c r="P1280">
        <v>1144</v>
      </c>
      <c r="W1280">
        <v>7285</v>
      </c>
      <c r="Y1280">
        <v>938</v>
      </c>
      <c r="AD1280" s="14">
        <f t="shared" si="161"/>
        <v>0.71597051597051597</v>
      </c>
      <c r="AE1280" s="3">
        <f t="shared" si="163"/>
        <v>0.81993006993006989</v>
      </c>
      <c r="AI1280" s="3">
        <f t="shared" si="162"/>
        <v>1.5359005859005859</v>
      </c>
      <c r="AQ1280">
        <v>150</v>
      </c>
      <c r="AR1280" t="s">
        <v>14</v>
      </c>
      <c r="AS1280" t="s">
        <v>3</v>
      </c>
      <c r="AT1280" t="s">
        <v>3</v>
      </c>
      <c r="AU1280" s="10" t="s">
        <v>2</v>
      </c>
      <c r="AV1280" s="10" t="s">
        <v>3</v>
      </c>
    </row>
    <row r="1281" spans="1:49" x14ac:dyDescent="0.3">
      <c r="A1281" s="6" t="s">
        <v>2100</v>
      </c>
      <c r="B1281" s="10" t="s">
        <v>2124</v>
      </c>
      <c r="C1281" t="s">
        <v>2125</v>
      </c>
      <c r="D1281" s="10" t="s">
        <v>2137</v>
      </c>
      <c r="E1281" s="10">
        <v>1995</v>
      </c>
      <c r="F1281" t="s">
        <v>2661</v>
      </c>
      <c r="G1281" s="10" t="s">
        <v>6</v>
      </c>
      <c r="H1281" s="10" t="s">
        <v>217</v>
      </c>
      <c r="I1281" s="10" t="s">
        <v>2141</v>
      </c>
      <c r="J1281" s="10" t="s">
        <v>2138</v>
      </c>
      <c r="K1281" s="26">
        <v>4</v>
      </c>
      <c r="L1281" s="26">
        <v>4</v>
      </c>
      <c r="N1281" s="10">
        <v>10175</v>
      </c>
      <c r="P1281">
        <v>1144</v>
      </c>
      <c r="W1281">
        <v>7428</v>
      </c>
      <c r="Y1281">
        <v>473</v>
      </c>
      <c r="AD1281" s="14">
        <f t="shared" si="161"/>
        <v>0.73002457002457</v>
      </c>
      <c r="AE1281" s="3">
        <f t="shared" si="163"/>
        <v>0.41346153846153844</v>
      </c>
      <c r="AI1281" s="3">
        <f t="shared" si="162"/>
        <v>1.1434861084861083</v>
      </c>
      <c r="AQ1281">
        <v>150</v>
      </c>
      <c r="AR1281" t="s">
        <v>14</v>
      </c>
      <c r="AS1281" t="s">
        <v>3</v>
      </c>
      <c r="AT1281" t="s">
        <v>3</v>
      </c>
      <c r="AU1281" s="10" t="s">
        <v>2</v>
      </c>
      <c r="AV1281" s="10" t="s">
        <v>3</v>
      </c>
    </row>
    <row r="1282" spans="1:49" x14ac:dyDescent="0.3">
      <c r="A1282" s="6" t="s">
        <v>2100</v>
      </c>
      <c r="B1282" s="10" t="s">
        <v>2124</v>
      </c>
      <c r="C1282" t="s">
        <v>2125</v>
      </c>
      <c r="D1282" s="10" t="s">
        <v>2137</v>
      </c>
      <c r="E1282" s="10">
        <v>1996</v>
      </c>
      <c r="F1282" t="s">
        <v>2661</v>
      </c>
      <c r="G1282" s="10" t="s">
        <v>6</v>
      </c>
      <c r="H1282" s="10" t="s">
        <v>217</v>
      </c>
      <c r="I1282" s="10" t="s">
        <v>2139</v>
      </c>
      <c r="J1282" s="10" t="s">
        <v>2138</v>
      </c>
      <c r="K1282" s="26">
        <v>4</v>
      </c>
      <c r="L1282" s="26">
        <v>4</v>
      </c>
      <c r="N1282" s="10">
        <v>6315</v>
      </c>
      <c r="P1282">
        <v>1816</v>
      </c>
      <c r="W1282">
        <v>2089</v>
      </c>
      <c r="Y1282">
        <v>851</v>
      </c>
      <c r="AD1282" s="14">
        <f t="shared" si="161"/>
        <v>0.33079968329374504</v>
      </c>
      <c r="AE1282" s="3">
        <f t="shared" si="163"/>
        <v>0.46861233480176212</v>
      </c>
      <c r="AI1282" s="3">
        <f t="shared" si="162"/>
        <v>0.7994120180955071</v>
      </c>
      <c r="AQ1282">
        <v>150</v>
      </c>
      <c r="AR1282" t="s">
        <v>14</v>
      </c>
      <c r="AS1282" t="s">
        <v>3</v>
      </c>
      <c r="AT1282" t="s">
        <v>3</v>
      </c>
      <c r="AU1282" s="10" t="s">
        <v>2</v>
      </c>
      <c r="AV1282" s="10" t="s">
        <v>3</v>
      </c>
    </row>
    <row r="1283" spans="1:49" x14ac:dyDescent="0.3">
      <c r="A1283" s="6" t="s">
        <v>2100</v>
      </c>
      <c r="B1283" s="10" t="s">
        <v>2124</v>
      </c>
      <c r="C1283" t="s">
        <v>2125</v>
      </c>
      <c r="D1283" s="10" t="s">
        <v>2137</v>
      </c>
      <c r="E1283" s="10">
        <v>1996</v>
      </c>
      <c r="F1283" t="s">
        <v>2661</v>
      </c>
      <c r="G1283" s="10" t="s">
        <v>6</v>
      </c>
      <c r="H1283" s="10" t="s">
        <v>217</v>
      </c>
      <c r="I1283" s="10" t="s">
        <v>2140</v>
      </c>
      <c r="J1283" s="10" t="s">
        <v>2138</v>
      </c>
      <c r="K1283" s="26">
        <v>4</v>
      </c>
      <c r="L1283" s="26">
        <v>4</v>
      </c>
      <c r="N1283" s="10">
        <v>6315</v>
      </c>
      <c r="P1283">
        <v>1816</v>
      </c>
      <c r="W1283">
        <v>3608</v>
      </c>
      <c r="Y1283">
        <v>734</v>
      </c>
      <c r="AD1283" s="14">
        <f t="shared" si="161"/>
        <v>0.57133808392715757</v>
      </c>
      <c r="AE1283" s="3">
        <f t="shared" si="163"/>
        <v>0.4041850220264317</v>
      </c>
      <c r="AI1283" s="3">
        <f t="shared" si="162"/>
        <v>0.97552310595358926</v>
      </c>
      <c r="AQ1283">
        <v>150</v>
      </c>
      <c r="AR1283" t="s">
        <v>14</v>
      </c>
      <c r="AS1283" t="s">
        <v>3</v>
      </c>
      <c r="AT1283" t="s">
        <v>3</v>
      </c>
      <c r="AU1283" s="10" t="s">
        <v>2</v>
      </c>
      <c r="AV1283" s="10" t="s">
        <v>3</v>
      </c>
    </row>
    <row r="1284" spans="1:49" x14ac:dyDescent="0.3">
      <c r="A1284" s="6" t="s">
        <v>2100</v>
      </c>
      <c r="B1284" s="10" t="s">
        <v>2124</v>
      </c>
      <c r="C1284" t="s">
        <v>2125</v>
      </c>
      <c r="D1284" s="10" t="s">
        <v>2137</v>
      </c>
      <c r="E1284" s="10">
        <v>1996</v>
      </c>
      <c r="F1284" t="s">
        <v>2661</v>
      </c>
      <c r="G1284" s="10" t="s">
        <v>6</v>
      </c>
      <c r="H1284" s="10" t="s">
        <v>217</v>
      </c>
      <c r="I1284" s="10" t="s">
        <v>2141</v>
      </c>
      <c r="J1284" s="10" t="s">
        <v>2138</v>
      </c>
      <c r="K1284" s="26">
        <v>4</v>
      </c>
      <c r="L1284" s="26">
        <v>4</v>
      </c>
      <c r="N1284" s="10">
        <v>6315</v>
      </c>
      <c r="P1284">
        <v>1816</v>
      </c>
      <c r="W1284">
        <v>3738</v>
      </c>
      <c r="AD1284" s="14">
        <f t="shared" si="161"/>
        <v>0.59192399049881239</v>
      </c>
      <c r="AE1284" s="3">
        <f t="shared" si="163"/>
        <v>0</v>
      </c>
      <c r="AI1284" s="3">
        <f t="shared" si="162"/>
        <v>0.59192399049881239</v>
      </c>
      <c r="AQ1284">
        <v>150</v>
      </c>
      <c r="AR1284" t="s">
        <v>14</v>
      </c>
      <c r="AS1284" t="s">
        <v>3</v>
      </c>
      <c r="AT1284" t="s">
        <v>3</v>
      </c>
      <c r="AU1284" s="10" t="s">
        <v>2</v>
      </c>
      <c r="AV1284" s="10" t="s">
        <v>3</v>
      </c>
    </row>
    <row r="1285" spans="1:49" x14ac:dyDescent="0.3">
      <c r="A1285" s="6" t="s">
        <v>2100</v>
      </c>
      <c r="B1285" s="10" t="s">
        <v>2124</v>
      </c>
      <c r="C1285" t="s">
        <v>2125</v>
      </c>
      <c r="D1285" s="10" t="s">
        <v>2137</v>
      </c>
      <c r="E1285" s="10">
        <v>1994</v>
      </c>
      <c r="F1285" t="s">
        <v>2661</v>
      </c>
      <c r="G1285" s="10" t="s">
        <v>6</v>
      </c>
      <c r="H1285" s="10" t="s">
        <v>217</v>
      </c>
      <c r="I1285" s="10" t="s">
        <v>2139</v>
      </c>
      <c r="J1285" s="10" t="s">
        <v>2138</v>
      </c>
      <c r="K1285" s="26">
        <v>4</v>
      </c>
      <c r="L1285" s="26">
        <v>4</v>
      </c>
      <c r="N1285" s="10">
        <v>13552</v>
      </c>
      <c r="P1285">
        <v>1772</v>
      </c>
      <c r="W1285">
        <v>4578</v>
      </c>
      <c r="Y1285">
        <v>876</v>
      </c>
      <c r="AD1285" s="14">
        <f t="shared" si="161"/>
        <v>0.33780991735537191</v>
      </c>
      <c r="AE1285" s="3">
        <f t="shared" si="163"/>
        <v>0.49435665914221216</v>
      </c>
      <c r="AI1285" s="3">
        <f t="shared" si="162"/>
        <v>0.83216657649758408</v>
      </c>
      <c r="AQ1285">
        <v>150</v>
      </c>
      <c r="AR1285" t="s">
        <v>14</v>
      </c>
      <c r="AS1285" t="s">
        <v>3</v>
      </c>
      <c r="AT1285" t="s">
        <v>2</v>
      </c>
      <c r="AU1285" s="10" t="s">
        <v>2</v>
      </c>
      <c r="AV1285" s="10" t="s">
        <v>3</v>
      </c>
    </row>
    <row r="1286" spans="1:49" x14ac:dyDescent="0.3">
      <c r="A1286" s="6" t="s">
        <v>2100</v>
      </c>
      <c r="B1286" s="10" t="s">
        <v>2124</v>
      </c>
      <c r="C1286" t="s">
        <v>2125</v>
      </c>
      <c r="D1286" s="10" t="s">
        <v>2137</v>
      </c>
      <c r="E1286" s="10">
        <v>1994</v>
      </c>
      <c r="F1286" t="s">
        <v>2661</v>
      </c>
      <c r="G1286" s="10" t="s">
        <v>6</v>
      </c>
      <c r="H1286" s="10" t="s">
        <v>217</v>
      </c>
      <c r="I1286" s="10" t="s">
        <v>2140</v>
      </c>
      <c r="J1286" s="10" t="s">
        <v>2138</v>
      </c>
      <c r="K1286" s="26">
        <v>4</v>
      </c>
      <c r="L1286" s="26">
        <v>4</v>
      </c>
      <c r="N1286" s="10">
        <v>13552</v>
      </c>
      <c r="P1286">
        <v>1772</v>
      </c>
      <c r="W1286">
        <v>6037</v>
      </c>
      <c r="Y1286">
        <v>914</v>
      </c>
      <c r="AD1286" s="14">
        <f t="shared" si="161"/>
        <v>0.44546930342384888</v>
      </c>
      <c r="AE1286" s="3">
        <f t="shared" si="163"/>
        <v>0.51580135440180586</v>
      </c>
      <c r="AI1286" s="3">
        <f t="shared" si="162"/>
        <v>0.96127065782565468</v>
      </c>
      <c r="AQ1286">
        <v>150</v>
      </c>
      <c r="AR1286" t="s">
        <v>14</v>
      </c>
      <c r="AS1286" t="s">
        <v>3</v>
      </c>
      <c r="AT1286" t="s">
        <v>2</v>
      </c>
      <c r="AU1286" s="10" t="s">
        <v>2</v>
      </c>
      <c r="AV1286" s="10" t="s">
        <v>3</v>
      </c>
    </row>
    <row r="1287" spans="1:49" x14ac:dyDescent="0.3">
      <c r="A1287" s="6" t="s">
        <v>2100</v>
      </c>
      <c r="B1287" s="10" t="s">
        <v>2124</v>
      </c>
      <c r="C1287" t="s">
        <v>2125</v>
      </c>
      <c r="D1287" s="10" t="s">
        <v>2137</v>
      </c>
      <c r="E1287" s="10">
        <v>1994</v>
      </c>
      <c r="F1287" t="s">
        <v>2661</v>
      </c>
      <c r="G1287" s="10" t="s">
        <v>6</v>
      </c>
      <c r="H1287" s="10" t="s">
        <v>217</v>
      </c>
      <c r="I1287" s="10" t="s">
        <v>2141</v>
      </c>
      <c r="J1287" s="10" t="s">
        <v>2138</v>
      </c>
      <c r="K1287" s="26">
        <v>4</v>
      </c>
      <c r="L1287" s="26">
        <v>4</v>
      </c>
      <c r="N1287" s="10">
        <v>13552</v>
      </c>
      <c r="P1287">
        <v>1772</v>
      </c>
      <c r="W1287">
        <v>7706</v>
      </c>
      <c r="Y1287">
        <v>434</v>
      </c>
      <c r="AD1287" s="14">
        <f t="shared" si="161"/>
        <v>0.56862455726092087</v>
      </c>
      <c r="AE1287" s="3">
        <f t="shared" si="163"/>
        <v>0.24492099322799096</v>
      </c>
      <c r="AI1287" s="3">
        <f t="shared" si="162"/>
        <v>0.81354555048891186</v>
      </c>
      <c r="AQ1287">
        <v>150</v>
      </c>
      <c r="AR1287" t="s">
        <v>14</v>
      </c>
      <c r="AS1287" t="s">
        <v>3</v>
      </c>
      <c r="AT1287" t="s">
        <v>2</v>
      </c>
      <c r="AU1287" s="10" t="s">
        <v>2</v>
      </c>
      <c r="AV1287" s="10" t="s">
        <v>3</v>
      </c>
    </row>
    <row r="1288" spans="1:49" x14ac:dyDescent="0.3">
      <c r="A1288" s="6" t="s">
        <v>2100</v>
      </c>
      <c r="B1288" s="10" t="s">
        <v>2124</v>
      </c>
      <c r="C1288" t="s">
        <v>2125</v>
      </c>
      <c r="D1288" s="10" t="s">
        <v>2137</v>
      </c>
      <c r="E1288" s="10">
        <v>1995</v>
      </c>
      <c r="F1288" t="s">
        <v>2661</v>
      </c>
      <c r="G1288" s="10" t="s">
        <v>6</v>
      </c>
      <c r="H1288" s="10" t="s">
        <v>217</v>
      </c>
      <c r="I1288" s="10" t="s">
        <v>2139</v>
      </c>
      <c r="J1288" s="10" t="s">
        <v>2138</v>
      </c>
      <c r="K1288" s="26">
        <v>4</v>
      </c>
      <c r="L1288" s="26">
        <v>4</v>
      </c>
      <c r="N1288" s="10">
        <v>11375</v>
      </c>
      <c r="P1288">
        <v>930</v>
      </c>
      <c r="W1288">
        <v>3681</v>
      </c>
      <c r="Y1288">
        <v>656</v>
      </c>
      <c r="AD1288" s="14">
        <f t="shared" ref="AD1288:AD1297" si="164">W1288/N1288</f>
        <v>0.32360439560439558</v>
      </c>
      <c r="AE1288" s="3">
        <f t="shared" si="163"/>
        <v>0.70537634408602146</v>
      </c>
      <c r="AI1288" s="3">
        <f t="shared" si="162"/>
        <v>1.0289807396904171</v>
      </c>
      <c r="AQ1288">
        <v>150</v>
      </c>
      <c r="AR1288" t="s">
        <v>14</v>
      </c>
      <c r="AS1288" t="s">
        <v>3</v>
      </c>
      <c r="AT1288" t="s">
        <v>2</v>
      </c>
      <c r="AU1288" s="10" t="s">
        <v>2</v>
      </c>
      <c r="AV1288" s="10" t="s">
        <v>3</v>
      </c>
    </row>
    <row r="1289" spans="1:49" x14ac:dyDescent="0.3">
      <c r="A1289" s="6" t="s">
        <v>2100</v>
      </c>
      <c r="B1289" s="10" t="s">
        <v>2124</v>
      </c>
      <c r="C1289" t="s">
        <v>2125</v>
      </c>
      <c r="D1289" s="10" t="s">
        <v>2137</v>
      </c>
      <c r="E1289" s="10">
        <v>1995</v>
      </c>
      <c r="F1289" t="s">
        <v>2661</v>
      </c>
      <c r="G1289" s="10" t="s">
        <v>6</v>
      </c>
      <c r="H1289" s="10" t="s">
        <v>217</v>
      </c>
      <c r="I1289" s="10" t="s">
        <v>2140</v>
      </c>
      <c r="J1289" s="10" t="s">
        <v>2138</v>
      </c>
      <c r="K1289" s="26">
        <v>4</v>
      </c>
      <c r="L1289" s="26">
        <v>4</v>
      </c>
      <c r="N1289" s="10">
        <v>11375</v>
      </c>
      <c r="P1289">
        <v>930</v>
      </c>
      <c r="W1289">
        <v>5999</v>
      </c>
      <c r="Y1289">
        <v>494</v>
      </c>
      <c r="AD1289" s="14">
        <f t="shared" si="164"/>
        <v>0.52738461538461534</v>
      </c>
      <c r="AE1289" s="3">
        <f t="shared" si="163"/>
        <v>0.53118279569892468</v>
      </c>
      <c r="AI1289" s="3">
        <f t="shared" si="162"/>
        <v>1.0585674110835401</v>
      </c>
      <c r="AQ1289">
        <v>150</v>
      </c>
      <c r="AR1289" t="s">
        <v>14</v>
      </c>
      <c r="AS1289" t="s">
        <v>3</v>
      </c>
      <c r="AT1289" t="s">
        <v>2</v>
      </c>
      <c r="AU1289" s="10" t="s">
        <v>2</v>
      </c>
      <c r="AV1289" s="10" t="s">
        <v>3</v>
      </c>
    </row>
    <row r="1290" spans="1:49" x14ac:dyDescent="0.3">
      <c r="A1290" s="6" t="s">
        <v>2100</v>
      </c>
      <c r="B1290" s="10" t="s">
        <v>2124</v>
      </c>
      <c r="C1290" t="s">
        <v>2125</v>
      </c>
      <c r="D1290" s="10" t="s">
        <v>2137</v>
      </c>
      <c r="E1290" s="10">
        <v>1995</v>
      </c>
      <c r="F1290" t="s">
        <v>2661</v>
      </c>
      <c r="G1290" s="10" t="s">
        <v>6</v>
      </c>
      <c r="H1290" s="10" t="s">
        <v>217</v>
      </c>
      <c r="I1290" s="10" t="s">
        <v>2141</v>
      </c>
      <c r="J1290" s="10" t="s">
        <v>2138</v>
      </c>
      <c r="K1290" s="26">
        <v>4</v>
      </c>
      <c r="L1290" s="26">
        <v>4</v>
      </c>
      <c r="N1290" s="10">
        <v>11375</v>
      </c>
      <c r="P1290">
        <v>930</v>
      </c>
      <c r="W1290">
        <v>6785</v>
      </c>
      <c r="Y1290">
        <v>322</v>
      </c>
      <c r="AD1290" s="14">
        <f t="shared" si="164"/>
        <v>0.5964835164835165</v>
      </c>
      <c r="AE1290" s="3">
        <f t="shared" si="163"/>
        <v>0.34623655913978496</v>
      </c>
      <c r="AI1290" s="3">
        <f t="shared" si="162"/>
        <v>0.9427200756233014</v>
      </c>
      <c r="AQ1290">
        <v>150</v>
      </c>
      <c r="AR1290" t="s">
        <v>14</v>
      </c>
      <c r="AS1290" t="s">
        <v>3</v>
      </c>
      <c r="AT1290" t="s">
        <v>2</v>
      </c>
      <c r="AU1290" s="10" t="s">
        <v>2</v>
      </c>
      <c r="AV1290" s="10" t="s">
        <v>3</v>
      </c>
    </row>
    <row r="1291" spans="1:49" x14ac:dyDescent="0.3">
      <c r="A1291" s="6" t="s">
        <v>2100</v>
      </c>
      <c r="B1291" s="10" t="s">
        <v>2124</v>
      </c>
      <c r="C1291" t="s">
        <v>2125</v>
      </c>
      <c r="D1291" s="10" t="s">
        <v>2137</v>
      </c>
      <c r="E1291" s="10">
        <v>1996</v>
      </c>
      <c r="F1291" t="s">
        <v>2661</v>
      </c>
      <c r="G1291" s="10" t="s">
        <v>6</v>
      </c>
      <c r="H1291" s="10" t="s">
        <v>217</v>
      </c>
      <c r="I1291" s="10" t="s">
        <v>2139</v>
      </c>
      <c r="J1291" s="10" t="s">
        <v>2138</v>
      </c>
      <c r="K1291" s="26">
        <v>4</v>
      </c>
      <c r="L1291" s="26">
        <v>4</v>
      </c>
      <c r="N1291" s="10">
        <v>6647</v>
      </c>
      <c r="P1291">
        <v>1258</v>
      </c>
      <c r="W1291">
        <v>1855</v>
      </c>
      <c r="Y1291">
        <v>879</v>
      </c>
      <c r="AD1291" s="14">
        <f t="shared" si="164"/>
        <v>0.27907326613509853</v>
      </c>
      <c r="AE1291" s="3">
        <f t="shared" si="163"/>
        <v>0.69872813990461047</v>
      </c>
      <c r="AI1291" s="3">
        <f t="shared" si="162"/>
        <v>0.977801406039709</v>
      </c>
      <c r="AQ1291">
        <v>150</v>
      </c>
      <c r="AR1291" t="s">
        <v>14</v>
      </c>
      <c r="AS1291" t="s">
        <v>3</v>
      </c>
      <c r="AT1291" t="s">
        <v>2</v>
      </c>
      <c r="AU1291" s="10" t="s">
        <v>2</v>
      </c>
      <c r="AV1291" s="10" t="s">
        <v>3</v>
      </c>
    </row>
    <row r="1292" spans="1:49" x14ac:dyDescent="0.3">
      <c r="A1292" s="6" t="s">
        <v>2100</v>
      </c>
      <c r="B1292" s="10" t="s">
        <v>2124</v>
      </c>
      <c r="C1292" t="s">
        <v>2125</v>
      </c>
      <c r="D1292" s="10" t="s">
        <v>2137</v>
      </c>
      <c r="E1292" s="10">
        <v>1996</v>
      </c>
      <c r="F1292" t="s">
        <v>2661</v>
      </c>
      <c r="G1292" s="10" t="s">
        <v>6</v>
      </c>
      <c r="H1292" s="10" t="s">
        <v>217</v>
      </c>
      <c r="I1292" s="10" t="s">
        <v>2140</v>
      </c>
      <c r="J1292" s="10" t="s">
        <v>2138</v>
      </c>
      <c r="K1292" s="26">
        <v>4</v>
      </c>
      <c r="L1292" s="26">
        <v>4</v>
      </c>
      <c r="N1292" s="10">
        <v>6647</v>
      </c>
      <c r="P1292">
        <v>1258</v>
      </c>
      <c r="W1292">
        <v>3339</v>
      </c>
      <c r="Y1292">
        <v>436</v>
      </c>
      <c r="AD1292" s="14">
        <f t="shared" si="164"/>
        <v>0.50233187904317733</v>
      </c>
      <c r="AE1292" s="3">
        <f t="shared" si="163"/>
        <v>0.34658187599364071</v>
      </c>
      <c r="AI1292" s="3">
        <f t="shared" si="162"/>
        <v>0.84891375503681799</v>
      </c>
      <c r="AQ1292">
        <v>150</v>
      </c>
      <c r="AR1292" t="s">
        <v>14</v>
      </c>
      <c r="AS1292" t="s">
        <v>3</v>
      </c>
      <c r="AT1292" t="s">
        <v>2</v>
      </c>
      <c r="AU1292" s="10" t="s">
        <v>2</v>
      </c>
      <c r="AV1292" s="10" t="s">
        <v>3</v>
      </c>
    </row>
    <row r="1293" spans="1:49" x14ac:dyDescent="0.3">
      <c r="A1293" s="6" t="s">
        <v>2100</v>
      </c>
      <c r="B1293" s="10" t="s">
        <v>2124</v>
      </c>
      <c r="C1293" t="s">
        <v>2125</v>
      </c>
      <c r="D1293" s="10" t="s">
        <v>2137</v>
      </c>
      <c r="E1293" s="10">
        <v>1996</v>
      </c>
      <c r="F1293" t="s">
        <v>2661</v>
      </c>
      <c r="G1293" s="10" t="s">
        <v>6</v>
      </c>
      <c r="H1293" s="10" t="s">
        <v>217</v>
      </c>
      <c r="I1293" s="10" t="s">
        <v>2141</v>
      </c>
      <c r="J1293" s="10" t="s">
        <v>2138</v>
      </c>
      <c r="K1293" s="26">
        <v>4</v>
      </c>
      <c r="L1293" s="26">
        <v>4</v>
      </c>
      <c r="N1293" s="10">
        <v>6647</v>
      </c>
      <c r="P1293">
        <v>1258</v>
      </c>
      <c r="W1293">
        <v>4172</v>
      </c>
      <c r="Y1293">
        <v>419</v>
      </c>
      <c r="AD1293" s="14">
        <f t="shared" si="164"/>
        <v>0.62765157213780653</v>
      </c>
      <c r="AE1293" s="3">
        <f t="shared" si="163"/>
        <v>0.33306836248012717</v>
      </c>
      <c r="AI1293" s="3">
        <f t="shared" si="162"/>
        <v>0.9607199346179337</v>
      </c>
      <c r="AQ1293">
        <v>150</v>
      </c>
      <c r="AR1293" t="s">
        <v>14</v>
      </c>
      <c r="AS1293" t="s">
        <v>3</v>
      </c>
      <c r="AT1293" t="s">
        <v>2</v>
      </c>
      <c r="AU1293" s="10" t="s">
        <v>2</v>
      </c>
      <c r="AV1293" s="10" t="s">
        <v>3</v>
      </c>
    </row>
    <row r="1294" spans="1:49" x14ac:dyDescent="0.3">
      <c r="A1294" s="6" t="s">
        <v>2101</v>
      </c>
      <c r="B1294" s="10" t="s">
        <v>50</v>
      </c>
      <c r="E1294" s="10">
        <v>1978</v>
      </c>
      <c r="F1294" t="s">
        <v>2661</v>
      </c>
      <c r="G1294" s="10" t="s">
        <v>6</v>
      </c>
      <c r="H1294" s="10" t="s">
        <v>217</v>
      </c>
      <c r="J1294" s="10" t="s">
        <v>1012</v>
      </c>
      <c r="K1294" s="26">
        <v>63</v>
      </c>
      <c r="L1294" s="26">
        <v>63</v>
      </c>
      <c r="N1294" s="10">
        <v>3208</v>
      </c>
      <c r="O1294">
        <v>198</v>
      </c>
      <c r="P1294">
        <v>1446</v>
      </c>
      <c r="Q1294">
        <v>80</v>
      </c>
      <c r="W1294">
        <v>2839</v>
      </c>
      <c r="X1294">
        <v>168</v>
      </c>
      <c r="Y1294">
        <v>817</v>
      </c>
      <c r="Z1294">
        <v>44</v>
      </c>
      <c r="AD1294" s="14">
        <f t="shared" si="164"/>
        <v>0.8849750623441397</v>
      </c>
      <c r="AE1294" s="3">
        <f t="shared" si="163"/>
        <v>0.56500691562932226</v>
      </c>
      <c r="AH1294" s="3"/>
      <c r="AI1294">
        <v>1.42</v>
      </c>
      <c r="AL1294" s="3">
        <f>(((X1294*SQRT(L1294))^2)/(N1294^2))+((O1294*SQRT(K1294))^2)*(W1294^2)/(N1294^4)</f>
        <v>0.36073827431022859</v>
      </c>
      <c r="AM1294" s="3">
        <f>(((Z1294*SQRT($L1294))^2)/(P1294^2))+((Q1294*SQRT(L1294))^2)*(Y1294^2)/(P1294^4)</f>
        <v>0.11989131600248537</v>
      </c>
      <c r="AN1294" s="3"/>
      <c r="AO1294" s="3">
        <f>AL1294+AM1294+AN1294</f>
        <v>0.48062959031271396</v>
      </c>
      <c r="AP1294" s="3">
        <f t="shared" ref="AP1294" si="165">SQRT(AO1294)/AI1294</f>
        <v>0.48822150831225347</v>
      </c>
      <c r="AU1294" s="10" t="s">
        <v>2</v>
      </c>
      <c r="AV1294" s="10" t="s">
        <v>3</v>
      </c>
    </row>
    <row r="1295" spans="1:49" x14ac:dyDescent="0.3">
      <c r="A1295" s="6" t="s">
        <v>2102</v>
      </c>
      <c r="B1295" s="10" t="s">
        <v>2142</v>
      </c>
      <c r="D1295" t="s">
        <v>2143</v>
      </c>
      <c r="E1295" s="10">
        <v>2010</v>
      </c>
      <c r="F1295" t="s">
        <v>2661</v>
      </c>
      <c r="G1295" s="10" t="s">
        <v>34</v>
      </c>
      <c r="H1295" s="10" t="s">
        <v>217</v>
      </c>
      <c r="I1295" s="10" t="s">
        <v>2146</v>
      </c>
      <c r="J1295" s="10" t="s">
        <v>85</v>
      </c>
      <c r="K1295" s="26">
        <v>4</v>
      </c>
      <c r="L1295" s="26">
        <v>4</v>
      </c>
      <c r="N1295" s="10">
        <v>7321</v>
      </c>
      <c r="P1295">
        <v>2665</v>
      </c>
      <c r="W1295">
        <v>4209</v>
      </c>
      <c r="Y1295">
        <v>1496</v>
      </c>
      <c r="AD1295" s="14">
        <f t="shared" si="164"/>
        <v>0.57492145881710144</v>
      </c>
      <c r="AE1295" s="3">
        <f t="shared" si="163"/>
        <v>0.56135084427767357</v>
      </c>
      <c r="AI1295" s="3">
        <f>AD1295+AE1295</f>
        <v>1.136272303094775</v>
      </c>
      <c r="AL1295" s="3"/>
      <c r="AM1295" s="3"/>
      <c r="AN1295" s="3"/>
      <c r="AO1295" s="3"/>
      <c r="AP1295" s="3"/>
      <c r="AQ1295">
        <v>69</v>
      </c>
      <c r="AR1295" t="s">
        <v>1</v>
      </c>
      <c r="AS1295" t="s">
        <v>2</v>
      </c>
      <c r="AU1295" s="10" t="s">
        <v>2</v>
      </c>
      <c r="AV1295" s="10" t="s">
        <v>3</v>
      </c>
      <c r="AW1295" t="s">
        <v>2147</v>
      </c>
    </row>
    <row r="1296" spans="1:49" x14ac:dyDescent="0.3">
      <c r="A1296" s="6" t="s">
        <v>2102</v>
      </c>
      <c r="B1296" s="10" t="s">
        <v>2142</v>
      </c>
      <c r="D1296" s="10" t="s">
        <v>2144</v>
      </c>
      <c r="E1296" s="10">
        <v>2011</v>
      </c>
      <c r="F1296" t="s">
        <v>2661</v>
      </c>
      <c r="G1296" s="10" t="s">
        <v>34</v>
      </c>
      <c r="H1296" s="10" t="s">
        <v>217</v>
      </c>
      <c r="I1296" s="10" t="s">
        <v>2146</v>
      </c>
      <c r="J1296" s="10" t="s">
        <v>85</v>
      </c>
      <c r="K1296" s="26">
        <v>4</v>
      </c>
      <c r="L1296" s="26">
        <v>4</v>
      </c>
      <c r="N1296" s="10">
        <v>11543</v>
      </c>
      <c r="P1296">
        <v>6333</v>
      </c>
      <c r="W1296">
        <v>8553</v>
      </c>
      <c r="Y1296">
        <v>2129</v>
      </c>
      <c r="AD1296" s="14">
        <f t="shared" si="164"/>
        <v>0.7409685523694014</v>
      </c>
      <c r="AE1296" s="3">
        <f t="shared" si="163"/>
        <v>0.33617558818885207</v>
      </c>
      <c r="AI1296" s="3">
        <f t="shared" ref="AI1296:AI1297" si="166">AD1296+AE1296</f>
        <v>1.0771441405582536</v>
      </c>
      <c r="AL1296" s="3"/>
      <c r="AM1296" s="3"/>
      <c r="AN1296" s="3"/>
      <c r="AO1296" s="3"/>
      <c r="AP1296" s="3"/>
      <c r="AQ1296">
        <v>70</v>
      </c>
      <c r="AR1296" t="s">
        <v>1</v>
      </c>
      <c r="AS1296" t="s">
        <v>2</v>
      </c>
      <c r="AU1296" s="10" t="s">
        <v>2</v>
      </c>
      <c r="AV1296" s="10" t="s">
        <v>3</v>
      </c>
      <c r="AW1296" t="s">
        <v>2147</v>
      </c>
    </row>
    <row r="1297" spans="1:49" x14ac:dyDescent="0.3">
      <c r="A1297" s="6" t="s">
        <v>2102</v>
      </c>
      <c r="B1297" s="10" t="s">
        <v>2142</v>
      </c>
      <c r="D1297" t="s">
        <v>2145</v>
      </c>
      <c r="E1297" s="10">
        <v>2011</v>
      </c>
      <c r="F1297" t="s">
        <v>2661</v>
      </c>
      <c r="G1297" s="10" t="s">
        <v>34</v>
      </c>
      <c r="H1297" s="10" t="s">
        <v>217</v>
      </c>
      <c r="I1297" s="10" t="s">
        <v>2146</v>
      </c>
      <c r="J1297" s="10" t="s">
        <v>85</v>
      </c>
      <c r="K1297" s="26">
        <v>4</v>
      </c>
      <c r="L1297" s="26">
        <v>4</v>
      </c>
      <c r="N1297" s="10">
        <v>15031</v>
      </c>
      <c r="P1297">
        <v>5549</v>
      </c>
      <c r="W1297">
        <v>8771</v>
      </c>
      <c r="Y1297">
        <v>3518</v>
      </c>
      <c r="AD1297" s="14">
        <f t="shared" si="164"/>
        <v>0.58352737675470689</v>
      </c>
      <c r="AE1297" s="3">
        <f t="shared" si="163"/>
        <v>0.63398810596503874</v>
      </c>
      <c r="AI1297" s="3">
        <f t="shared" si="166"/>
        <v>1.2175154827197456</v>
      </c>
      <c r="AL1297" s="3"/>
      <c r="AM1297" s="3"/>
      <c r="AN1297" s="3"/>
      <c r="AO1297" s="3"/>
      <c r="AP1297" s="3"/>
      <c r="AQ1297">
        <v>86</v>
      </c>
      <c r="AR1297" t="s">
        <v>1</v>
      </c>
      <c r="AS1297" t="s">
        <v>2</v>
      </c>
      <c r="AU1297" s="10" t="s">
        <v>2</v>
      </c>
      <c r="AV1297" s="10" t="s">
        <v>3</v>
      </c>
      <c r="AW1297" t="s">
        <v>2147</v>
      </c>
    </row>
    <row r="1298" spans="1:49" x14ac:dyDescent="0.3">
      <c r="A1298" s="6" t="s">
        <v>2103</v>
      </c>
      <c r="B1298" s="10" t="s">
        <v>441</v>
      </c>
      <c r="C1298" t="s">
        <v>2148</v>
      </c>
      <c r="D1298" s="40" t="s">
        <v>2154</v>
      </c>
      <c r="E1298" s="10">
        <v>2001</v>
      </c>
      <c r="F1298" t="s">
        <v>2661</v>
      </c>
      <c r="G1298" s="10" t="s">
        <v>34</v>
      </c>
      <c r="H1298" s="10" t="s">
        <v>217</v>
      </c>
      <c r="I1298" s="10" t="s">
        <v>2155</v>
      </c>
      <c r="J1298" s="10" t="s">
        <v>2149</v>
      </c>
      <c r="K1298" s="26">
        <v>6</v>
      </c>
      <c r="L1298" s="26">
        <v>6</v>
      </c>
      <c r="N1298" s="10"/>
      <c r="AI1298">
        <v>1.0900000000000001</v>
      </c>
      <c r="AL1298" s="3"/>
      <c r="AM1298" s="3"/>
      <c r="AN1298" s="3"/>
      <c r="AO1298" s="3"/>
      <c r="AP1298" s="3"/>
      <c r="AQ1298">
        <v>60</v>
      </c>
      <c r="AR1298" t="s">
        <v>14</v>
      </c>
      <c r="AS1298" t="s">
        <v>3</v>
      </c>
      <c r="AU1298" s="10" t="s">
        <v>2</v>
      </c>
      <c r="AV1298" s="10" t="s">
        <v>3</v>
      </c>
    </row>
    <row r="1299" spans="1:49" x14ac:dyDescent="0.3">
      <c r="A1299" s="6" t="s">
        <v>2103</v>
      </c>
      <c r="B1299" s="10" t="s">
        <v>441</v>
      </c>
      <c r="C1299" t="s">
        <v>2148</v>
      </c>
      <c r="D1299" s="40" t="s">
        <v>2154</v>
      </c>
      <c r="E1299" s="10">
        <v>2001</v>
      </c>
      <c r="F1299" t="s">
        <v>2661</v>
      </c>
      <c r="G1299" s="10" t="s">
        <v>34</v>
      </c>
      <c r="H1299" s="10" t="s">
        <v>217</v>
      </c>
      <c r="I1299" s="10" t="s">
        <v>2155</v>
      </c>
      <c r="J1299" s="10" t="s">
        <v>2150</v>
      </c>
      <c r="K1299" s="26">
        <v>6</v>
      </c>
      <c r="L1299" s="26">
        <v>6</v>
      </c>
      <c r="N1299" s="10"/>
      <c r="AI1299">
        <v>1.34</v>
      </c>
      <c r="AL1299" s="3"/>
      <c r="AM1299" s="3"/>
      <c r="AN1299" s="3"/>
      <c r="AO1299" s="3"/>
      <c r="AP1299" s="3"/>
      <c r="AQ1299">
        <v>60</v>
      </c>
      <c r="AR1299" t="s">
        <v>14</v>
      </c>
      <c r="AS1299" t="s">
        <v>3</v>
      </c>
      <c r="AU1299" s="10" t="s">
        <v>2</v>
      </c>
      <c r="AV1299" s="10" t="s">
        <v>3</v>
      </c>
    </row>
    <row r="1300" spans="1:49" x14ac:dyDescent="0.3">
      <c r="A1300" s="6" t="s">
        <v>2103</v>
      </c>
      <c r="B1300" s="10" t="s">
        <v>441</v>
      </c>
      <c r="C1300" t="s">
        <v>2148</v>
      </c>
      <c r="D1300" s="40" t="s">
        <v>2154</v>
      </c>
      <c r="E1300" s="10">
        <v>2001</v>
      </c>
      <c r="F1300" t="s">
        <v>2661</v>
      </c>
      <c r="G1300" s="10" t="s">
        <v>34</v>
      </c>
      <c r="H1300" s="10" t="s">
        <v>217</v>
      </c>
      <c r="I1300" s="10" t="s">
        <v>2155</v>
      </c>
      <c r="J1300" s="10" t="s">
        <v>2152</v>
      </c>
      <c r="K1300" s="26">
        <v>6</v>
      </c>
      <c r="L1300" s="26">
        <v>6</v>
      </c>
      <c r="N1300" s="10"/>
      <c r="AI1300">
        <v>1.27</v>
      </c>
      <c r="AL1300" s="3"/>
      <c r="AM1300" s="3"/>
      <c r="AN1300" s="3"/>
      <c r="AO1300" s="3"/>
      <c r="AP1300" s="3"/>
      <c r="AQ1300">
        <v>60</v>
      </c>
      <c r="AR1300" t="s">
        <v>14</v>
      </c>
      <c r="AS1300" t="s">
        <v>3</v>
      </c>
      <c r="AU1300" s="10" t="s">
        <v>2</v>
      </c>
      <c r="AV1300" s="10" t="s">
        <v>3</v>
      </c>
    </row>
    <row r="1301" spans="1:49" x14ac:dyDescent="0.3">
      <c r="A1301" s="47" t="s">
        <v>2103</v>
      </c>
      <c r="B1301" s="10" t="s">
        <v>441</v>
      </c>
      <c r="C1301" s="40" t="s">
        <v>2148</v>
      </c>
      <c r="D1301" s="40" t="s">
        <v>2154</v>
      </c>
      <c r="E1301" s="10">
        <v>2001</v>
      </c>
      <c r="F1301" t="s">
        <v>2661</v>
      </c>
      <c r="G1301" s="10" t="s">
        <v>34</v>
      </c>
      <c r="H1301" s="10" t="s">
        <v>217</v>
      </c>
      <c r="I1301" s="10" t="s">
        <v>2155</v>
      </c>
      <c r="J1301" s="10" t="s">
        <v>2151</v>
      </c>
      <c r="K1301" s="26">
        <v>6</v>
      </c>
      <c r="L1301" s="26">
        <v>6</v>
      </c>
      <c r="N1301" s="10"/>
      <c r="AI1301">
        <v>1.34</v>
      </c>
      <c r="AL1301" s="3"/>
      <c r="AM1301" s="3"/>
      <c r="AN1301" s="3"/>
      <c r="AO1301" s="3"/>
      <c r="AP1301" s="3"/>
      <c r="AQ1301">
        <v>60</v>
      </c>
      <c r="AR1301" t="s">
        <v>14</v>
      </c>
      <c r="AS1301" t="s">
        <v>3</v>
      </c>
      <c r="AU1301" s="10" t="s">
        <v>2</v>
      </c>
      <c r="AV1301" s="10" t="s">
        <v>3</v>
      </c>
    </row>
    <row r="1302" spans="1:49" x14ac:dyDescent="0.3">
      <c r="A1302" s="6" t="s">
        <v>2103</v>
      </c>
      <c r="B1302" s="10" t="s">
        <v>441</v>
      </c>
      <c r="C1302" t="s">
        <v>2148</v>
      </c>
      <c r="D1302" s="4" t="s">
        <v>2153</v>
      </c>
      <c r="E1302" s="10">
        <v>2001</v>
      </c>
      <c r="F1302" t="s">
        <v>2661</v>
      </c>
      <c r="G1302" s="10" t="s">
        <v>34</v>
      </c>
      <c r="H1302" s="10" t="s">
        <v>217</v>
      </c>
      <c r="I1302" s="10" t="s">
        <v>2155</v>
      </c>
      <c r="J1302" s="10" t="s">
        <v>2152</v>
      </c>
      <c r="K1302" s="26">
        <v>6</v>
      </c>
      <c r="L1302" s="26">
        <v>6</v>
      </c>
      <c r="N1302" s="10"/>
      <c r="AI1302">
        <v>1.17</v>
      </c>
      <c r="AL1302" s="3"/>
      <c r="AM1302" s="3"/>
      <c r="AN1302" s="3"/>
      <c r="AO1302" s="3"/>
      <c r="AP1302" s="3"/>
      <c r="AQ1302">
        <v>60</v>
      </c>
      <c r="AR1302" t="s">
        <v>14</v>
      </c>
      <c r="AS1302" t="s">
        <v>3</v>
      </c>
      <c r="AU1302" s="10" t="s">
        <v>2</v>
      </c>
      <c r="AV1302" s="10" t="s">
        <v>3</v>
      </c>
    </row>
    <row r="1303" spans="1:49" x14ac:dyDescent="0.3">
      <c r="A1303" s="6" t="s">
        <v>2103</v>
      </c>
      <c r="B1303" s="10" t="s">
        <v>441</v>
      </c>
      <c r="C1303" t="s">
        <v>2148</v>
      </c>
      <c r="D1303" s="4" t="s">
        <v>2153</v>
      </c>
      <c r="E1303" s="10">
        <v>2002</v>
      </c>
      <c r="F1303" t="s">
        <v>2661</v>
      </c>
      <c r="G1303" s="10" t="s">
        <v>34</v>
      </c>
      <c r="H1303" s="10" t="s">
        <v>217</v>
      </c>
      <c r="I1303" s="10" t="s">
        <v>2155</v>
      </c>
      <c r="J1303" s="10" t="s">
        <v>2149</v>
      </c>
      <c r="K1303" s="26">
        <v>6</v>
      </c>
      <c r="L1303" s="26">
        <v>6</v>
      </c>
      <c r="AI1303">
        <v>1.02</v>
      </c>
      <c r="AL1303" s="3"/>
      <c r="AM1303" s="3"/>
      <c r="AN1303" s="3"/>
      <c r="AO1303" s="3"/>
      <c r="AP1303" s="3"/>
      <c r="AQ1303">
        <v>0</v>
      </c>
      <c r="AR1303" t="s">
        <v>308</v>
      </c>
      <c r="AS1303" t="s">
        <v>3</v>
      </c>
      <c r="AU1303" s="10" t="s">
        <v>2</v>
      </c>
      <c r="AV1303" s="10" t="s">
        <v>3</v>
      </c>
    </row>
    <row r="1304" spans="1:49" x14ac:dyDescent="0.3">
      <c r="A1304" s="6" t="s">
        <v>2103</v>
      </c>
      <c r="B1304" s="10" t="s">
        <v>441</v>
      </c>
      <c r="C1304" t="s">
        <v>2148</v>
      </c>
      <c r="D1304" s="4" t="s">
        <v>2153</v>
      </c>
      <c r="E1304" s="10">
        <v>2002</v>
      </c>
      <c r="F1304" t="s">
        <v>2661</v>
      </c>
      <c r="G1304" s="10" t="s">
        <v>34</v>
      </c>
      <c r="H1304" s="10" t="s">
        <v>217</v>
      </c>
      <c r="I1304" s="10" t="s">
        <v>2155</v>
      </c>
      <c r="J1304" s="10" t="s">
        <v>2150</v>
      </c>
      <c r="K1304" s="26">
        <v>6</v>
      </c>
      <c r="L1304" s="26">
        <v>6</v>
      </c>
      <c r="AI1304">
        <v>0.97</v>
      </c>
      <c r="AL1304" s="3"/>
      <c r="AM1304" s="3"/>
      <c r="AN1304" s="3"/>
      <c r="AO1304" s="3"/>
      <c r="AP1304" s="3"/>
      <c r="AQ1304">
        <v>0</v>
      </c>
      <c r="AR1304" t="s">
        <v>308</v>
      </c>
      <c r="AS1304" t="s">
        <v>3</v>
      </c>
      <c r="AU1304" s="10" t="s">
        <v>2</v>
      </c>
      <c r="AV1304" s="10" t="s">
        <v>3</v>
      </c>
    </row>
    <row r="1305" spans="1:49" x14ac:dyDescent="0.3">
      <c r="A1305" s="6" t="s">
        <v>2103</v>
      </c>
      <c r="B1305" s="10" t="s">
        <v>441</v>
      </c>
      <c r="C1305" t="s">
        <v>2148</v>
      </c>
      <c r="D1305" s="4" t="s">
        <v>2153</v>
      </c>
      <c r="E1305" s="10">
        <v>2002</v>
      </c>
      <c r="F1305" t="s">
        <v>2661</v>
      </c>
      <c r="G1305" s="10" t="s">
        <v>34</v>
      </c>
      <c r="H1305" s="10" t="s">
        <v>217</v>
      </c>
      <c r="I1305" s="10" t="s">
        <v>2155</v>
      </c>
      <c r="J1305" s="10" t="s">
        <v>2152</v>
      </c>
      <c r="K1305" s="26">
        <v>6</v>
      </c>
      <c r="L1305" s="26">
        <v>6</v>
      </c>
      <c r="AI1305">
        <v>1.22</v>
      </c>
      <c r="AL1305" s="3"/>
      <c r="AM1305" s="3"/>
      <c r="AN1305" s="3"/>
      <c r="AO1305" s="3"/>
      <c r="AP1305" s="3"/>
      <c r="AQ1305">
        <v>0</v>
      </c>
      <c r="AR1305" t="s">
        <v>308</v>
      </c>
      <c r="AS1305" t="s">
        <v>3</v>
      </c>
      <c r="AU1305" s="10" t="s">
        <v>2</v>
      </c>
      <c r="AV1305" s="10" t="s">
        <v>3</v>
      </c>
    </row>
    <row r="1306" spans="1:49" x14ac:dyDescent="0.3">
      <c r="A1306" s="6" t="s">
        <v>2103</v>
      </c>
      <c r="B1306" s="10" t="s">
        <v>441</v>
      </c>
      <c r="C1306" t="s">
        <v>2148</v>
      </c>
      <c r="D1306" s="4" t="s">
        <v>2153</v>
      </c>
      <c r="E1306" s="10">
        <v>2002</v>
      </c>
      <c r="F1306" t="s">
        <v>2661</v>
      </c>
      <c r="G1306" s="10" t="s">
        <v>34</v>
      </c>
      <c r="H1306" s="10" t="s">
        <v>217</v>
      </c>
      <c r="I1306" s="10" t="s">
        <v>2155</v>
      </c>
      <c r="J1306" s="10" t="s">
        <v>2151</v>
      </c>
      <c r="K1306" s="26">
        <v>6</v>
      </c>
      <c r="L1306" s="26">
        <v>6</v>
      </c>
      <c r="AI1306">
        <v>1.04</v>
      </c>
      <c r="AL1306" s="3"/>
      <c r="AM1306" s="3"/>
      <c r="AN1306" s="3"/>
      <c r="AO1306" s="3"/>
      <c r="AP1306" s="3"/>
      <c r="AQ1306">
        <v>0</v>
      </c>
      <c r="AR1306" t="s">
        <v>308</v>
      </c>
      <c r="AS1306" t="s">
        <v>3</v>
      </c>
      <c r="AU1306" s="10" t="s">
        <v>2</v>
      </c>
      <c r="AV1306" s="10" t="s">
        <v>3</v>
      </c>
    </row>
    <row r="1307" spans="1:49" x14ac:dyDescent="0.3">
      <c r="A1307" s="6" t="s">
        <v>2103</v>
      </c>
      <c r="B1307" s="10" t="s">
        <v>441</v>
      </c>
      <c r="C1307" t="s">
        <v>2148</v>
      </c>
      <c r="D1307" s="40" t="s">
        <v>2154</v>
      </c>
      <c r="E1307" s="10">
        <v>2002</v>
      </c>
      <c r="F1307" t="s">
        <v>2661</v>
      </c>
      <c r="G1307" s="10" t="s">
        <v>34</v>
      </c>
      <c r="H1307" s="10" t="s">
        <v>217</v>
      </c>
      <c r="I1307" s="10" t="s">
        <v>2155</v>
      </c>
      <c r="J1307" s="10" t="s">
        <v>2149</v>
      </c>
      <c r="K1307" s="26">
        <v>6</v>
      </c>
      <c r="L1307" s="26">
        <v>6</v>
      </c>
      <c r="AI1307">
        <v>1.02</v>
      </c>
      <c r="AL1307" s="3"/>
      <c r="AM1307" s="3"/>
      <c r="AN1307" s="3"/>
      <c r="AO1307" s="3"/>
      <c r="AP1307" s="3"/>
      <c r="AQ1307">
        <v>0</v>
      </c>
      <c r="AR1307" t="s">
        <v>308</v>
      </c>
      <c r="AS1307" t="s">
        <v>3</v>
      </c>
      <c r="AU1307" s="10" t="s">
        <v>2</v>
      </c>
      <c r="AV1307" s="10" t="s">
        <v>3</v>
      </c>
    </row>
    <row r="1308" spans="1:49" x14ac:dyDescent="0.3">
      <c r="A1308" s="6" t="s">
        <v>2103</v>
      </c>
      <c r="B1308" s="10" t="s">
        <v>441</v>
      </c>
      <c r="C1308" t="s">
        <v>2148</v>
      </c>
      <c r="D1308" s="40" t="s">
        <v>2154</v>
      </c>
      <c r="E1308" s="10">
        <v>2002</v>
      </c>
      <c r="F1308" t="s">
        <v>2661</v>
      </c>
      <c r="G1308" s="10" t="s">
        <v>34</v>
      </c>
      <c r="H1308" s="10" t="s">
        <v>217</v>
      </c>
      <c r="I1308" s="10" t="s">
        <v>2155</v>
      </c>
      <c r="J1308" s="10" t="s">
        <v>2150</v>
      </c>
      <c r="K1308" s="26">
        <v>6</v>
      </c>
      <c r="L1308" s="26">
        <v>6</v>
      </c>
      <c r="AI1308">
        <v>1.49</v>
      </c>
      <c r="AL1308" s="3"/>
      <c r="AM1308" s="3"/>
      <c r="AN1308" s="3"/>
      <c r="AO1308" s="3"/>
      <c r="AP1308" s="3"/>
      <c r="AQ1308">
        <v>0</v>
      </c>
      <c r="AR1308" t="s">
        <v>308</v>
      </c>
      <c r="AS1308" t="s">
        <v>3</v>
      </c>
      <c r="AU1308" s="10" t="s">
        <v>2</v>
      </c>
      <c r="AV1308" s="10" t="s">
        <v>3</v>
      </c>
    </row>
    <row r="1309" spans="1:49" x14ac:dyDescent="0.3">
      <c r="A1309" s="6" t="s">
        <v>2103</v>
      </c>
      <c r="B1309" s="10" t="s">
        <v>441</v>
      </c>
      <c r="C1309" t="s">
        <v>2148</v>
      </c>
      <c r="D1309" s="40" t="s">
        <v>2154</v>
      </c>
      <c r="E1309" s="10">
        <v>2002</v>
      </c>
      <c r="F1309" t="s">
        <v>2661</v>
      </c>
      <c r="G1309" s="10" t="s">
        <v>34</v>
      </c>
      <c r="H1309" s="10" t="s">
        <v>217</v>
      </c>
      <c r="I1309" s="10" t="s">
        <v>2155</v>
      </c>
      <c r="J1309" s="10" t="s">
        <v>2152</v>
      </c>
      <c r="K1309" s="26">
        <v>6</v>
      </c>
      <c r="L1309" s="26">
        <v>6</v>
      </c>
      <c r="AI1309">
        <v>1.28</v>
      </c>
      <c r="AL1309" s="3"/>
      <c r="AM1309" s="3"/>
      <c r="AN1309" s="3"/>
      <c r="AO1309" s="3"/>
      <c r="AP1309" s="3"/>
      <c r="AQ1309">
        <v>0</v>
      </c>
      <c r="AR1309" t="s">
        <v>308</v>
      </c>
      <c r="AS1309" t="s">
        <v>3</v>
      </c>
      <c r="AU1309" s="10" t="s">
        <v>2</v>
      </c>
      <c r="AV1309" s="10" t="s">
        <v>3</v>
      </c>
    </row>
    <row r="1310" spans="1:49" x14ac:dyDescent="0.3">
      <c r="A1310" s="47" t="s">
        <v>2103</v>
      </c>
      <c r="B1310" s="10" t="s">
        <v>441</v>
      </c>
      <c r="C1310" s="40" t="s">
        <v>2148</v>
      </c>
      <c r="D1310" s="40" t="s">
        <v>2154</v>
      </c>
      <c r="E1310" s="10">
        <v>2002</v>
      </c>
      <c r="F1310" t="s">
        <v>2661</v>
      </c>
      <c r="G1310" s="10" t="s">
        <v>34</v>
      </c>
      <c r="H1310" s="10" t="s">
        <v>217</v>
      </c>
      <c r="I1310" s="10" t="s">
        <v>2155</v>
      </c>
      <c r="J1310" s="10" t="s">
        <v>2151</v>
      </c>
      <c r="K1310" s="26">
        <v>6</v>
      </c>
      <c r="L1310" s="26">
        <v>6</v>
      </c>
      <c r="AI1310">
        <v>1.1000000000000001</v>
      </c>
      <c r="AL1310" s="3"/>
      <c r="AM1310" s="3"/>
      <c r="AN1310" s="3"/>
      <c r="AO1310" s="3"/>
      <c r="AP1310" s="3"/>
      <c r="AQ1310">
        <v>0</v>
      </c>
      <c r="AR1310" t="s">
        <v>308</v>
      </c>
      <c r="AS1310" t="s">
        <v>3</v>
      </c>
      <c r="AU1310" s="10" t="s">
        <v>2</v>
      </c>
      <c r="AV1310" s="10" t="s">
        <v>3</v>
      </c>
    </row>
    <row r="1311" spans="1:49" x14ac:dyDescent="0.3">
      <c r="A1311" s="6" t="s">
        <v>2103</v>
      </c>
      <c r="B1311" s="10" t="s">
        <v>441</v>
      </c>
      <c r="C1311" t="s">
        <v>2148</v>
      </c>
      <c r="D1311" s="4" t="s">
        <v>2153</v>
      </c>
      <c r="E1311" s="10">
        <v>2003</v>
      </c>
      <c r="F1311" t="s">
        <v>2661</v>
      </c>
      <c r="G1311" s="10" t="s">
        <v>34</v>
      </c>
      <c r="H1311" s="10" t="s">
        <v>217</v>
      </c>
      <c r="I1311" s="10" t="s">
        <v>2155</v>
      </c>
      <c r="J1311" s="10" t="s">
        <v>2149</v>
      </c>
      <c r="K1311" s="26">
        <v>6</v>
      </c>
      <c r="L1311" s="26">
        <v>6</v>
      </c>
      <c r="AI1311">
        <v>0.94</v>
      </c>
      <c r="AL1311" s="3"/>
      <c r="AM1311" s="3"/>
      <c r="AN1311" s="3"/>
      <c r="AO1311" s="3"/>
      <c r="AP1311" s="3"/>
      <c r="AQ1311">
        <v>0</v>
      </c>
      <c r="AR1311" t="s">
        <v>308</v>
      </c>
      <c r="AS1311" t="s">
        <v>3</v>
      </c>
      <c r="AU1311" s="10" t="s">
        <v>2</v>
      </c>
      <c r="AV1311" s="10" t="s">
        <v>3</v>
      </c>
    </row>
    <row r="1312" spans="1:49" x14ac:dyDescent="0.3">
      <c r="A1312" s="6" t="s">
        <v>2103</v>
      </c>
      <c r="B1312" s="10" t="s">
        <v>441</v>
      </c>
      <c r="C1312" t="s">
        <v>2148</v>
      </c>
      <c r="D1312" s="4" t="s">
        <v>2153</v>
      </c>
      <c r="E1312" s="10">
        <v>2003</v>
      </c>
      <c r="F1312" t="s">
        <v>2661</v>
      </c>
      <c r="G1312" s="10" t="s">
        <v>34</v>
      </c>
      <c r="H1312" s="10" t="s">
        <v>217</v>
      </c>
      <c r="I1312" s="10" t="s">
        <v>2155</v>
      </c>
      <c r="J1312" s="10" t="s">
        <v>2150</v>
      </c>
      <c r="K1312" s="26">
        <v>6</v>
      </c>
      <c r="L1312" s="26">
        <v>6</v>
      </c>
      <c r="AI1312">
        <v>0.84</v>
      </c>
      <c r="AL1312" s="3"/>
      <c r="AM1312" s="3"/>
      <c r="AN1312" s="3"/>
      <c r="AO1312" s="3"/>
      <c r="AP1312" s="3"/>
      <c r="AQ1312">
        <v>0</v>
      </c>
      <c r="AR1312" t="s">
        <v>308</v>
      </c>
      <c r="AS1312" t="s">
        <v>3</v>
      </c>
      <c r="AU1312" s="10" t="s">
        <v>2</v>
      </c>
      <c r="AV1312" s="10" t="s">
        <v>3</v>
      </c>
    </row>
    <row r="1313" spans="1:48" x14ac:dyDescent="0.3">
      <c r="A1313" s="6" t="s">
        <v>2103</v>
      </c>
      <c r="B1313" s="10" t="s">
        <v>441</v>
      </c>
      <c r="C1313" t="s">
        <v>2148</v>
      </c>
      <c r="D1313" s="4" t="s">
        <v>2153</v>
      </c>
      <c r="E1313" s="10">
        <v>2003</v>
      </c>
      <c r="F1313" t="s">
        <v>2661</v>
      </c>
      <c r="G1313" s="10" t="s">
        <v>34</v>
      </c>
      <c r="H1313" s="10" t="s">
        <v>217</v>
      </c>
      <c r="I1313" s="10" t="s">
        <v>2155</v>
      </c>
      <c r="J1313" s="10" t="s">
        <v>2152</v>
      </c>
      <c r="K1313" s="26">
        <v>6</v>
      </c>
      <c r="L1313" s="26">
        <v>6</v>
      </c>
      <c r="AI1313">
        <v>1.2</v>
      </c>
      <c r="AL1313" s="3"/>
      <c r="AM1313" s="3"/>
      <c r="AN1313" s="3"/>
      <c r="AO1313" s="3"/>
      <c r="AP1313" s="3"/>
      <c r="AQ1313">
        <v>0</v>
      </c>
      <c r="AR1313" t="s">
        <v>308</v>
      </c>
      <c r="AS1313" t="s">
        <v>3</v>
      </c>
      <c r="AU1313" s="10" t="s">
        <v>2</v>
      </c>
      <c r="AV1313" s="10" t="s">
        <v>3</v>
      </c>
    </row>
    <row r="1314" spans="1:48" x14ac:dyDescent="0.3">
      <c r="A1314" s="6" t="s">
        <v>2103</v>
      </c>
      <c r="B1314" s="10" t="s">
        <v>441</v>
      </c>
      <c r="C1314" t="s">
        <v>2148</v>
      </c>
      <c r="D1314" s="4" t="s">
        <v>2153</v>
      </c>
      <c r="E1314" s="10">
        <v>2003</v>
      </c>
      <c r="F1314" t="s">
        <v>2661</v>
      </c>
      <c r="G1314" s="10" t="s">
        <v>34</v>
      </c>
      <c r="H1314" s="10" t="s">
        <v>217</v>
      </c>
      <c r="I1314" s="10" t="s">
        <v>2155</v>
      </c>
      <c r="J1314" s="10" t="s">
        <v>2151</v>
      </c>
      <c r="K1314" s="26">
        <v>6</v>
      </c>
      <c r="L1314" s="26">
        <v>6</v>
      </c>
      <c r="AI1314">
        <v>0.93</v>
      </c>
      <c r="AL1314" s="3"/>
      <c r="AM1314" s="3"/>
      <c r="AN1314" s="3"/>
      <c r="AO1314" s="3"/>
      <c r="AP1314" s="3"/>
      <c r="AQ1314">
        <v>0</v>
      </c>
      <c r="AR1314" t="s">
        <v>308</v>
      </c>
      <c r="AS1314" t="s">
        <v>3</v>
      </c>
      <c r="AU1314" s="10" t="s">
        <v>2</v>
      </c>
      <c r="AV1314" s="10" t="s">
        <v>3</v>
      </c>
    </row>
    <row r="1315" spans="1:48" x14ac:dyDescent="0.3">
      <c r="A1315" s="6" t="s">
        <v>2103</v>
      </c>
      <c r="B1315" s="10" t="s">
        <v>441</v>
      </c>
      <c r="C1315" t="s">
        <v>2148</v>
      </c>
      <c r="D1315" s="40" t="s">
        <v>2154</v>
      </c>
      <c r="E1315" s="10">
        <v>2003</v>
      </c>
      <c r="F1315" t="s">
        <v>2661</v>
      </c>
      <c r="G1315" s="10" t="s">
        <v>34</v>
      </c>
      <c r="H1315" s="10" t="s">
        <v>217</v>
      </c>
      <c r="I1315" s="10" t="s">
        <v>2155</v>
      </c>
      <c r="J1315" s="10" t="s">
        <v>2149</v>
      </c>
      <c r="K1315" s="26">
        <v>6</v>
      </c>
      <c r="L1315" s="26">
        <v>6</v>
      </c>
      <c r="AI1315">
        <v>1.1499999999999999</v>
      </c>
      <c r="AL1315" s="3"/>
      <c r="AM1315" s="3"/>
      <c r="AN1315" s="3"/>
      <c r="AO1315" s="3"/>
      <c r="AP1315" s="3"/>
      <c r="AQ1315">
        <v>0</v>
      </c>
      <c r="AR1315" t="s">
        <v>308</v>
      </c>
      <c r="AS1315" t="s">
        <v>3</v>
      </c>
      <c r="AU1315" s="10" t="s">
        <v>2</v>
      </c>
      <c r="AV1315" s="10" t="s">
        <v>3</v>
      </c>
    </row>
    <row r="1316" spans="1:48" x14ac:dyDescent="0.3">
      <c r="A1316" s="6" t="s">
        <v>2103</v>
      </c>
      <c r="B1316" s="10" t="s">
        <v>441</v>
      </c>
      <c r="C1316" t="s">
        <v>2148</v>
      </c>
      <c r="D1316" s="40" t="s">
        <v>2154</v>
      </c>
      <c r="E1316" s="10">
        <v>2003</v>
      </c>
      <c r="F1316" t="s">
        <v>2661</v>
      </c>
      <c r="G1316" s="10" t="s">
        <v>34</v>
      </c>
      <c r="H1316" s="10" t="s">
        <v>217</v>
      </c>
      <c r="I1316" s="10" t="s">
        <v>2155</v>
      </c>
      <c r="J1316" s="10" t="s">
        <v>2150</v>
      </c>
      <c r="K1316" s="26">
        <v>6</v>
      </c>
      <c r="L1316" s="26">
        <v>6</v>
      </c>
      <c r="AI1316">
        <v>0.89</v>
      </c>
      <c r="AL1316" s="3"/>
      <c r="AM1316" s="3"/>
      <c r="AN1316" s="3"/>
      <c r="AO1316" s="3"/>
      <c r="AP1316" s="3"/>
      <c r="AQ1316">
        <v>0</v>
      </c>
      <c r="AR1316" t="s">
        <v>308</v>
      </c>
      <c r="AS1316" t="s">
        <v>3</v>
      </c>
      <c r="AU1316" s="10" t="s">
        <v>2</v>
      </c>
      <c r="AV1316" s="10" t="s">
        <v>3</v>
      </c>
    </row>
    <row r="1317" spans="1:48" x14ac:dyDescent="0.3">
      <c r="A1317" s="6" t="s">
        <v>2103</v>
      </c>
      <c r="B1317" s="10" t="s">
        <v>441</v>
      </c>
      <c r="C1317" t="s">
        <v>2148</v>
      </c>
      <c r="D1317" s="40" t="s">
        <v>2154</v>
      </c>
      <c r="E1317" s="10">
        <v>2003</v>
      </c>
      <c r="F1317" t="s">
        <v>2661</v>
      </c>
      <c r="G1317" s="10" t="s">
        <v>34</v>
      </c>
      <c r="H1317" s="10" t="s">
        <v>217</v>
      </c>
      <c r="I1317" s="10" t="s">
        <v>2155</v>
      </c>
      <c r="J1317" s="10" t="s">
        <v>2152</v>
      </c>
      <c r="K1317" s="26">
        <v>6</v>
      </c>
      <c r="L1317" s="26">
        <v>6</v>
      </c>
      <c r="AI1317">
        <v>1.1599999999999999</v>
      </c>
      <c r="AL1317" s="3"/>
      <c r="AM1317" s="3"/>
      <c r="AN1317" s="3"/>
      <c r="AO1317" s="3"/>
      <c r="AP1317" s="3"/>
      <c r="AQ1317">
        <v>0</v>
      </c>
      <c r="AR1317" t="s">
        <v>308</v>
      </c>
      <c r="AS1317" t="s">
        <v>3</v>
      </c>
      <c r="AU1317" s="10" t="s">
        <v>2</v>
      </c>
      <c r="AV1317" s="10" t="s">
        <v>3</v>
      </c>
    </row>
    <row r="1318" spans="1:48" x14ac:dyDescent="0.3">
      <c r="A1318" s="47" t="s">
        <v>2103</v>
      </c>
      <c r="B1318" s="10" t="s">
        <v>441</v>
      </c>
      <c r="C1318" s="40" t="s">
        <v>2148</v>
      </c>
      <c r="D1318" s="40" t="s">
        <v>2154</v>
      </c>
      <c r="E1318" s="10">
        <v>2003</v>
      </c>
      <c r="F1318" t="s">
        <v>2661</v>
      </c>
      <c r="G1318" s="10" t="s">
        <v>34</v>
      </c>
      <c r="H1318" s="10" t="s">
        <v>217</v>
      </c>
      <c r="I1318" s="10" t="s">
        <v>2155</v>
      </c>
      <c r="J1318" s="10" t="s">
        <v>2151</v>
      </c>
      <c r="K1318" s="26">
        <v>6</v>
      </c>
      <c r="L1318" s="26">
        <v>6</v>
      </c>
      <c r="AI1318">
        <v>1.17</v>
      </c>
      <c r="AL1318" s="3"/>
      <c r="AM1318" s="3"/>
      <c r="AN1318" s="3"/>
      <c r="AO1318" s="3"/>
      <c r="AP1318" s="3"/>
      <c r="AQ1318">
        <v>0</v>
      </c>
      <c r="AR1318" t="s">
        <v>308</v>
      </c>
      <c r="AS1318" t="s">
        <v>3</v>
      </c>
      <c r="AU1318" s="10" t="s">
        <v>2</v>
      </c>
      <c r="AV1318" s="10" t="s">
        <v>3</v>
      </c>
    </row>
    <row r="1319" spans="1:48" x14ac:dyDescent="0.3">
      <c r="A1319" s="6" t="s">
        <v>2103</v>
      </c>
      <c r="B1319" s="10" t="s">
        <v>441</v>
      </c>
      <c r="C1319" t="s">
        <v>2148</v>
      </c>
      <c r="D1319" s="40" t="s">
        <v>2154</v>
      </c>
      <c r="E1319" s="10">
        <v>2001</v>
      </c>
      <c r="F1319" t="s">
        <v>2661</v>
      </c>
      <c r="G1319" s="10" t="s">
        <v>34</v>
      </c>
      <c r="H1319" s="10" t="s">
        <v>217</v>
      </c>
      <c r="I1319" s="10" t="s">
        <v>2156</v>
      </c>
      <c r="J1319" s="10" t="s">
        <v>2149</v>
      </c>
      <c r="K1319" s="26">
        <v>6</v>
      </c>
      <c r="L1319" s="26">
        <v>6</v>
      </c>
      <c r="N1319" s="10"/>
      <c r="AI1319">
        <v>0.95</v>
      </c>
      <c r="AL1319" s="3"/>
      <c r="AM1319" s="3"/>
      <c r="AN1319" s="3"/>
      <c r="AO1319" s="3"/>
      <c r="AP1319" s="3"/>
      <c r="AQ1319">
        <v>60</v>
      </c>
      <c r="AR1319" t="s">
        <v>14</v>
      </c>
      <c r="AS1319" t="s">
        <v>3</v>
      </c>
      <c r="AU1319" s="10" t="s">
        <v>2</v>
      </c>
      <c r="AV1319" s="10" t="s">
        <v>3</v>
      </c>
    </row>
    <row r="1320" spans="1:48" x14ac:dyDescent="0.3">
      <c r="A1320" s="6" t="s">
        <v>2103</v>
      </c>
      <c r="B1320" s="10" t="s">
        <v>441</v>
      </c>
      <c r="C1320" t="s">
        <v>2148</v>
      </c>
      <c r="D1320" s="40" t="s">
        <v>2154</v>
      </c>
      <c r="E1320" s="10">
        <v>2001</v>
      </c>
      <c r="F1320" t="s">
        <v>2661</v>
      </c>
      <c r="G1320" s="10" t="s">
        <v>34</v>
      </c>
      <c r="H1320" s="10" t="s">
        <v>217</v>
      </c>
      <c r="I1320" s="10" t="s">
        <v>2156</v>
      </c>
      <c r="J1320" s="10" t="s">
        <v>2150</v>
      </c>
      <c r="K1320" s="26">
        <v>6</v>
      </c>
      <c r="L1320" s="26">
        <v>6</v>
      </c>
      <c r="N1320" s="10"/>
      <c r="AI1320">
        <v>1.05</v>
      </c>
      <c r="AL1320" s="3"/>
      <c r="AM1320" s="3"/>
      <c r="AN1320" s="3"/>
      <c r="AO1320" s="3"/>
      <c r="AP1320" s="3"/>
      <c r="AQ1320">
        <v>60</v>
      </c>
      <c r="AR1320" t="s">
        <v>14</v>
      </c>
      <c r="AU1320" s="10" t="s">
        <v>2</v>
      </c>
      <c r="AV1320" s="10" t="s">
        <v>3</v>
      </c>
    </row>
    <row r="1321" spans="1:48" x14ac:dyDescent="0.3">
      <c r="A1321" s="6" t="s">
        <v>2103</v>
      </c>
      <c r="B1321" s="10" t="s">
        <v>441</v>
      </c>
      <c r="C1321" t="s">
        <v>2148</v>
      </c>
      <c r="D1321" s="40" t="s">
        <v>2154</v>
      </c>
      <c r="E1321" s="10">
        <v>2001</v>
      </c>
      <c r="F1321" t="s">
        <v>2661</v>
      </c>
      <c r="G1321" s="10" t="s">
        <v>34</v>
      </c>
      <c r="H1321" s="10" t="s">
        <v>217</v>
      </c>
      <c r="I1321" s="10" t="s">
        <v>2156</v>
      </c>
      <c r="J1321" s="10" t="s">
        <v>2152</v>
      </c>
      <c r="K1321" s="26">
        <v>6</v>
      </c>
      <c r="L1321" s="26">
        <v>6</v>
      </c>
      <c r="N1321" s="10"/>
      <c r="AI1321">
        <v>1.06</v>
      </c>
      <c r="AL1321" s="3"/>
      <c r="AM1321" s="3"/>
      <c r="AN1321" s="3"/>
      <c r="AO1321" s="3"/>
      <c r="AP1321" s="3"/>
      <c r="AQ1321">
        <v>60</v>
      </c>
      <c r="AR1321" t="s">
        <v>14</v>
      </c>
      <c r="AS1321" t="s">
        <v>3</v>
      </c>
      <c r="AU1321" s="10" t="s">
        <v>2</v>
      </c>
      <c r="AV1321" s="10" t="s">
        <v>3</v>
      </c>
    </row>
    <row r="1322" spans="1:48" x14ac:dyDescent="0.3">
      <c r="A1322" s="47" t="s">
        <v>2103</v>
      </c>
      <c r="B1322" s="10" t="s">
        <v>441</v>
      </c>
      <c r="C1322" s="40" t="s">
        <v>2148</v>
      </c>
      <c r="D1322" s="40" t="s">
        <v>2154</v>
      </c>
      <c r="E1322" s="10">
        <v>2001</v>
      </c>
      <c r="F1322" t="s">
        <v>2661</v>
      </c>
      <c r="G1322" s="10" t="s">
        <v>34</v>
      </c>
      <c r="H1322" s="10" t="s">
        <v>217</v>
      </c>
      <c r="I1322" s="10" t="s">
        <v>2156</v>
      </c>
      <c r="J1322" s="10" t="s">
        <v>2151</v>
      </c>
      <c r="K1322" s="26">
        <v>6</v>
      </c>
      <c r="L1322" s="26">
        <v>6</v>
      </c>
      <c r="N1322" s="10"/>
      <c r="AI1322">
        <v>0.93</v>
      </c>
      <c r="AL1322" s="3"/>
      <c r="AM1322" s="3"/>
      <c r="AN1322" s="3"/>
      <c r="AO1322" s="3"/>
      <c r="AP1322" s="3"/>
      <c r="AQ1322">
        <v>60</v>
      </c>
      <c r="AR1322" t="s">
        <v>14</v>
      </c>
      <c r="AS1322" t="s">
        <v>3</v>
      </c>
      <c r="AU1322" s="10" t="s">
        <v>2</v>
      </c>
      <c r="AV1322" s="10" t="s">
        <v>3</v>
      </c>
    </row>
    <row r="1323" spans="1:48" x14ac:dyDescent="0.3">
      <c r="A1323" s="6" t="s">
        <v>2103</v>
      </c>
      <c r="B1323" s="10" t="s">
        <v>441</v>
      </c>
      <c r="C1323" t="s">
        <v>2148</v>
      </c>
      <c r="D1323" s="4" t="s">
        <v>2153</v>
      </c>
      <c r="E1323" s="10">
        <v>2001</v>
      </c>
      <c r="F1323" t="s">
        <v>2661</v>
      </c>
      <c r="G1323" s="10" t="s">
        <v>34</v>
      </c>
      <c r="H1323" s="10" t="s">
        <v>217</v>
      </c>
      <c r="I1323" s="10" t="s">
        <v>2156</v>
      </c>
      <c r="J1323" s="10" t="s">
        <v>2152</v>
      </c>
      <c r="K1323" s="26">
        <v>6</v>
      </c>
      <c r="L1323" s="26">
        <v>6</v>
      </c>
      <c r="N1323" s="10"/>
      <c r="AI1323">
        <v>0.79</v>
      </c>
      <c r="AL1323" s="3"/>
      <c r="AM1323" s="3"/>
      <c r="AN1323" s="3"/>
      <c r="AO1323" s="3"/>
      <c r="AP1323" s="3"/>
      <c r="AQ1323">
        <v>60</v>
      </c>
      <c r="AR1323" t="s">
        <v>14</v>
      </c>
      <c r="AS1323" t="s">
        <v>3</v>
      </c>
      <c r="AU1323" s="10" t="s">
        <v>2</v>
      </c>
      <c r="AV1323" s="10" t="s">
        <v>3</v>
      </c>
    </row>
    <row r="1324" spans="1:48" x14ac:dyDescent="0.3">
      <c r="A1324" s="6" t="s">
        <v>2103</v>
      </c>
      <c r="B1324" s="10" t="s">
        <v>441</v>
      </c>
      <c r="C1324" t="s">
        <v>2148</v>
      </c>
      <c r="D1324" s="4" t="s">
        <v>2153</v>
      </c>
      <c r="E1324" s="10">
        <v>2002</v>
      </c>
      <c r="F1324" t="s">
        <v>2661</v>
      </c>
      <c r="G1324" s="10" t="s">
        <v>34</v>
      </c>
      <c r="H1324" s="10" t="s">
        <v>217</v>
      </c>
      <c r="I1324" s="10" t="s">
        <v>2156</v>
      </c>
      <c r="J1324" s="10" t="s">
        <v>2149</v>
      </c>
      <c r="K1324" s="26">
        <v>6</v>
      </c>
      <c r="L1324" s="26">
        <v>6</v>
      </c>
      <c r="AI1324">
        <v>1.17</v>
      </c>
      <c r="AL1324" s="3"/>
      <c r="AM1324" s="3"/>
      <c r="AN1324" s="3"/>
      <c r="AO1324" s="3"/>
      <c r="AP1324" s="3"/>
      <c r="AQ1324">
        <v>0</v>
      </c>
      <c r="AR1324" t="s">
        <v>308</v>
      </c>
      <c r="AS1324" t="s">
        <v>3</v>
      </c>
      <c r="AU1324" s="10" t="s">
        <v>2</v>
      </c>
      <c r="AV1324" s="10" t="s">
        <v>3</v>
      </c>
    </row>
    <row r="1325" spans="1:48" x14ac:dyDescent="0.3">
      <c r="A1325" s="6" t="s">
        <v>2103</v>
      </c>
      <c r="B1325" s="10" t="s">
        <v>441</v>
      </c>
      <c r="C1325" t="s">
        <v>2148</v>
      </c>
      <c r="D1325" s="4" t="s">
        <v>2153</v>
      </c>
      <c r="E1325" s="10">
        <v>2002</v>
      </c>
      <c r="F1325" t="s">
        <v>2661</v>
      </c>
      <c r="G1325" s="10" t="s">
        <v>34</v>
      </c>
      <c r="H1325" s="10" t="s">
        <v>217</v>
      </c>
      <c r="I1325" s="10" t="s">
        <v>2156</v>
      </c>
      <c r="J1325" s="10" t="s">
        <v>2150</v>
      </c>
      <c r="K1325" s="26">
        <v>6</v>
      </c>
      <c r="L1325" s="26">
        <v>6</v>
      </c>
      <c r="AI1325">
        <v>0.96</v>
      </c>
      <c r="AL1325" s="3"/>
      <c r="AM1325" s="3"/>
      <c r="AN1325" s="3"/>
      <c r="AO1325" s="3"/>
      <c r="AP1325" s="3"/>
      <c r="AQ1325">
        <v>0</v>
      </c>
      <c r="AR1325" t="s">
        <v>308</v>
      </c>
      <c r="AU1325" s="10" t="s">
        <v>2</v>
      </c>
      <c r="AV1325" s="10" t="s">
        <v>3</v>
      </c>
    </row>
    <row r="1326" spans="1:48" x14ac:dyDescent="0.3">
      <c r="A1326" s="6" t="s">
        <v>2103</v>
      </c>
      <c r="B1326" s="10" t="s">
        <v>441</v>
      </c>
      <c r="C1326" t="s">
        <v>2148</v>
      </c>
      <c r="D1326" s="4" t="s">
        <v>2153</v>
      </c>
      <c r="E1326" s="10">
        <v>2002</v>
      </c>
      <c r="F1326" t="s">
        <v>2661</v>
      </c>
      <c r="G1326" s="10" t="s">
        <v>34</v>
      </c>
      <c r="H1326" s="10" t="s">
        <v>217</v>
      </c>
      <c r="I1326" s="10" t="s">
        <v>2156</v>
      </c>
      <c r="J1326" s="10" t="s">
        <v>2152</v>
      </c>
      <c r="K1326" s="26">
        <v>6</v>
      </c>
      <c r="L1326" s="26">
        <v>6</v>
      </c>
      <c r="AI1326">
        <v>1.22</v>
      </c>
      <c r="AL1326" s="3"/>
      <c r="AM1326" s="3"/>
      <c r="AN1326" s="3"/>
      <c r="AO1326" s="3"/>
      <c r="AP1326" s="3"/>
      <c r="AQ1326">
        <v>0</v>
      </c>
      <c r="AR1326" t="s">
        <v>308</v>
      </c>
      <c r="AS1326" t="s">
        <v>3</v>
      </c>
      <c r="AU1326" s="10" t="s">
        <v>2</v>
      </c>
      <c r="AV1326" s="10" t="s">
        <v>3</v>
      </c>
    </row>
    <row r="1327" spans="1:48" x14ac:dyDescent="0.3">
      <c r="A1327" s="6" t="s">
        <v>2103</v>
      </c>
      <c r="B1327" s="10" t="s">
        <v>441</v>
      </c>
      <c r="C1327" t="s">
        <v>2148</v>
      </c>
      <c r="D1327" s="4" t="s">
        <v>2153</v>
      </c>
      <c r="E1327" s="10">
        <v>2002</v>
      </c>
      <c r="F1327" t="s">
        <v>2661</v>
      </c>
      <c r="G1327" s="10" t="s">
        <v>34</v>
      </c>
      <c r="H1327" s="10" t="s">
        <v>217</v>
      </c>
      <c r="I1327" s="10" t="s">
        <v>2156</v>
      </c>
      <c r="J1327" s="10" t="s">
        <v>2151</v>
      </c>
      <c r="K1327" s="26">
        <v>6</v>
      </c>
      <c r="L1327" s="26">
        <v>6</v>
      </c>
      <c r="AI1327">
        <v>1.32</v>
      </c>
      <c r="AL1327" s="3"/>
      <c r="AM1327" s="3"/>
      <c r="AN1327" s="3"/>
      <c r="AO1327" s="3"/>
      <c r="AP1327" s="3"/>
      <c r="AQ1327">
        <v>0</v>
      </c>
      <c r="AR1327" t="s">
        <v>308</v>
      </c>
      <c r="AS1327" t="s">
        <v>3</v>
      </c>
      <c r="AU1327" s="10" t="s">
        <v>2</v>
      </c>
      <c r="AV1327" s="10" t="s">
        <v>3</v>
      </c>
    </row>
    <row r="1328" spans="1:48" x14ac:dyDescent="0.3">
      <c r="A1328" s="6" t="s">
        <v>2103</v>
      </c>
      <c r="B1328" s="10" t="s">
        <v>441</v>
      </c>
      <c r="C1328" t="s">
        <v>2148</v>
      </c>
      <c r="D1328" s="40" t="s">
        <v>2154</v>
      </c>
      <c r="E1328" s="10">
        <v>2002</v>
      </c>
      <c r="F1328" t="s">
        <v>2661</v>
      </c>
      <c r="G1328" s="10" t="s">
        <v>34</v>
      </c>
      <c r="H1328" s="10" t="s">
        <v>217</v>
      </c>
      <c r="I1328" s="10" t="s">
        <v>2156</v>
      </c>
      <c r="J1328" s="10" t="s">
        <v>2149</v>
      </c>
      <c r="K1328" s="26">
        <v>6</v>
      </c>
      <c r="L1328" s="26">
        <v>6</v>
      </c>
      <c r="AI1328">
        <v>0.97</v>
      </c>
      <c r="AL1328" s="3"/>
      <c r="AM1328" s="3"/>
      <c r="AN1328" s="3"/>
      <c r="AO1328" s="3"/>
      <c r="AP1328" s="3"/>
      <c r="AQ1328">
        <v>0</v>
      </c>
      <c r="AR1328" t="s">
        <v>308</v>
      </c>
      <c r="AS1328" t="s">
        <v>3</v>
      </c>
      <c r="AU1328" s="10" t="s">
        <v>2</v>
      </c>
      <c r="AV1328" s="10" t="s">
        <v>3</v>
      </c>
    </row>
    <row r="1329" spans="1:49" x14ac:dyDescent="0.3">
      <c r="A1329" s="6" t="s">
        <v>2103</v>
      </c>
      <c r="B1329" s="10" t="s">
        <v>441</v>
      </c>
      <c r="C1329" t="s">
        <v>2148</v>
      </c>
      <c r="D1329" s="40" t="s">
        <v>2154</v>
      </c>
      <c r="E1329" s="10">
        <v>2002</v>
      </c>
      <c r="F1329" t="s">
        <v>2661</v>
      </c>
      <c r="G1329" s="10" t="s">
        <v>34</v>
      </c>
      <c r="H1329" s="10" t="s">
        <v>217</v>
      </c>
      <c r="I1329" s="10" t="s">
        <v>2156</v>
      </c>
      <c r="J1329" s="10" t="s">
        <v>2150</v>
      </c>
      <c r="K1329" s="26">
        <v>6</v>
      </c>
      <c r="L1329" s="26">
        <v>6</v>
      </c>
      <c r="AI1329">
        <v>0.83</v>
      </c>
      <c r="AL1329" s="3"/>
      <c r="AM1329" s="3"/>
      <c r="AN1329" s="3"/>
      <c r="AO1329" s="3"/>
      <c r="AP1329" s="3"/>
      <c r="AQ1329">
        <v>0</v>
      </c>
      <c r="AR1329" t="s">
        <v>308</v>
      </c>
      <c r="AU1329" s="10" t="s">
        <v>2</v>
      </c>
      <c r="AV1329" s="10" t="s">
        <v>3</v>
      </c>
    </row>
    <row r="1330" spans="1:49" x14ac:dyDescent="0.3">
      <c r="A1330" s="6" t="s">
        <v>2103</v>
      </c>
      <c r="B1330" s="10" t="s">
        <v>441</v>
      </c>
      <c r="C1330" t="s">
        <v>2148</v>
      </c>
      <c r="D1330" s="40" t="s">
        <v>2154</v>
      </c>
      <c r="E1330" s="10">
        <v>2002</v>
      </c>
      <c r="F1330" t="s">
        <v>2661</v>
      </c>
      <c r="G1330" s="10" t="s">
        <v>34</v>
      </c>
      <c r="H1330" s="10" t="s">
        <v>217</v>
      </c>
      <c r="I1330" s="10" t="s">
        <v>2156</v>
      </c>
      <c r="J1330" s="10" t="s">
        <v>2152</v>
      </c>
      <c r="K1330" s="26">
        <v>6</v>
      </c>
      <c r="L1330" s="26">
        <v>6</v>
      </c>
      <c r="AI1330">
        <v>0.98</v>
      </c>
      <c r="AL1330" s="3"/>
      <c r="AM1330" s="3"/>
      <c r="AN1330" s="3"/>
      <c r="AO1330" s="3"/>
      <c r="AP1330" s="3"/>
      <c r="AQ1330">
        <v>0</v>
      </c>
      <c r="AR1330" t="s">
        <v>308</v>
      </c>
      <c r="AS1330" t="s">
        <v>3</v>
      </c>
      <c r="AU1330" s="10" t="s">
        <v>2</v>
      </c>
      <c r="AV1330" s="10" t="s">
        <v>3</v>
      </c>
    </row>
    <row r="1331" spans="1:49" x14ac:dyDescent="0.3">
      <c r="A1331" s="47" t="s">
        <v>2103</v>
      </c>
      <c r="B1331" s="10" t="s">
        <v>441</v>
      </c>
      <c r="C1331" s="40" t="s">
        <v>2148</v>
      </c>
      <c r="D1331" s="40" t="s">
        <v>2154</v>
      </c>
      <c r="E1331" s="10">
        <v>2002</v>
      </c>
      <c r="F1331" t="s">
        <v>2661</v>
      </c>
      <c r="G1331" s="10" t="s">
        <v>34</v>
      </c>
      <c r="H1331" s="10" t="s">
        <v>217</v>
      </c>
      <c r="I1331" s="10" t="s">
        <v>2156</v>
      </c>
      <c r="J1331" s="10" t="s">
        <v>2151</v>
      </c>
      <c r="K1331" s="26">
        <v>6</v>
      </c>
      <c r="L1331" s="26">
        <v>6</v>
      </c>
      <c r="AI1331">
        <v>0.94</v>
      </c>
      <c r="AL1331" s="3"/>
      <c r="AM1331" s="3"/>
      <c r="AN1331" s="3"/>
      <c r="AO1331" s="3"/>
      <c r="AP1331" s="3"/>
      <c r="AQ1331">
        <v>0</v>
      </c>
      <c r="AR1331" t="s">
        <v>308</v>
      </c>
      <c r="AS1331" t="s">
        <v>3</v>
      </c>
      <c r="AU1331" s="10" t="s">
        <v>2</v>
      </c>
      <c r="AV1331" s="10" t="s">
        <v>3</v>
      </c>
    </row>
    <row r="1332" spans="1:49" x14ac:dyDescent="0.3">
      <c r="A1332" s="6" t="s">
        <v>2103</v>
      </c>
      <c r="B1332" s="10" t="s">
        <v>441</v>
      </c>
      <c r="C1332" t="s">
        <v>2148</v>
      </c>
      <c r="D1332" s="4" t="s">
        <v>2153</v>
      </c>
      <c r="E1332" s="10">
        <v>2003</v>
      </c>
      <c r="F1332" t="s">
        <v>2661</v>
      </c>
      <c r="G1332" s="10" t="s">
        <v>34</v>
      </c>
      <c r="H1332" s="10" t="s">
        <v>217</v>
      </c>
      <c r="I1332" s="10" t="s">
        <v>2156</v>
      </c>
      <c r="J1332" s="10" t="s">
        <v>2149</v>
      </c>
      <c r="K1332" s="26">
        <v>6</v>
      </c>
      <c r="L1332" s="26">
        <v>6</v>
      </c>
      <c r="AI1332">
        <v>0.92</v>
      </c>
      <c r="AL1332" s="3"/>
      <c r="AM1332" s="3"/>
      <c r="AN1332" s="3"/>
      <c r="AO1332" s="3"/>
      <c r="AP1332" s="3"/>
      <c r="AQ1332">
        <v>0</v>
      </c>
      <c r="AR1332" t="s">
        <v>308</v>
      </c>
      <c r="AS1332" t="s">
        <v>3</v>
      </c>
      <c r="AU1332" s="10" t="s">
        <v>2</v>
      </c>
      <c r="AV1332" s="10" t="s">
        <v>3</v>
      </c>
    </row>
    <row r="1333" spans="1:49" x14ac:dyDescent="0.3">
      <c r="A1333" s="6" t="s">
        <v>2103</v>
      </c>
      <c r="B1333" s="10" t="s">
        <v>441</v>
      </c>
      <c r="C1333" t="s">
        <v>2148</v>
      </c>
      <c r="D1333" s="4" t="s">
        <v>2153</v>
      </c>
      <c r="E1333" s="10">
        <v>2003</v>
      </c>
      <c r="F1333" t="s">
        <v>2661</v>
      </c>
      <c r="G1333" s="10" t="s">
        <v>34</v>
      </c>
      <c r="H1333" s="10" t="s">
        <v>217</v>
      </c>
      <c r="I1333" s="10" t="s">
        <v>2156</v>
      </c>
      <c r="J1333" s="10" t="s">
        <v>2150</v>
      </c>
      <c r="K1333" s="26">
        <v>6</v>
      </c>
      <c r="L1333" s="26">
        <v>6</v>
      </c>
      <c r="AI1333">
        <v>0.93</v>
      </c>
      <c r="AL1333" s="3"/>
      <c r="AM1333" s="3"/>
      <c r="AN1333" s="3"/>
      <c r="AO1333" s="3"/>
      <c r="AP1333" s="3"/>
      <c r="AQ1333">
        <v>0</v>
      </c>
      <c r="AR1333" t="s">
        <v>308</v>
      </c>
      <c r="AU1333" s="10" t="s">
        <v>2</v>
      </c>
      <c r="AV1333" s="10" t="s">
        <v>3</v>
      </c>
    </row>
    <row r="1334" spans="1:49" x14ac:dyDescent="0.3">
      <c r="A1334" s="6" t="s">
        <v>2103</v>
      </c>
      <c r="B1334" s="10" t="s">
        <v>441</v>
      </c>
      <c r="C1334" t="s">
        <v>2148</v>
      </c>
      <c r="D1334" s="4" t="s">
        <v>2153</v>
      </c>
      <c r="E1334" s="10">
        <v>2003</v>
      </c>
      <c r="F1334" t="s">
        <v>2661</v>
      </c>
      <c r="G1334" s="10" t="s">
        <v>34</v>
      </c>
      <c r="H1334" s="10" t="s">
        <v>217</v>
      </c>
      <c r="I1334" s="10" t="s">
        <v>2156</v>
      </c>
      <c r="J1334" s="10" t="s">
        <v>2152</v>
      </c>
      <c r="K1334" s="26">
        <v>6</v>
      </c>
      <c r="L1334" s="26">
        <v>6</v>
      </c>
      <c r="AI1334">
        <v>1.22</v>
      </c>
      <c r="AL1334" s="3"/>
      <c r="AM1334" s="3"/>
      <c r="AN1334" s="3"/>
      <c r="AO1334" s="3"/>
      <c r="AP1334" s="3"/>
      <c r="AQ1334">
        <v>0</v>
      </c>
      <c r="AR1334" t="s">
        <v>308</v>
      </c>
      <c r="AS1334" t="s">
        <v>3</v>
      </c>
      <c r="AU1334" s="10" t="s">
        <v>2</v>
      </c>
      <c r="AV1334" s="10" t="s">
        <v>3</v>
      </c>
    </row>
    <row r="1335" spans="1:49" x14ac:dyDescent="0.3">
      <c r="A1335" s="6" t="s">
        <v>2103</v>
      </c>
      <c r="B1335" s="10" t="s">
        <v>441</v>
      </c>
      <c r="C1335" t="s">
        <v>2148</v>
      </c>
      <c r="D1335" s="4" t="s">
        <v>2153</v>
      </c>
      <c r="E1335" s="10">
        <v>2003</v>
      </c>
      <c r="F1335" t="s">
        <v>2661</v>
      </c>
      <c r="G1335" s="10" t="s">
        <v>34</v>
      </c>
      <c r="H1335" s="10" t="s">
        <v>217</v>
      </c>
      <c r="I1335" s="10" t="s">
        <v>2156</v>
      </c>
      <c r="J1335" s="10" t="s">
        <v>2151</v>
      </c>
      <c r="K1335" s="26">
        <v>6</v>
      </c>
      <c r="L1335" s="26">
        <v>6</v>
      </c>
      <c r="AI1335">
        <v>1.02</v>
      </c>
      <c r="AL1335" s="3"/>
      <c r="AM1335" s="3"/>
      <c r="AN1335" s="3"/>
      <c r="AO1335" s="3"/>
      <c r="AP1335" s="3"/>
      <c r="AQ1335">
        <v>0</v>
      </c>
      <c r="AR1335" t="s">
        <v>308</v>
      </c>
      <c r="AS1335" t="s">
        <v>3</v>
      </c>
      <c r="AU1335" s="10" t="s">
        <v>2</v>
      </c>
      <c r="AV1335" s="10" t="s">
        <v>3</v>
      </c>
    </row>
    <row r="1336" spans="1:49" x14ac:dyDescent="0.3">
      <c r="A1336" s="6" t="s">
        <v>2103</v>
      </c>
      <c r="B1336" s="10" t="s">
        <v>441</v>
      </c>
      <c r="C1336" t="s">
        <v>2148</v>
      </c>
      <c r="D1336" s="40" t="s">
        <v>2154</v>
      </c>
      <c r="E1336" s="10">
        <v>2003</v>
      </c>
      <c r="F1336" t="s">
        <v>2661</v>
      </c>
      <c r="G1336" s="10" t="s">
        <v>34</v>
      </c>
      <c r="H1336" s="10" t="s">
        <v>217</v>
      </c>
      <c r="I1336" s="10" t="s">
        <v>2156</v>
      </c>
      <c r="J1336" s="10" t="s">
        <v>2149</v>
      </c>
      <c r="K1336" s="26">
        <v>6</v>
      </c>
      <c r="L1336" s="26">
        <v>6</v>
      </c>
      <c r="AI1336">
        <v>1.65</v>
      </c>
      <c r="AL1336" s="3"/>
      <c r="AM1336" s="3"/>
      <c r="AN1336" s="3"/>
      <c r="AO1336" s="3"/>
      <c r="AP1336" s="3"/>
      <c r="AQ1336">
        <v>0</v>
      </c>
      <c r="AR1336" t="s">
        <v>308</v>
      </c>
      <c r="AS1336" t="s">
        <v>3</v>
      </c>
      <c r="AU1336" s="10" t="s">
        <v>2</v>
      </c>
      <c r="AV1336" s="10" t="s">
        <v>3</v>
      </c>
    </row>
    <row r="1337" spans="1:49" x14ac:dyDescent="0.3">
      <c r="A1337" s="6" t="s">
        <v>2103</v>
      </c>
      <c r="B1337" s="10" t="s">
        <v>441</v>
      </c>
      <c r="C1337" t="s">
        <v>2148</v>
      </c>
      <c r="D1337" s="40" t="s">
        <v>2154</v>
      </c>
      <c r="E1337" s="10">
        <v>2003</v>
      </c>
      <c r="F1337" t="s">
        <v>2661</v>
      </c>
      <c r="G1337" s="10" t="s">
        <v>34</v>
      </c>
      <c r="H1337" s="10" t="s">
        <v>217</v>
      </c>
      <c r="I1337" s="10" t="s">
        <v>2156</v>
      </c>
      <c r="J1337" s="10" t="s">
        <v>2150</v>
      </c>
      <c r="K1337" s="26">
        <v>6</v>
      </c>
      <c r="L1337" s="26">
        <v>6</v>
      </c>
      <c r="AI1337">
        <v>0.57999999999999996</v>
      </c>
      <c r="AL1337" s="3"/>
      <c r="AM1337" s="3"/>
      <c r="AN1337" s="3"/>
      <c r="AO1337" s="3"/>
      <c r="AP1337" s="3"/>
      <c r="AQ1337">
        <v>0</v>
      </c>
      <c r="AR1337" t="s">
        <v>308</v>
      </c>
      <c r="AU1337" s="10" t="s">
        <v>2</v>
      </c>
      <c r="AV1337" s="10" t="s">
        <v>3</v>
      </c>
    </row>
    <row r="1338" spans="1:49" x14ac:dyDescent="0.3">
      <c r="A1338" s="6" t="s">
        <v>2103</v>
      </c>
      <c r="B1338" s="10" t="s">
        <v>441</v>
      </c>
      <c r="C1338" t="s">
        <v>2148</v>
      </c>
      <c r="D1338" s="40" t="s">
        <v>2154</v>
      </c>
      <c r="E1338" s="10">
        <v>2003</v>
      </c>
      <c r="F1338" t="s">
        <v>2661</v>
      </c>
      <c r="G1338" s="10" t="s">
        <v>34</v>
      </c>
      <c r="H1338" s="10" t="s">
        <v>217</v>
      </c>
      <c r="I1338" s="10" t="s">
        <v>2156</v>
      </c>
      <c r="J1338" s="10" t="s">
        <v>2152</v>
      </c>
      <c r="K1338" s="26">
        <v>6</v>
      </c>
      <c r="L1338" s="26">
        <v>6</v>
      </c>
      <c r="AI1338">
        <v>1.47</v>
      </c>
      <c r="AL1338" s="3"/>
      <c r="AM1338" s="3"/>
      <c r="AN1338" s="3"/>
      <c r="AO1338" s="3"/>
      <c r="AP1338" s="3"/>
      <c r="AQ1338">
        <v>0</v>
      </c>
      <c r="AR1338" t="s">
        <v>308</v>
      </c>
      <c r="AS1338" t="s">
        <v>3</v>
      </c>
      <c r="AU1338" s="10" t="s">
        <v>2</v>
      </c>
      <c r="AV1338" s="10" t="s">
        <v>3</v>
      </c>
    </row>
    <row r="1339" spans="1:49" x14ac:dyDescent="0.3">
      <c r="A1339" s="47" t="s">
        <v>2103</v>
      </c>
      <c r="B1339" s="10" t="s">
        <v>441</v>
      </c>
      <c r="C1339" s="40" t="s">
        <v>2148</v>
      </c>
      <c r="D1339" s="40" t="s">
        <v>2154</v>
      </c>
      <c r="E1339" s="10">
        <v>2003</v>
      </c>
      <c r="F1339" t="s">
        <v>2661</v>
      </c>
      <c r="G1339" s="10" t="s">
        <v>34</v>
      </c>
      <c r="H1339" s="10" t="s">
        <v>217</v>
      </c>
      <c r="I1339" s="10" t="s">
        <v>2156</v>
      </c>
      <c r="J1339" s="10" t="s">
        <v>2151</v>
      </c>
      <c r="K1339" s="26">
        <v>6</v>
      </c>
      <c r="L1339" s="26">
        <v>6</v>
      </c>
      <c r="AI1339">
        <v>1.59</v>
      </c>
      <c r="AL1339" s="3"/>
      <c r="AM1339" s="3"/>
      <c r="AN1339" s="3"/>
      <c r="AO1339" s="3"/>
      <c r="AP1339" s="3"/>
      <c r="AQ1339">
        <v>0</v>
      </c>
      <c r="AR1339" t="s">
        <v>308</v>
      </c>
      <c r="AS1339" t="s">
        <v>3</v>
      </c>
      <c r="AU1339" s="10" t="s">
        <v>2</v>
      </c>
      <c r="AV1339" s="10" t="s">
        <v>3</v>
      </c>
    </row>
    <row r="1340" spans="1:49" x14ac:dyDescent="0.3">
      <c r="A1340" s="6" t="s">
        <v>2059</v>
      </c>
      <c r="B1340" s="10" t="s">
        <v>81</v>
      </c>
      <c r="C1340" s="40" t="s">
        <v>2157</v>
      </c>
      <c r="D1340" s="40" t="s">
        <v>1652</v>
      </c>
      <c r="E1340" s="10">
        <v>2012</v>
      </c>
      <c r="F1340" t="s">
        <v>2661</v>
      </c>
      <c r="G1340" s="10" t="s">
        <v>2158</v>
      </c>
      <c r="H1340" s="10" t="s">
        <v>217</v>
      </c>
      <c r="I1340" s="10" t="s">
        <v>2160</v>
      </c>
      <c r="J1340" s="10" t="s">
        <v>736</v>
      </c>
      <c r="K1340" s="26">
        <v>3</v>
      </c>
      <c r="L1340" s="26">
        <v>3</v>
      </c>
      <c r="N1340">
        <v>6.45</v>
      </c>
      <c r="O1340">
        <v>0.18</v>
      </c>
      <c r="P1340">
        <v>16.11</v>
      </c>
      <c r="Q1340">
        <v>0.59</v>
      </c>
      <c r="W1340">
        <v>8.24</v>
      </c>
      <c r="X1340">
        <v>0.16</v>
      </c>
      <c r="Y1340">
        <v>19.079999999999998</v>
      </c>
      <c r="Z1340">
        <v>0.31</v>
      </c>
      <c r="AI1340">
        <v>1.24</v>
      </c>
      <c r="AL1340" s="3">
        <f>(((X1340*SQRT(L1340))^2)/(N1340^2))+((O1340*SQRT(K1340))^2)*(W1340^2)/(N1340^4)</f>
        <v>5.6591748198661839E-3</v>
      </c>
      <c r="AM1340" s="3">
        <f>(((Z1340*SQRT($L1340))^2)/(P1340^2))+((Q1340*SQRT(L1340))^2)*(Y1340^2)/(P1340^4)</f>
        <v>6.7550122721643392E-3</v>
      </c>
      <c r="AN1340" s="3"/>
      <c r="AO1340" s="3">
        <f t="shared" ref="AO1340:AO1342" si="167">AL1340+AM1340+AN1340</f>
        <v>1.2414187092030522E-2</v>
      </c>
      <c r="AP1340" s="3">
        <f t="shared" ref="AP1340:AP1342" si="168">SQRT(AO1340)/AI1340</f>
        <v>8.9854008846835073E-2</v>
      </c>
      <c r="AQ1340">
        <f>(360+240)/2</f>
        <v>300</v>
      </c>
      <c r="AR1340" t="s">
        <v>14</v>
      </c>
      <c r="AT1340" t="s">
        <v>3</v>
      </c>
      <c r="AU1340" s="10" t="s">
        <v>2</v>
      </c>
      <c r="AV1340" s="10" t="s">
        <v>3</v>
      </c>
      <c r="AW1340" t="s">
        <v>2159</v>
      </c>
    </row>
    <row r="1341" spans="1:49" x14ac:dyDescent="0.3">
      <c r="A1341" s="6" t="s">
        <v>2059</v>
      </c>
      <c r="B1341" s="10" t="s">
        <v>81</v>
      </c>
      <c r="C1341" s="40" t="s">
        <v>2157</v>
      </c>
      <c r="D1341" s="40" t="s">
        <v>1652</v>
      </c>
      <c r="E1341" s="10">
        <v>2013</v>
      </c>
      <c r="F1341" t="s">
        <v>2661</v>
      </c>
      <c r="G1341" s="10" t="s">
        <v>2158</v>
      </c>
      <c r="H1341" s="10" t="s">
        <v>217</v>
      </c>
      <c r="I1341" s="10" t="s">
        <v>2160</v>
      </c>
      <c r="J1341" s="10" t="s">
        <v>736</v>
      </c>
      <c r="K1341" s="26">
        <v>3</v>
      </c>
      <c r="L1341" s="26">
        <v>3</v>
      </c>
      <c r="N1341">
        <v>6.15</v>
      </c>
      <c r="O1341">
        <v>0.4</v>
      </c>
      <c r="P1341">
        <v>13.17</v>
      </c>
      <c r="Q1341">
        <v>0.48</v>
      </c>
      <c r="W1341">
        <v>8.0299999999999994</v>
      </c>
      <c r="X1341">
        <v>0.42</v>
      </c>
      <c r="Y1341">
        <v>15.17</v>
      </c>
      <c r="Z1341">
        <v>0.69</v>
      </c>
      <c r="AI1341">
        <v>1.23</v>
      </c>
      <c r="AL1341" s="3">
        <f>(((X1341*SQRT(L1341))^2)/(N1341^2))+((O1341*SQRT(K1341))^2)*(W1341^2)/(N1341^4)</f>
        <v>3.562741715450312E-2</v>
      </c>
      <c r="AM1341" s="3">
        <f t="shared" ref="AM1341:AM1342" si="169">(((Z1341*SQRT($L1341))^2)/(P1341^2))+((Q1341*SQRT(L1341))^2)*(Y1341^2)/(P1341^4)</f>
        <v>1.3521975661524278E-2</v>
      </c>
      <c r="AN1341" s="3"/>
      <c r="AO1341" s="3">
        <f t="shared" si="167"/>
        <v>4.9149392816027399E-2</v>
      </c>
      <c r="AP1341" s="3">
        <f t="shared" si="168"/>
        <v>0.18024115721572367</v>
      </c>
      <c r="AQ1341">
        <f t="shared" ref="AQ1341:AQ1342" si="170">(360+240)/2</f>
        <v>300</v>
      </c>
      <c r="AR1341" t="s">
        <v>14</v>
      </c>
      <c r="AT1341" t="s">
        <v>3</v>
      </c>
      <c r="AU1341" s="10" t="s">
        <v>2</v>
      </c>
      <c r="AV1341" s="10" t="s">
        <v>3</v>
      </c>
      <c r="AW1341" t="s">
        <v>2159</v>
      </c>
    </row>
    <row r="1342" spans="1:49" x14ac:dyDescent="0.3">
      <c r="A1342" s="6" t="s">
        <v>2059</v>
      </c>
      <c r="B1342" s="10" t="s">
        <v>81</v>
      </c>
      <c r="C1342" s="40" t="s">
        <v>2157</v>
      </c>
      <c r="D1342" s="40" t="s">
        <v>1652</v>
      </c>
      <c r="E1342" s="10">
        <v>2014</v>
      </c>
      <c r="F1342" t="s">
        <v>2661</v>
      </c>
      <c r="G1342" s="10" t="s">
        <v>2158</v>
      </c>
      <c r="H1342" s="10" t="s">
        <v>217</v>
      </c>
      <c r="I1342" s="10" t="s">
        <v>2160</v>
      </c>
      <c r="J1342" s="10" t="s">
        <v>736</v>
      </c>
      <c r="K1342" s="26">
        <v>3</v>
      </c>
      <c r="L1342" s="26">
        <v>3</v>
      </c>
      <c r="N1342">
        <v>6.51</v>
      </c>
      <c r="O1342">
        <v>0.19</v>
      </c>
      <c r="P1342">
        <v>18.18</v>
      </c>
      <c r="Q1342">
        <v>0.89</v>
      </c>
      <c r="W1342">
        <v>8.2200000000000006</v>
      </c>
      <c r="X1342">
        <v>0.27</v>
      </c>
      <c r="Y1342">
        <v>21.58</v>
      </c>
      <c r="Z1342">
        <v>0.76</v>
      </c>
      <c r="AI1342">
        <v>1.22</v>
      </c>
      <c r="AL1342" s="3">
        <f>(((X1342*SQRT(L1342))^2)/(N1342^2))+((O1342*SQRT(K1342))^2)*(W1342^2)/(N1342^4)</f>
        <v>9.2346952128392681E-3</v>
      </c>
      <c r="AM1342" s="3">
        <f t="shared" si="169"/>
        <v>1.5373216070163865E-2</v>
      </c>
      <c r="AN1342" s="3"/>
      <c r="AO1342" s="3">
        <f t="shared" si="167"/>
        <v>2.4607911283003131E-2</v>
      </c>
      <c r="AP1342" s="3">
        <f t="shared" si="168"/>
        <v>0.12858122101252883</v>
      </c>
      <c r="AQ1342">
        <f t="shared" si="170"/>
        <v>300</v>
      </c>
      <c r="AR1342" t="s">
        <v>14</v>
      </c>
      <c r="AT1342" t="s">
        <v>3</v>
      </c>
      <c r="AU1342" s="10" t="s">
        <v>2</v>
      </c>
      <c r="AV1342" s="10" t="s">
        <v>3</v>
      </c>
      <c r="AW1342" t="s">
        <v>2159</v>
      </c>
    </row>
    <row r="1343" spans="1:49" x14ac:dyDescent="0.3">
      <c r="A1343" s="6" t="s">
        <v>2104</v>
      </c>
      <c r="B1343" s="10" t="s">
        <v>81</v>
      </c>
      <c r="D1343" s="40" t="s">
        <v>2161</v>
      </c>
      <c r="E1343" s="10">
        <v>2007</v>
      </c>
      <c r="F1343" t="s">
        <v>2661</v>
      </c>
      <c r="G1343" s="10" t="s">
        <v>6</v>
      </c>
      <c r="H1343" s="10" t="s">
        <v>217</v>
      </c>
      <c r="I1343" s="10" t="s">
        <v>1727</v>
      </c>
      <c r="J1343" s="10" t="s">
        <v>2162</v>
      </c>
      <c r="K1343" s="26">
        <v>3</v>
      </c>
      <c r="L1343" s="26">
        <v>3</v>
      </c>
      <c r="N1343">
        <v>17.940000000000001</v>
      </c>
      <c r="P1343">
        <v>23.37</v>
      </c>
      <c r="W1343">
        <v>5.76</v>
      </c>
      <c r="Y1343">
        <v>15.39</v>
      </c>
      <c r="AD1343" s="3">
        <f t="shared" ref="AD1343:AD1354" si="171">W1343/N1343</f>
        <v>0.32107023411371233</v>
      </c>
      <c r="AE1343" s="3">
        <f t="shared" ref="AE1343:AE1354" si="172">Y1343/P1343</f>
        <v>0.65853658536585369</v>
      </c>
      <c r="AI1343" s="3">
        <f>AD1343+AE1343</f>
        <v>0.97960681947956596</v>
      </c>
      <c r="AL1343" s="3"/>
      <c r="AO1343" s="3"/>
      <c r="AP1343" s="3"/>
      <c r="AQ1343">
        <v>0</v>
      </c>
      <c r="AR1343" t="s">
        <v>308</v>
      </c>
      <c r="AS1343" t="s">
        <v>2</v>
      </c>
      <c r="AT1343" t="s">
        <v>3</v>
      </c>
      <c r="AU1343" s="10" t="s">
        <v>2</v>
      </c>
      <c r="AV1343" s="10" t="s">
        <v>3</v>
      </c>
    </row>
    <row r="1344" spans="1:49" x14ac:dyDescent="0.3">
      <c r="A1344" s="6" t="s">
        <v>2104</v>
      </c>
      <c r="B1344" s="10" t="s">
        <v>81</v>
      </c>
      <c r="D1344" s="40" t="s">
        <v>2161</v>
      </c>
      <c r="E1344" s="10">
        <v>2007</v>
      </c>
      <c r="F1344" t="s">
        <v>2661</v>
      </c>
      <c r="G1344" s="10" t="s">
        <v>6</v>
      </c>
      <c r="H1344" s="10" t="s">
        <v>217</v>
      </c>
      <c r="I1344" s="10" t="s">
        <v>2163</v>
      </c>
      <c r="J1344" s="10" t="s">
        <v>2162</v>
      </c>
      <c r="K1344" s="26">
        <v>3</v>
      </c>
      <c r="L1344" s="26">
        <v>3</v>
      </c>
      <c r="N1344">
        <v>17.940000000000001</v>
      </c>
      <c r="P1344">
        <v>23.37</v>
      </c>
      <c r="W1344">
        <v>7.89</v>
      </c>
      <c r="Y1344">
        <v>10.17</v>
      </c>
      <c r="AD1344" s="3">
        <f t="shared" si="171"/>
        <v>0.43979933110367886</v>
      </c>
      <c r="AE1344" s="3">
        <f t="shared" si="172"/>
        <v>0.43517329910141206</v>
      </c>
      <c r="AI1344" s="3">
        <f t="shared" ref="AI1344:AI1354" si="173">AD1344+AE1344</f>
        <v>0.87497263020509086</v>
      </c>
      <c r="AL1344" s="3"/>
      <c r="AO1344" s="3"/>
      <c r="AP1344" s="3"/>
      <c r="AQ1344">
        <v>0</v>
      </c>
      <c r="AR1344" t="s">
        <v>308</v>
      </c>
      <c r="AS1344" t="s">
        <v>2</v>
      </c>
      <c r="AT1344" t="s">
        <v>3</v>
      </c>
      <c r="AU1344" s="10" t="s">
        <v>2</v>
      </c>
      <c r="AV1344" s="10" t="s">
        <v>3</v>
      </c>
    </row>
    <row r="1345" spans="1:49" x14ac:dyDescent="0.3">
      <c r="A1345" s="6" t="s">
        <v>2104</v>
      </c>
      <c r="B1345" s="10" t="s">
        <v>81</v>
      </c>
      <c r="D1345" s="40" t="s">
        <v>2161</v>
      </c>
      <c r="E1345" s="10">
        <v>2007</v>
      </c>
      <c r="F1345" t="s">
        <v>2661</v>
      </c>
      <c r="G1345" s="10" t="s">
        <v>6</v>
      </c>
      <c r="H1345" s="10" t="s">
        <v>217</v>
      </c>
      <c r="I1345" s="10" t="s">
        <v>1787</v>
      </c>
      <c r="J1345" s="10" t="s">
        <v>2162</v>
      </c>
      <c r="K1345" s="26">
        <v>3</v>
      </c>
      <c r="L1345" s="26">
        <v>3</v>
      </c>
      <c r="N1345">
        <v>17.940000000000001</v>
      </c>
      <c r="P1345">
        <v>23.37</v>
      </c>
      <c r="W1345">
        <v>9.02</v>
      </c>
      <c r="Y1345">
        <v>10.78</v>
      </c>
      <c r="AD1345" s="3">
        <f t="shared" si="171"/>
        <v>0.50278706800445927</v>
      </c>
      <c r="AE1345" s="3">
        <f t="shared" si="172"/>
        <v>0.4612751390671801</v>
      </c>
      <c r="AI1345" s="3">
        <f t="shared" si="173"/>
        <v>0.96406220707163937</v>
      </c>
      <c r="AL1345" s="3"/>
      <c r="AO1345" s="3"/>
      <c r="AP1345" s="3"/>
      <c r="AQ1345">
        <v>0</v>
      </c>
      <c r="AR1345" t="s">
        <v>308</v>
      </c>
      <c r="AS1345" t="s">
        <v>2</v>
      </c>
      <c r="AT1345" t="s">
        <v>3</v>
      </c>
      <c r="AU1345" s="10" t="s">
        <v>2</v>
      </c>
      <c r="AV1345" s="10" t="s">
        <v>3</v>
      </c>
    </row>
    <row r="1346" spans="1:49" x14ac:dyDescent="0.3">
      <c r="A1346" s="6" t="s">
        <v>2104</v>
      </c>
      <c r="B1346" s="10" t="s">
        <v>81</v>
      </c>
      <c r="D1346" s="40" t="s">
        <v>2161</v>
      </c>
      <c r="E1346" s="10">
        <v>2007</v>
      </c>
      <c r="F1346" t="s">
        <v>2661</v>
      </c>
      <c r="G1346" s="10" t="s">
        <v>6</v>
      </c>
      <c r="H1346" s="10" t="s">
        <v>217</v>
      </c>
      <c r="I1346" s="10" t="s">
        <v>2164</v>
      </c>
      <c r="J1346" s="10" t="s">
        <v>2162</v>
      </c>
      <c r="K1346" s="26">
        <v>3</v>
      </c>
      <c r="L1346" s="26">
        <v>3</v>
      </c>
      <c r="N1346">
        <v>17.940000000000001</v>
      </c>
      <c r="P1346">
        <v>23.37</v>
      </c>
      <c r="W1346">
        <v>11.62</v>
      </c>
      <c r="Y1346">
        <v>10.92</v>
      </c>
      <c r="AD1346" s="3">
        <f t="shared" si="171"/>
        <v>0.64771460423634331</v>
      </c>
      <c r="AE1346" s="3">
        <f t="shared" si="172"/>
        <v>0.46726572528883181</v>
      </c>
      <c r="AI1346" s="3">
        <f t="shared" si="173"/>
        <v>1.1149803295251752</v>
      </c>
      <c r="AL1346" s="3"/>
      <c r="AO1346" s="3"/>
      <c r="AP1346" s="3"/>
      <c r="AQ1346">
        <v>0</v>
      </c>
      <c r="AR1346" t="s">
        <v>308</v>
      </c>
      <c r="AS1346" t="s">
        <v>2</v>
      </c>
      <c r="AT1346" t="s">
        <v>3</v>
      </c>
      <c r="AU1346" s="10" t="s">
        <v>2</v>
      </c>
      <c r="AV1346" s="10" t="s">
        <v>3</v>
      </c>
    </row>
    <row r="1347" spans="1:49" x14ac:dyDescent="0.3">
      <c r="A1347" s="6" t="s">
        <v>2104</v>
      </c>
      <c r="B1347" s="10" t="s">
        <v>81</v>
      </c>
      <c r="D1347" s="40" t="s">
        <v>2161</v>
      </c>
      <c r="E1347" s="10">
        <v>2008</v>
      </c>
      <c r="F1347" t="s">
        <v>2661</v>
      </c>
      <c r="G1347" s="10" t="s">
        <v>6</v>
      </c>
      <c r="H1347" s="10" t="s">
        <v>217</v>
      </c>
      <c r="I1347" s="10" t="s">
        <v>1727</v>
      </c>
      <c r="J1347" s="10" t="s">
        <v>2162</v>
      </c>
      <c r="K1347" s="26">
        <v>3</v>
      </c>
      <c r="L1347" s="26">
        <v>3</v>
      </c>
      <c r="N1347">
        <v>21.16</v>
      </c>
      <c r="P1347">
        <v>23.61</v>
      </c>
      <c r="W1347">
        <v>8.17</v>
      </c>
      <c r="Y1347">
        <v>15.48</v>
      </c>
      <c r="AD1347" s="3">
        <f t="shared" si="171"/>
        <v>0.38610586011342152</v>
      </c>
      <c r="AE1347" s="3">
        <f t="shared" si="172"/>
        <v>0.65565438373570528</v>
      </c>
      <c r="AI1347" s="3">
        <f t="shared" si="173"/>
        <v>1.0417602438491267</v>
      </c>
      <c r="AL1347" s="3"/>
      <c r="AO1347" s="3"/>
      <c r="AP1347" s="3"/>
      <c r="AQ1347">
        <v>0</v>
      </c>
      <c r="AR1347" t="s">
        <v>308</v>
      </c>
      <c r="AS1347" t="s">
        <v>2</v>
      </c>
      <c r="AT1347" t="s">
        <v>3</v>
      </c>
      <c r="AU1347" s="10" t="s">
        <v>2</v>
      </c>
      <c r="AV1347" s="10" t="s">
        <v>3</v>
      </c>
    </row>
    <row r="1348" spans="1:49" x14ac:dyDescent="0.3">
      <c r="A1348" s="6" t="s">
        <v>2104</v>
      </c>
      <c r="B1348" s="10" t="s">
        <v>81</v>
      </c>
      <c r="D1348" s="40" t="s">
        <v>2161</v>
      </c>
      <c r="E1348" s="10">
        <v>2008</v>
      </c>
      <c r="F1348" t="s">
        <v>2661</v>
      </c>
      <c r="G1348" s="10" t="s">
        <v>6</v>
      </c>
      <c r="H1348" s="10" t="s">
        <v>217</v>
      </c>
      <c r="I1348" s="10" t="s">
        <v>2163</v>
      </c>
      <c r="J1348" s="10" t="s">
        <v>2162</v>
      </c>
      <c r="K1348" s="26">
        <v>3</v>
      </c>
      <c r="L1348" s="26">
        <v>3</v>
      </c>
      <c r="N1348">
        <v>21.16</v>
      </c>
      <c r="P1348">
        <v>23.61</v>
      </c>
      <c r="W1348">
        <v>9.76</v>
      </c>
      <c r="Y1348">
        <v>14.07</v>
      </c>
      <c r="AD1348" s="3">
        <f t="shared" si="171"/>
        <v>0.46124763705103966</v>
      </c>
      <c r="AE1348" s="3">
        <f t="shared" si="172"/>
        <v>0.59593392630241426</v>
      </c>
      <c r="AI1348" s="3">
        <f t="shared" si="173"/>
        <v>1.057181563353454</v>
      </c>
      <c r="AL1348" s="3"/>
      <c r="AO1348" s="3"/>
      <c r="AP1348" s="3"/>
      <c r="AQ1348">
        <v>0</v>
      </c>
      <c r="AR1348" t="s">
        <v>308</v>
      </c>
      <c r="AS1348" t="s">
        <v>2</v>
      </c>
      <c r="AT1348" t="s">
        <v>3</v>
      </c>
      <c r="AU1348" s="10" t="s">
        <v>2</v>
      </c>
      <c r="AV1348" s="10" t="s">
        <v>3</v>
      </c>
    </row>
    <row r="1349" spans="1:49" x14ac:dyDescent="0.3">
      <c r="A1349" s="6" t="s">
        <v>2104</v>
      </c>
      <c r="B1349" s="10" t="s">
        <v>81</v>
      </c>
      <c r="D1349" s="40" t="s">
        <v>2161</v>
      </c>
      <c r="E1349" s="10">
        <v>2008</v>
      </c>
      <c r="F1349" t="s">
        <v>2661</v>
      </c>
      <c r="G1349" s="10" t="s">
        <v>6</v>
      </c>
      <c r="H1349" s="10" t="s">
        <v>217</v>
      </c>
      <c r="I1349" s="10" t="s">
        <v>1787</v>
      </c>
      <c r="J1349" s="10" t="s">
        <v>2162</v>
      </c>
      <c r="K1349" s="26">
        <v>3</v>
      </c>
      <c r="L1349" s="26">
        <v>3</v>
      </c>
      <c r="N1349">
        <v>21.16</v>
      </c>
      <c r="P1349">
        <v>23.61</v>
      </c>
      <c r="W1349">
        <v>11.47</v>
      </c>
      <c r="Y1349">
        <v>12.35</v>
      </c>
      <c r="AD1349" s="3">
        <f t="shared" si="171"/>
        <v>0.54206049149338376</v>
      </c>
      <c r="AE1349" s="3">
        <f t="shared" si="172"/>
        <v>0.52308343922066924</v>
      </c>
      <c r="AI1349" s="3">
        <f t="shared" si="173"/>
        <v>1.0651439307140529</v>
      </c>
      <c r="AL1349" s="3"/>
      <c r="AO1349" s="3"/>
      <c r="AP1349" s="3"/>
      <c r="AQ1349">
        <v>0</v>
      </c>
      <c r="AR1349" t="s">
        <v>308</v>
      </c>
      <c r="AS1349" t="s">
        <v>2</v>
      </c>
      <c r="AT1349" t="s">
        <v>3</v>
      </c>
      <c r="AU1349" s="10" t="s">
        <v>2</v>
      </c>
      <c r="AV1349" s="10" t="s">
        <v>3</v>
      </c>
    </row>
    <row r="1350" spans="1:49" x14ac:dyDescent="0.3">
      <c r="A1350" s="6" t="s">
        <v>2104</v>
      </c>
      <c r="B1350" s="10" t="s">
        <v>81</v>
      </c>
      <c r="D1350" s="40" t="s">
        <v>2161</v>
      </c>
      <c r="E1350" s="10">
        <v>2008</v>
      </c>
      <c r="F1350" t="s">
        <v>2661</v>
      </c>
      <c r="G1350" s="10" t="s">
        <v>6</v>
      </c>
      <c r="H1350" s="10" t="s">
        <v>217</v>
      </c>
      <c r="I1350" s="10" t="s">
        <v>2164</v>
      </c>
      <c r="J1350" s="10" t="s">
        <v>2162</v>
      </c>
      <c r="K1350" s="26">
        <v>3</v>
      </c>
      <c r="L1350" s="26">
        <v>3</v>
      </c>
      <c r="N1350">
        <v>21.16</v>
      </c>
      <c r="P1350">
        <v>23.61</v>
      </c>
      <c r="W1350">
        <v>13.14</v>
      </c>
      <c r="Y1350">
        <v>10.18</v>
      </c>
      <c r="AD1350" s="3">
        <f t="shared" si="171"/>
        <v>0.62098298676748587</v>
      </c>
      <c r="AE1350" s="3">
        <f t="shared" si="172"/>
        <v>0.43117323168149091</v>
      </c>
      <c r="AI1350" s="3">
        <f t="shared" si="173"/>
        <v>1.0521562184489768</v>
      </c>
      <c r="AL1350" s="3"/>
      <c r="AO1350" s="3"/>
      <c r="AP1350" s="3"/>
      <c r="AQ1350">
        <v>0</v>
      </c>
      <c r="AR1350" t="s">
        <v>308</v>
      </c>
      <c r="AS1350" t="s">
        <v>2</v>
      </c>
      <c r="AT1350" t="s">
        <v>3</v>
      </c>
      <c r="AU1350" s="10" t="s">
        <v>2</v>
      </c>
      <c r="AV1350" s="10" t="s">
        <v>3</v>
      </c>
    </row>
    <row r="1351" spans="1:49" x14ac:dyDescent="0.3">
      <c r="A1351" s="6" t="s">
        <v>2104</v>
      </c>
      <c r="B1351" s="10" t="s">
        <v>81</v>
      </c>
      <c r="D1351" s="40" t="s">
        <v>2161</v>
      </c>
      <c r="E1351" s="10">
        <v>2009</v>
      </c>
      <c r="F1351" t="s">
        <v>2661</v>
      </c>
      <c r="G1351" s="10" t="s">
        <v>6</v>
      </c>
      <c r="H1351" s="10" t="s">
        <v>217</v>
      </c>
      <c r="I1351" s="10" t="s">
        <v>1727</v>
      </c>
      <c r="J1351" s="10" t="s">
        <v>2162</v>
      </c>
      <c r="K1351" s="26">
        <v>3</v>
      </c>
      <c r="L1351" s="26">
        <v>3</v>
      </c>
      <c r="N1351">
        <v>22.04</v>
      </c>
      <c r="P1351">
        <v>23.47</v>
      </c>
      <c r="W1351">
        <v>8.49</v>
      </c>
      <c r="Y1351">
        <v>16.38</v>
      </c>
      <c r="AD1351" s="3">
        <f t="shared" si="171"/>
        <v>0.38520871143375685</v>
      </c>
      <c r="AE1351" s="3">
        <f t="shared" si="172"/>
        <v>0.69791222837665101</v>
      </c>
      <c r="AI1351" s="3">
        <f t="shared" si="173"/>
        <v>1.0831209398104078</v>
      </c>
      <c r="AL1351" s="3"/>
      <c r="AO1351" s="3"/>
      <c r="AP1351" s="3"/>
      <c r="AQ1351">
        <v>0</v>
      </c>
      <c r="AR1351" t="s">
        <v>308</v>
      </c>
      <c r="AS1351" t="s">
        <v>2</v>
      </c>
      <c r="AT1351" t="s">
        <v>3</v>
      </c>
      <c r="AU1351" s="10" t="s">
        <v>2</v>
      </c>
      <c r="AV1351" s="10" t="s">
        <v>3</v>
      </c>
    </row>
    <row r="1352" spans="1:49" x14ac:dyDescent="0.3">
      <c r="A1352" s="6" t="s">
        <v>2104</v>
      </c>
      <c r="B1352" s="10" t="s">
        <v>81</v>
      </c>
      <c r="D1352" s="40" t="s">
        <v>2161</v>
      </c>
      <c r="E1352" s="10">
        <v>2009</v>
      </c>
      <c r="F1352" t="s">
        <v>2661</v>
      </c>
      <c r="G1352" s="10" t="s">
        <v>6</v>
      </c>
      <c r="H1352" s="10" t="s">
        <v>217</v>
      </c>
      <c r="I1352" s="10" t="s">
        <v>2163</v>
      </c>
      <c r="J1352" s="10" t="s">
        <v>2162</v>
      </c>
      <c r="K1352" s="26">
        <v>3</v>
      </c>
      <c r="L1352" s="26">
        <v>3</v>
      </c>
      <c r="N1352">
        <v>22.04</v>
      </c>
      <c r="P1352">
        <v>23.47</v>
      </c>
      <c r="W1352">
        <v>11.72</v>
      </c>
      <c r="Y1352">
        <v>15.41</v>
      </c>
      <c r="AD1352" s="3">
        <f t="shared" si="171"/>
        <v>0.53176043557168784</v>
      </c>
      <c r="AE1352" s="3">
        <f t="shared" si="172"/>
        <v>0.65658287175117169</v>
      </c>
      <c r="AI1352" s="3">
        <f t="shared" si="173"/>
        <v>1.1883433073228595</v>
      </c>
      <c r="AL1352" s="3"/>
      <c r="AO1352" s="3"/>
      <c r="AP1352" s="3"/>
      <c r="AQ1352">
        <v>0</v>
      </c>
      <c r="AR1352" t="s">
        <v>308</v>
      </c>
      <c r="AS1352" t="s">
        <v>2</v>
      </c>
      <c r="AT1352" t="s">
        <v>3</v>
      </c>
      <c r="AU1352" s="10" t="s">
        <v>2</v>
      </c>
      <c r="AV1352" s="10" t="s">
        <v>3</v>
      </c>
    </row>
    <row r="1353" spans="1:49" x14ac:dyDescent="0.3">
      <c r="A1353" s="6" t="s">
        <v>2104</v>
      </c>
      <c r="B1353" s="10" t="s">
        <v>81</v>
      </c>
      <c r="D1353" s="40" t="s">
        <v>2161</v>
      </c>
      <c r="E1353" s="10">
        <v>2009</v>
      </c>
      <c r="F1353" t="s">
        <v>2661</v>
      </c>
      <c r="G1353" s="10" t="s">
        <v>6</v>
      </c>
      <c r="H1353" s="10" t="s">
        <v>217</v>
      </c>
      <c r="I1353" s="10" t="s">
        <v>1787</v>
      </c>
      <c r="J1353" s="10" t="s">
        <v>2162</v>
      </c>
      <c r="K1353" s="26">
        <v>3</v>
      </c>
      <c r="L1353" s="26">
        <v>3</v>
      </c>
      <c r="N1353">
        <v>22.04</v>
      </c>
      <c r="P1353">
        <v>23.47</v>
      </c>
      <c r="W1353">
        <v>14.02</v>
      </c>
      <c r="Y1353">
        <v>14.64</v>
      </c>
      <c r="AD1353" s="3">
        <f t="shared" si="171"/>
        <v>0.63611615245009079</v>
      </c>
      <c r="AE1353" s="3">
        <f t="shared" si="172"/>
        <v>0.62377503195568818</v>
      </c>
      <c r="AI1353" s="3">
        <f t="shared" si="173"/>
        <v>1.259891184405779</v>
      </c>
      <c r="AL1353" s="3"/>
      <c r="AO1353" s="3"/>
      <c r="AP1353" s="3"/>
      <c r="AQ1353">
        <v>0</v>
      </c>
      <c r="AR1353" t="s">
        <v>308</v>
      </c>
      <c r="AS1353" t="s">
        <v>2</v>
      </c>
      <c r="AT1353" t="s">
        <v>3</v>
      </c>
      <c r="AU1353" s="10" t="s">
        <v>2</v>
      </c>
      <c r="AV1353" s="10" t="s">
        <v>3</v>
      </c>
    </row>
    <row r="1354" spans="1:49" x14ac:dyDescent="0.3">
      <c r="A1354" s="6" t="s">
        <v>2104</v>
      </c>
      <c r="B1354" s="10" t="s">
        <v>81</v>
      </c>
      <c r="D1354" s="40" t="s">
        <v>2161</v>
      </c>
      <c r="E1354" s="10">
        <v>2009</v>
      </c>
      <c r="F1354" t="s">
        <v>2661</v>
      </c>
      <c r="G1354" s="10" t="s">
        <v>6</v>
      </c>
      <c r="H1354" s="10" t="s">
        <v>217</v>
      </c>
      <c r="I1354" s="10" t="s">
        <v>2164</v>
      </c>
      <c r="J1354" s="10" t="s">
        <v>2162</v>
      </c>
      <c r="K1354" s="26">
        <v>3</v>
      </c>
      <c r="L1354" s="26">
        <v>3</v>
      </c>
      <c r="N1354">
        <v>22.04</v>
      </c>
      <c r="P1354">
        <v>23.47</v>
      </c>
      <c r="W1354">
        <v>15.73</v>
      </c>
      <c r="Y1354">
        <v>12.25</v>
      </c>
      <c r="AD1354" s="3">
        <f t="shared" si="171"/>
        <v>0.7137023593466425</v>
      </c>
      <c r="AE1354" s="3">
        <f t="shared" si="172"/>
        <v>0.52194290583723901</v>
      </c>
      <c r="AI1354" s="3">
        <f t="shared" si="173"/>
        <v>1.2356452651838814</v>
      </c>
      <c r="AL1354" s="3"/>
      <c r="AO1354" s="3"/>
      <c r="AP1354" s="3"/>
      <c r="AQ1354">
        <v>0</v>
      </c>
      <c r="AR1354" t="s">
        <v>308</v>
      </c>
      <c r="AS1354" t="s">
        <v>2</v>
      </c>
      <c r="AT1354" t="s">
        <v>3</v>
      </c>
      <c r="AU1354" s="10" t="s">
        <v>2</v>
      </c>
      <c r="AV1354" s="10" t="s">
        <v>3</v>
      </c>
    </row>
    <row r="1355" spans="1:49" x14ac:dyDescent="0.3">
      <c r="A1355" s="6" t="s">
        <v>2166</v>
      </c>
      <c r="B1355" s="10" t="s">
        <v>504</v>
      </c>
      <c r="C1355" s="40" t="s">
        <v>2169</v>
      </c>
      <c r="D1355" s="40" t="s">
        <v>2170</v>
      </c>
      <c r="E1355" s="10">
        <v>2019</v>
      </c>
      <c r="F1355" t="s">
        <v>2661</v>
      </c>
      <c r="G1355" s="10" t="s">
        <v>34</v>
      </c>
      <c r="H1355" s="10" t="s">
        <v>217</v>
      </c>
      <c r="I1355" s="10" t="s">
        <v>2171</v>
      </c>
      <c r="J1355" s="10" t="s">
        <v>725</v>
      </c>
      <c r="K1355" s="26">
        <v>4</v>
      </c>
      <c r="L1355" s="26">
        <v>4</v>
      </c>
      <c r="AI1355">
        <v>1.1599999999999999</v>
      </c>
      <c r="AL1355" s="3"/>
      <c r="AO1355" s="3"/>
      <c r="AP1355" s="3"/>
      <c r="AS1355" t="s">
        <v>2</v>
      </c>
      <c r="AU1355" s="10" t="s">
        <v>2</v>
      </c>
      <c r="AV1355" s="10" t="s">
        <v>3</v>
      </c>
      <c r="AW1355" t="s">
        <v>2177</v>
      </c>
    </row>
    <row r="1356" spans="1:49" x14ac:dyDescent="0.3">
      <c r="A1356" s="6" t="s">
        <v>2166</v>
      </c>
      <c r="B1356" s="10" t="s">
        <v>504</v>
      </c>
      <c r="C1356" s="40" t="s">
        <v>2169</v>
      </c>
      <c r="D1356" s="40" t="s">
        <v>2170</v>
      </c>
      <c r="E1356" s="10">
        <v>2019</v>
      </c>
      <c r="F1356" t="s">
        <v>2661</v>
      </c>
      <c r="G1356" s="10" t="s">
        <v>34</v>
      </c>
      <c r="H1356" s="10" t="s">
        <v>217</v>
      </c>
      <c r="I1356" s="10" t="s">
        <v>2172</v>
      </c>
      <c r="J1356" s="10" t="s">
        <v>725</v>
      </c>
      <c r="K1356" s="26">
        <v>4</v>
      </c>
      <c r="L1356" s="26">
        <v>4</v>
      </c>
      <c r="AI1356">
        <v>1.08</v>
      </c>
      <c r="AL1356" s="3"/>
      <c r="AO1356" s="3"/>
      <c r="AP1356" s="3"/>
      <c r="AS1356" t="s">
        <v>2</v>
      </c>
      <c r="AU1356" s="10" t="s">
        <v>2</v>
      </c>
      <c r="AV1356" s="10" t="s">
        <v>3</v>
      </c>
      <c r="AW1356" t="s">
        <v>2177</v>
      </c>
    </row>
    <row r="1357" spans="1:49" x14ac:dyDescent="0.3">
      <c r="A1357" s="6" t="s">
        <v>2166</v>
      </c>
      <c r="B1357" s="10" t="s">
        <v>504</v>
      </c>
      <c r="C1357" s="40" t="s">
        <v>2169</v>
      </c>
      <c r="D1357" s="40" t="s">
        <v>2170</v>
      </c>
      <c r="E1357" s="10">
        <v>2019</v>
      </c>
      <c r="F1357" t="s">
        <v>2661</v>
      </c>
      <c r="G1357" s="10" t="s">
        <v>22</v>
      </c>
      <c r="H1357" s="10" t="s">
        <v>217</v>
      </c>
      <c r="I1357" s="10" t="s">
        <v>2171</v>
      </c>
      <c r="J1357" s="10" t="s">
        <v>2173</v>
      </c>
      <c r="K1357" s="26">
        <v>4</v>
      </c>
      <c r="L1357" s="26">
        <v>4</v>
      </c>
      <c r="AI1357">
        <v>0.87</v>
      </c>
      <c r="AL1357" s="3"/>
      <c r="AO1357" s="3"/>
      <c r="AP1357" s="3"/>
      <c r="AS1357" t="s">
        <v>2</v>
      </c>
      <c r="AU1357" s="10" t="s">
        <v>2</v>
      </c>
      <c r="AV1357" s="10" t="s">
        <v>3</v>
      </c>
      <c r="AW1357" t="s">
        <v>2177</v>
      </c>
    </row>
    <row r="1358" spans="1:49" x14ac:dyDescent="0.3">
      <c r="A1358" s="6" t="s">
        <v>2166</v>
      </c>
      <c r="B1358" s="10" t="s">
        <v>504</v>
      </c>
      <c r="C1358" s="40" t="s">
        <v>2169</v>
      </c>
      <c r="D1358" s="40" t="s">
        <v>2170</v>
      </c>
      <c r="E1358" s="10">
        <v>2019</v>
      </c>
      <c r="F1358" t="s">
        <v>2661</v>
      </c>
      <c r="G1358" s="10" t="s">
        <v>22</v>
      </c>
      <c r="H1358" s="10" t="s">
        <v>217</v>
      </c>
      <c r="I1358" s="10" t="s">
        <v>2172</v>
      </c>
      <c r="J1358" s="10" t="s">
        <v>2173</v>
      </c>
      <c r="K1358" s="26">
        <v>4</v>
      </c>
      <c r="L1358" s="26">
        <v>4</v>
      </c>
      <c r="AI1358">
        <v>0.93</v>
      </c>
      <c r="AL1358" s="3"/>
      <c r="AO1358" s="3"/>
      <c r="AP1358" s="3"/>
      <c r="AS1358" t="s">
        <v>2</v>
      </c>
      <c r="AU1358" s="10" t="s">
        <v>2</v>
      </c>
      <c r="AV1358" s="10" t="s">
        <v>3</v>
      </c>
      <c r="AW1358" t="s">
        <v>2177</v>
      </c>
    </row>
    <row r="1359" spans="1:49" x14ac:dyDescent="0.3">
      <c r="A1359" s="6" t="s">
        <v>2166</v>
      </c>
      <c r="B1359" s="10" t="s">
        <v>504</v>
      </c>
      <c r="C1359" s="40" t="s">
        <v>2169</v>
      </c>
      <c r="D1359" s="40" t="s">
        <v>2170</v>
      </c>
      <c r="E1359" s="10">
        <v>2019</v>
      </c>
      <c r="F1359" t="s">
        <v>2661</v>
      </c>
      <c r="G1359" s="10" t="s">
        <v>34</v>
      </c>
      <c r="H1359" s="10" t="s">
        <v>217</v>
      </c>
      <c r="I1359" s="10" t="s">
        <v>2171</v>
      </c>
      <c r="J1359" s="10" t="s">
        <v>2174</v>
      </c>
      <c r="K1359" s="26">
        <v>4</v>
      </c>
      <c r="L1359" s="26">
        <v>4</v>
      </c>
      <c r="AI1359">
        <v>1.04</v>
      </c>
      <c r="AL1359" s="3"/>
      <c r="AO1359" s="3"/>
      <c r="AP1359" s="3"/>
      <c r="AS1359" t="s">
        <v>2</v>
      </c>
      <c r="AU1359" s="10" t="s">
        <v>2</v>
      </c>
      <c r="AV1359" s="10" t="s">
        <v>3</v>
      </c>
      <c r="AW1359" t="s">
        <v>2177</v>
      </c>
    </row>
    <row r="1360" spans="1:49" x14ac:dyDescent="0.3">
      <c r="A1360" s="6" t="s">
        <v>2166</v>
      </c>
      <c r="B1360" s="10" t="s">
        <v>504</v>
      </c>
      <c r="C1360" s="40" t="s">
        <v>2169</v>
      </c>
      <c r="D1360" s="40" t="s">
        <v>2170</v>
      </c>
      <c r="E1360" s="10">
        <v>2019</v>
      </c>
      <c r="F1360" t="s">
        <v>2661</v>
      </c>
      <c r="G1360" s="10" t="s">
        <v>34</v>
      </c>
      <c r="H1360" s="10" t="s">
        <v>217</v>
      </c>
      <c r="I1360" s="10" t="s">
        <v>2172</v>
      </c>
      <c r="J1360" s="10" t="s">
        <v>2174</v>
      </c>
      <c r="K1360" s="26">
        <v>4</v>
      </c>
      <c r="L1360" s="26">
        <v>4</v>
      </c>
      <c r="AI1360">
        <v>0.97</v>
      </c>
      <c r="AL1360" s="3"/>
      <c r="AO1360" s="3"/>
      <c r="AP1360" s="3"/>
      <c r="AS1360" t="s">
        <v>2</v>
      </c>
      <c r="AU1360" s="10" t="s">
        <v>2</v>
      </c>
      <c r="AV1360" s="10" t="s">
        <v>3</v>
      </c>
      <c r="AW1360" t="s">
        <v>2177</v>
      </c>
    </row>
    <row r="1361" spans="1:49" x14ac:dyDescent="0.3">
      <c r="A1361" s="6" t="s">
        <v>2166</v>
      </c>
      <c r="B1361" s="10" t="s">
        <v>504</v>
      </c>
      <c r="C1361" s="40" t="s">
        <v>2169</v>
      </c>
      <c r="D1361" s="40" t="s">
        <v>2170</v>
      </c>
      <c r="E1361" s="10">
        <v>2019</v>
      </c>
      <c r="F1361" t="s">
        <v>2661</v>
      </c>
      <c r="G1361" s="10" t="s">
        <v>34</v>
      </c>
      <c r="H1361" s="10" t="s">
        <v>217</v>
      </c>
      <c r="I1361" s="10" t="s">
        <v>2175</v>
      </c>
      <c r="J1361" s="10" t="s">
        <v>725</v>
      </c>
      <c r="K1361" s="26">
        <v>4</v>
      </c>
      <c r="L1361" s="26">
        <v>4</v>
      </c>
      <c r="AI1361">
        <v>1.17</v>
      </c>
      <c r="AL1361" s="3"/>
      <c r="AO1361" s="3"/>
      <c r="AP1361" s="3"/>
      <c r="AS1361" t="s">
        <v>2</v>
      </c>
      <c r="AU1361" s="10" t="s">
        <v>2</v>
      </c>
      <c r="AV1361" s="10" t="s">
        <v>3</v>
      </c>
      <c r="AW1361" t="s">
        <v>2177</v>
      </c>
    </row>
    <row r="1362" spans="1:49" x14ac:dyDescent="0.3">
      <c r="A1362" s="6" t="s">
        <v>2166</v>
      </c>
      <c r="B1362" s="10" t="s">
        <v>504</v>
      </c>
      <c r="C1362" s="40" t="s">
        <v>2169</v>
      </c>
      <c r="D1362" s="40" t="s">
        <v>2170</v>
      </c>
      <c r="E1362" s="10">
        <v>2019</v>
      </c>
      <c r="F1362" t="s">
        <v>2661</v>
      </c>
      <c r="G1362" s="10" t="s">
        <v>34</v>
      </c>
      <c r="H1362" s="10" t="s">
        <v>217</v>
      </c>
      <c r="I1362" s="10" t="s">
        <v>2176</v>
      </c>
      <c r="J1362" s="10" t="s">
        <v>725</v>
      </c>
      <c r="K1362" s="26">
        <v>4</v>
      </c>
      <c r="L1362" s="26">
        <v>4</v>
      </c>
      <c r="AI1362">
        <v>1.1399999999999999</v>
      </c>
      <c r="AL1362" s="3"/>
      <c r="AO1362" s="3"/>
      <c r="AP1362" s="3"/>
      <c r="AS1362" t="s">
        <v>2</v>
      </c>
      <c r="AU1362" s="10" t="s">
        <v>2</v>
      </c>
      <c r="AV1362" s="10" t="s">
        <v>3</v>
      </c>
      <c r="AW1362" t="s">
        <v>2177</v>
      </c>
    </row>
    <row r="1363" spans="1:49" x14ac:dyDescent="0.3">
      <c r="A1363" s="6" t="s">
        <v>2166</v>
      </c>
      <c r="B1363" s="10" t="s">
        <v>504</v>
      </c>
      <c r="C1363" s="40" t="s">
        <v>2169</v>
      </c>
      <c r="D1363" s="40" t="s">
        <v>2170</v>
      </c>
      <c r="E1363" s="10">
        <v>2019</v>
      </c>
      <c r="F1363" t="s">
        <v>2661</v>
      </c>
      <c r="G1363" s="10" t="s">
        <v>22</v>
      </c>
      <c r="H1363" s="10" t="s">
        <v>217</v>
      </c>
      <c r="I1363" s="10" t="s">
        <v>2175</v>
      </c>
      <c r="J1363" s="10" t="s">
        <v>2173</v>
      </c>
      <c r="K1363" s="26">
        <v>4</v>
      </c>
      <c r="L1363" s="26">
        <v>4</v>
      </c>
      <c r="AI1363">
        <v>0.94</v>
      </c>
      <c r="AL1363" s="3"/>
      <c r="AO1363" s="3"/>
      <c r="AP1363" s="3"/>
      <c r="AS1363" t="s">
        <v>2</v>
      </c>
      <c r="AU1363" s="10" t="s">
        <v>2</v>
      </c>
      <c r="AV1363" s="10" t="s">
        <v>3</v>
      </c>
      <c r="AW1363" t="s">
        <v>2177</v>
      </c>
    </row>
    <row r="1364" spans="1:49" x14ac:dyDescent="0.3">
      <c r="A1364" s="6" t="s">
        <v>2166</v>
      </c>
      <c r="B1364" s="10" t="s">
        <v>504</v>
      </c>
      <c r="C1364" s="40" t="s">
        <v>2169</v>
      </c>
      <c r="D1364" s="40" t="s">
        <v>2170</v>
      </c>
      <c r="E1364" s="10">
        <v>2019</v>
      </c>
      <c r="F1364" t="s">
        <v>2661</v>
      </c>
      <c r="G1364" s="10" t="s">
        <v>22</v>
      </c>
      <c r="H1364" s="10" t="s">
        <v>217</v>
      </c>
      <c r="I1364" s="10" t="s">
        <v>2176</v>
      </c>
      <c r="J1364" s="10" t="s">
        <v>2173</v>
      </c>
      <c r="K1364" s="26">
        <v>4</v>
      </c>
      <c r="L1364" s="26">
        <v>4</v>
      </c>
      <c r="AI1364">
        <v>0.93</v>
      </c>
      <c r="AL1364" s="3"/>
      <c r="AO1364" s="3"/>
      <c r="AP1364" s="3"/>
      <c r="AS1364" t="s">
        <v>2</v>
      </c>
      <c r="AU1364" s="10" t="s">
        <v>2</v>
      </c>
      <c r="AV1364" s="10" t="s">
        <v>3</v>
      </c>
      <c r="AW1364" t="s">
        <v>2177</v>
      </c>
    </row>
    <row r="1365" spans="1:49" x14ac:dyDescent="0.3">
      <c r="A1365" s="6" t="s">
        <v>2166</v>
      </c>
      <c r="B1365" s="10" t="s">
        <v>504</v>
      </c>
      <c r="C1365" s="40" t="s">
        <v>2169</v>
      </c>
      <c r="D1365" s="40" t="s">
        <v>2170</v>
      </c>
      <c r="E1365" s="10">
        <v>2019</v>
      </c>
      <c r="F1365" t="s">
        <v>2661</v>
      </c>
      <c r="G1365" s="10" t="s">
        <v>34</v>
      </c>
      <c r="H1365" s="10" t="s">
        <v>217</v>
      </c>
      <c r="I1365" s="10" t="s">
        <v>2175</v>
      </c>
      <c r="J1365" s="10" t="s">
        <v>2174</v>
      </c>
      <c r="K1365" s="26">
        <v>4</v>
      </c>
      <c r="L1365" s="26">
        <v>4</v>
      </c>
      <c r="AI1365">
        <v>1.02</v>
      </c>
      <c r="AL1365" s="3"/>
      <c r="AO1365" s="3"/>
      <c r="AP1365" s="3"/>
      <c r="AS1365" t="s">
        <v>2</v>
      </c>
      <c r="AU1365" s="10" t="s">
        <v>2</v>
      </c>
      <c r="AV1365" s="10" t="s">
        <v>3</v>
      </c>
      <c r="AW1365" t="s">
        <v>2177</v>
      </c>
    </row>
    <row r="1366" spans="1:49" x14ac:dyDescent="0.3">
      <c r="A1366" s="6" t="s">
        <v>2166</v>
      </c>
      <c r="B1366" s="10" t="s">
        <v>504</v>
      </c>
      <c r="C1366" s="40" t="s">
        <v>2169</v>
      </c>
      <c r="D1366" s="40" t="s">
        <v>2170</v>
      </c>
      <c r="E1366" s="10">
        <v>2019</v>
      </c>
      <c r="F1366" t="s">
        <v>2661</v>
      </c>
      <c r="G1366" s="10" t="s">
        <v>34</v>
      </c>
      <c r="H1366" s="10" t="s">
        <v>217</v>
      </c>
      <c r="I1366" s="10" t="s">
        <v>2176</v>
      </c>
      <c r="J1366" s="10" t="s">
        <v>2174</v>
      </c>
      <c r="K1366" s="26">
        <v>4</v>
      </c>
      <c r="L1366" s="26">
        <v>4</v>
      </c>
      <c r="AI1366">
        <v>1.1100000000000001</v>
      </c>
      <c r="AL1366" s="3"/>
      <c r="AO1366" s="3"/>
      <c r="AP1366" s="3"/>
      <c r="AS1366" t="s">
        <v>2</v>
      </c>
      <c r="AU1366" s="10" t="s">
        <v>2</v>
      </c>
      <c r="AV1366" s="10" t="s">
        <v>3</v>
      </c>
      <c r="AW1366" t="s">
        <v>2177</v>
      </c>
    </row>
    <row r="1367" spans="1:49" x14ac:dyDescent="0.3">
      <c r="A1367" s="6" t="s">
        <v>2190</v>
      </c>
      <c r="B1367" s="10" t="s">
        <v>185</v>
      </c>
      <c r="C1367" s="40" t="s">
        <v>2191</v>
      </c>
      <c r="D1367" t="s">
        <v>2192</v>
      </c>
      <c r="E1367" s="10">
        <v>1999</v>
      </c>
      <c r="F1367" t="s">
        <v>2661</v>
      </c>
      <c r="G1367" s="10" t="s">
        <v>34</v>
      </c>
      <c r="H1367" s="10" t="s">
        <v>17</v>
      </c>
      <c r="J1367" s="10" t="s">
        <v>2193</v>
      </c>
      <c r="K1367" s="26">
        <v>4</v>
      </c>
      <c r="L1367" s="26">
        <v>4</v>
      </c>
      <c r="N1367" s="26">
        <v>2.83</v>
      </c>
      <c r="W1367">
        <v>3.73</v>
      </c>
      <c r="AD1367" s="3">
        <f t="shared" ref="AD1367:AD1406" si="174">W1367/N1367</f>
        <v>1.3180212014134276</v>
      </c>
      <c r="AI1367" s="3">
        <f>AD1367</f>
        <v>1.3180212014134276</v>
      </c>
      <c r="AL1367" s="3"/>
      <c r="AO1367" s="3"/>
      <c r="AP1367" s="3"/>
      <c r="AU1367" s="10" t="s">
        <v>2</v>
      </c>
      <c r="AV1367" s="10" t="s">
        <v>2023</v>
      </c>
    </row>
    <row r="1368" spans="1:49" x14ac:dyDescent="0.3">
      <c r="A1368" s="6" t="s">
        <v>2190</v>
      </c>
      <c r="B1368" s="10" t="s">
        <v>185</v>
      </c>
      <c r="C1368" s="40" t="s">
        <v>2191</v>
      </c>
      <c r="D1368" t="s">
        <v>2192</v>
      </c>
      <c r="E1368" s="10">
        <v>2000</v>
      </c>
      <c r="F1368" t="s">
        <v>2661</v>
      </c>
      <c r="G1368" s="10" t="s">
        <v>34</v>
      </c>
      <c r="H1368" s="10" t="s">
        <v>17</v>
      </c>
      <c r="J1368" s="10" t="s">
        <v>2193</v>
      </c>
      <c r="K1368" s="26">
        <v>4</v>
      </c>
      <c r="L1368" s="26">
        <v>4</v>
      </c>
      <c r="N1368" s="26">
        <v>2.42</v>
      </c>
      <c r="W1368">
        <v>2.86</v>
      </c>
      <c r="AD1368" s="3">
        <f t="shared" si="174"/>
        <v>1.1818181818181819</v>
      </c>
      <c r="AI1368" s="3">
        <f t="shared" ref="AI1368:AI1407" si="175">AD1368</f>
        <v>1.1818181818181819</v>
      </c>
      <c r="AL1368" s="3"/>
      <c r="AO1368" s="3"/>
      <c r="AP1368" s="3"/>
      <c r="AU1368" s="10" t="s">
        <v>2</v>
      </c>
      <c r="AV1368" s="10" t="s">
        <v>2023</v>
      </c>
    </row>
    <row r="1369" spans="1:49" x14ac:dyDescent="0.3">
      <c r="A1369" s="6" t="s">
        <v>2190</v>
      </c>
      <c r="B1369" s="10" t="s">
        <v>185</v>
      </c>
      <c r="C1369" s="40" t="s">
        <v>2191</v>
      </c>
      <c r="D1369" t="s">
        <v>2192</v>
      </c>
      <c r="E1369" s="10">
        <v>1999</v>
      </c>
      <c r="F1369" t="s">
        <v>2661</v>
      </c>
      <c r="G1369" s="10" t="s">
        <v>34</v>
      </c>
      <c r="H1369" s="10" t="s">
        <v>17</v>
      </c>
      <c r="J1369" s="10" t="s">
        <v>2194</v>
      </c>
      <c r="K1369" s="26">
        <v>4</v>
      </c>
      <c r="L1369" s="26">
        <v>4</v>
      </c>
      <c r="N1369" s="26">
        <v>2.83</v>
      </c>
      <c r="W1369">
        <v>3.96</v>
      </c>
      <c r="AD1369" s="3">
        <f t="shared" si="174"/>
        <v>1.3992932862190812</v>
      </c>
      <c r="AI1369" s="3">
        <f t="shared" si="175"/>
        <v>1.3992932862190812</v>
      </c>
      <c r="AL1369" s="3"/>
      <c r="AO1369" s="3"/>
      <c r="AP1369" s="3"/>
      <c r="AU1369" s="10" t="s">
        <v>2</v>
      </c>
      <c r="AV1369" s="10" t="s">
        <v>2023</v>
      </c>
    </row>
    <row r="1370" spans="1:49" x14ac:dyDescent="0.3">
      <c r="A1370" s="6" t="s">
        <v>2190</v>
      </c>
      <c r="B1370" s="10" t="s">
        <v>185</v>
      </c>
      <c r="C1370" s="40" t="s">
        <v>2191</v>
      </c>
      <c r="D1370" t="s">
        <v>2192</v>
      </c>
      <c r="E1370" s="10">
        <v>2000</v>
      </c>
      <c r="F1370" t="s">
        <v>2661</v>
      </c>
      <c r="G1370" s="10" t="s">
        <v>34</v>
      </c>
      <c r="H1370" s="10" t="s">
        <v>17</v>
      </c>
      <c r="J1370" s="10" t="s">
        <v>2194</v>
      </c>
      <c r="K1370" s="26">
        <v>4</v>
      </c>
      <c r="L1370" s="26">
        <v>4</v>
      </c>
      <c r="N1370" s="26">
        <v>2.42</v>
      </c>
      <c r="W1370">
        <v>2.93</v>
      </c>
      <c r="AD1370" s="3">
        <f t="shared" si="174"/>
        <v>1.2107438016528926</v>
      </c>
      <c r="AI1370" s="3">
        <f t="shared" si="175"/>
        <v>1.2107438016528926</v>
      </c>
      <c r="AL1370" s="3"/>
      <c r="AO1370" s="3"/>
      <c r="AP1370" s="3"/>
      <c r="AU1370" s="10" t="s">
        <v>2</v>
      </c>
      <c r="AV1370" s="10" t="s">
        <v>2023</v>
      </c>
    </row>
    <row r="1371" spans="1:49" x14ac:dyDescent="0.3">
      <c r="A1371" s="6" t="s">
        <v>2190</v>
      </c>
      <c r="B1371" s="10" t="s">
        <v>185</v>
      </c>
      <c r="C1371" s="40" t="s">
        <v>2191</v>
      </c>
      <c r="D1371" t="s">
        <v>2192</v>
      </c>
      <c r="E1371" s="10">
        <v>1999</v>
      </c>
      <c r="F1371" t="s">
        <v>2661</v>
      </c>
      <c r="G1371" s="10" t="s">
        <v>34</v>
      </c>
      <c r="H1371" s="10" t="s">
        <v>17</v>
      </c>
      <c r="J1371" s="10" t="s">
        <v>2195</v>
      </c>
      <c r="K1371" s="26">
        <v>4</v>
      </c>
      <c r="L1371" s="26">
        <v>4</v>
      </c>
      <c r="N1371" s="26">
        <v>2.83</v>
      </c>
      <c r="W1371">
        <v>2.92</v>
      </c>
      <c r="AD1371" s="3">
        <f t="shared" si="174"/>
        <v>1.0318021201413428</v>
      </c>
      <c r="AI1371" s="3">
        <f t="shared" si="175"/>
        <v>1.0318021201413428</v>
      </c>
      <c r="AL1371" s="3"/>
      <c r="AO1371" s="3"/>
      <c r="AP1371" s="3"/>
      <c r="AU1371" s="10" t="s">
        <v>2</v>
      </c>
      <c r="AV1371" s="10" t="s">
        <v>2023</v>
      </c>
    </row>
    <row r="1372" spans="1:49" x14ac:dyDescent="0.3">
      <c r="A1372" s="6" t="s">
        <v>2190</v>
      </c>
      <c r="B1372" s="10" t="s">
        <v>185</v>
      </c>
      <c r="C1372" s="40" t="s">
        <v>2191</v>
      </c>
      <c r="D1372" t="s">
        <v>2192</v>
      </c>
      <c r="E1372" s="10">
        <v>2000</v>
      </c>
      <c r="F1372" t="s">
        <v>2661</v>
      </c>
      <c r="G1372" s="10" t="s">
        <v>34</v>
      </c>
      <c r="H1372" s="10" t="s">
        <v>17</v>
      </c>
      <c r="J1372" s="10" t="s">
        <v>2195</v>
      </c>
      <c r="K1372" s="26">
        <v>4</v>
      </c>
      <c r="L1372" s="26">
        <v>4</v>
      </c>
      <c r="N1372" s="26">
        <v>2.42</v>
      </c>
      <c r="W1372">
        <v>2.98</v>
      </c>
      <c r="AD1372" s="3">
        <f t="shared" si="174"/>
        <v>1.2314049586776861</v>
      </c>
      <c r="AI1372" s="3">
        <f t="shared" si="175"/>
        <v>1.2314049586776861</v>
      </c>
      <c r="AL1372" s="3"/>
      <c r="AO1372" s="3"/>
      <c r="AP1372" s="3"/>
      <c r="AU1372" s="10" t="s">
        <v>2</v>
      </c>
      <c r="AV1372" s="10" t="s">
        <v>2023</v>
      </c>
    </row>
    <row r="1373" spans="1:49" x14ac:dyDescent="0.3">
      <c r="A1373" s="6" t="s">
        <v>2220</v>
      </c>
      <c r="B1373" s="10" t="s">
        <v>131</v>
      </c>
      <c r="D1373" t="s">
        <v>911</v>
      </c>
      <c r="E1373" s="10">
        <v>1998</v>
      </c>
      <c r="F1373" t="s">
        <v>2661</v>
      </c>
      <c r="G1373" s="10" t="s">
        <v>2221</v>
      </c>
      <c r="H1373" s="10" t="s">
        <v>17</v>
      </c>
      <c r="J1373" s="10" t="s">
        <v>2222</v>
      </c>
      <c r="K1373" s="26">
        <v>4</v>
      </c>
      <c r="L1373" s="26">
        <v>4</v>
      </c>
      <c r="N1373" s="26">
        <v>5315</v>
      </c>
      <c r="W1373">
        <v>5913</v>
      </c>
      <c r="AD1373" s="3">
        <f t="shared" si="174"/>
        <v>1.1125117591721543</v>
      </c>
      <c r="AI1373" s="3">
        <f t="shared" si="175"/>
        <v>1.1125117591721543</v>
      </c>
      <c r="AL1373" s="3"/>
      <c r="AO1373" s="3"/>
      <c r="AP1373" s="3"/>
      <c r="AU1373" s="10" t="s">
        <v>2</v>
      </c>
      <c r="AV1373" s="10" t="s">
        <v>2023</v>
      </c>
      <c r="AW1373" t="s">
        <v>1627</v>
      </c>
    </row>
    <row r="1374" spans="1:49" x14ac:dyDescent="0.3">
      <c r="A1374" s="6" t="s">
        <v>2220</v>
      </c>
      <c r="B1374" s="10" t="s">
        <v>131</v>
      </c>
      <c r="D1374" t="s">
        <v>911</v>
      </c>
      <c r="E1374" s="10">
        <v>1998</v>
      </c>
      <c r="F1374" t="s">
        <v>2661</v>
      </c>
      <c r="G1374" s="10" t="s">
        <v>2221</v>
      </c>
      <c r="H1374" s="10" t="s">
        <v>17</v>
      </c>
      <c r="J1374" s="10" t="s">
        <v>2223</v>
      </c>
      <c r="K1374" s="26">
        <v>4</v>
      </c>
      <c r="L1374" s="26">
        <v>4</v>
      </c>
      <c r="N1374" s="26">
        <v>5315</v>
      </c>
      <c r="W1374">
        <v>6869</v>
      </c>
      <c r="AD1374" s="3">
        <f t="shared" si="174"/>
        <v>1.2923800564440264</v>
      </c>
      <c r="AI1374" s="3">
        <f t="shared" si="175"/>
        <v>1.2923800564440264</v>
      </c>
      <c r="AL1374" s="3"/>
      <c r="AO1374" s="3"/>
      <c r="AP1374" s="3"/>
      <c r="AU1374" s="10" t="s">
        <v>2</v>
      </c>
      <c r="AV1374" s="10" t="s">
        <v>2023</v>
      </c>
      <c r="AW1374" t="s">
        <v>1627</v>
      </c>
    </row>
    <row r="1375" spans="1:49" x14ac:dyDescent="0.3">
      <c r="A1375" s="6" t="s">
        <v>2220</v>
      </c>
      <c r="B1375" s="10" t="s">
        <v>131</v>
      </c>
      <c r="D1375" t="s">
        <v>911</v>
      </c>
      <c r="E1375" s="10">
        <v>1998</v>
      </c>
      <c r="F1375" t="s">
        <v>2661</v>
      </c>
      <c r="G1375" s="10" t="s">
        <v>2221</v>
      </c>
      <c r="H1375" s="10" t="s">
        <v>17</v>
      </c>
      <c r="J1375" s="10" t="s">
        <v>2224</v>
      </c>
      <c r="K1375" s="26">
        <v>4</v>
      </c>
      <c r="L1375" s="26">
        <v>4</v>
      </c>
      <c r="N1375" s="26">
        <v>5315</v>
      </c>
      <c r="W1375">
        <v>6500</v>
      </c>
      <c r="AD1375" s="3">
        <f t="shared" si="174"/>
        <v>1.2229539040451551</v>
      </c>
      <c r="AI1375" s="3">
        <f t="shared" si="175"/>
        <v>1.2229539040451551</v>
      </c>
      <c r="AL1375" s="3"/>
      <c r="AO1375" s="3"/>
      <c r="AP1375" s="3"/>
      <c r="AU1375" s="10" t="s">
        <v>2</v>
      </c>
      <c r="AV1375" s="10" t="s">
        <v>2023</v>
      </c>
      <c r="AW1375" t="s">
        <v>1627</v>
      </c>
    </row>
    <row r="1376" spans="1:49" x14ac:dyDescent="0.3">
      <c r="A1376" s="6" t="s">
        <v>2220</v>
      </c>
      <c r="B1376" s="10" t="s">
        <v>131</v>
      </c>
      <c r="D1376" t="s">
        <v>911</v>
      </c>
      <c r="E1376" s="10">
        <v>1999</v>
      </c>
      <c r="F1376" t="s">
        <v>2661</v>
      </c>
      <c r="G1376" s="10" t="s">
        <v>2221</v>
      </c>
      <c r="H1376" s="10" t="s">
        <v>17</v>
      </c>
      <c r="J1376" s="10" t="s">
        <v>2222</v>
      </c>
      <c r="K1376" s="26">
        <v>4</v>
      </c>
      <c r="L1376" s="26">
        <v>4</v>
      </c>
      <c r="N1376" s="26">
        <v>5076</v>
      </c>
      <c r="W1376">
        <v>5717</v>
      </c>
      <c r="AD1376" s="3">
        <f t="shared" si="174"/>
        <v>1.1262805358550039</v>
      </c>
      <c r="AI1376" s="3">
        <f t="shared" si="175"/>
        <v>1.1262805358550039</v>
      </c>
      <c r="AL1376" s="3"/>
      <c r="AO1376" s="3"/>
      <c r="AP1376" s="3"/>
      <c r="AU1376" s="10" t="s">
        <v>2</v>
      </c>
      <c r="AV1376" s="10" t="s">
        <v>2023</v>
      </c>
      <c r="AW1376" t="s">
        <v>1627</v>
      </c>
    </row>
    <row r="1377" spans="1:49" x14ac:dyDescent="0.3">
      <c r="A1377" s="6" t="s">
        <v>2220</v>
      </c>
      <c r="B1377" s="10" t="s">
        <v>131</v>
      </c>
      <c r="D1377" t="s">
        <v>911</v>
      </c>
      <c r="E1377" s="10">
        <v>1999</v>
      </c>
      <c r="F1377" t="s">
        <v>2661</v>
      </c>
      <c r="G1377" s="10" t="s">
        <v>2221</v>
      </c>
      <c r="H1377" s="10" t="s">
        <v>17</v>
      </c>
      <c r="J1377" s="10" t="s">
        <v>2223</v>
      </c>
      <c r="K1377" s="26">
        <v>4</v>
      </c>
      <c r="L1377" s="26">
        <v>4</v>
      </c>
      <c r="N1377" s="26">
        <v>5076</v>
      </c>
      <c r="W1377">
        <v>6630</v>
      </c>
      <c r="AD1377" s="3">
        <f t="shared" si="174"/>
        <v>1.3061465721040189</v>
      </c>
      <c r="AI1377" s="3">
        <f t="shared" si="175"/>
        <v>1.3061465721040189</v>
      </c>
      <c r="AL1377" s="3"/>
      <c r="AO1377" s="3"/>
      <c r="AP1377" s="3"/>
      <c r="AU1377" s="10" t="s">
        <v>2</v>
      </c>
      <c r="AV1377" s="10" t="s">
        <v>2023</v>
      </c>
      <c r="AW1377" t="s">
        <v>1627</v>
      </c>
    </row>
    <row r="1378" spans="1:49" x14ac:dyDescent="0.3">
      <c r="A1378" s="6" t="s">
        <v>2220</v>
      </c>
      <c r="B1378" s="10" t="s">
        <v>131</v>
      </c>
      <c r="D1378" t="s">
        <v>911</v>
      </c>
      <c r="E1378" s="10">
        <v>1999</v>
      </c>
      <c r="F1378" t="s">
        <v>2661</v>
      </c>
      <c r="G1378" s="10" t="s">
        <v>2221</v>
      </c>
      <c r="H1378" s="10" t="s">
        <v>17</v>
      </c>
      <c r="J1378" s="10" t="s">
        <v>2224</v>
      </c>
      <c r="K1378" s="26">
        <v>4</v>
      </c>
      <c r="L1378" s="26">
        <v>4</v>
      </c>
      <c r="N1378" s="26">
        <v>5076</v>
      </c>
      <c r="W1378">
        <v>6728</v>
      </c>
      <c r="AD1378" s="3">
        <f t="shared" si="174"/>
        <v>1.3254531126871552</v>
      </c>
      <c r="AI1378" s="3">
        <f t="shared" si="175"/>
        <v>1.3254531126871552</v>
      </c>
      <c r="AL1378" s="3"/>
      <c r="AO1378" s="3"/>
      <c r="AP1378" s="3"/>
      <c r="AU1378" s="10" t="s">
        <v>2</v>
      </c>
      <c r="AV1378" s="10" t="s">
        <v>2023</v>
      </c>
      <c r="AW1378" t="s">
        <v>1627</v>
      </c>
    </row>
    <row r="1379" spans="1:49" x14ac:dyDescent="0.3">
      <c r="A1379" s="6" t="s">
        <v>2220</v>
      </c>
      <c r="B1379" s="10" t="s">
        <v>131</v>
      </c>
      <c r="D1379" t="s">
        <v>902</v>
      </c>
      <c r="E1379" s="10">
        <v>1998</v>
      </c>
      <c r="F1379" t="s">
        <v>2661</v>
      </c>
      <c r="G1379" s="10" t="s">
        <v>2221</v>
      </c>
      <c r="H1379" s="10" t="s">
        <v>17</v>
      </c>
      <c r="J1379" s="10" t="s">
        <v>2222</v>
      </c>
      <c r="K1379" s="26">
        <v>4</v>
      </c>
      <c r="L1379" s="26">
        <v>4</v>
      </c>
      <c r="N1379" s="26">
        <v>2326</v>
      </c>
      <c r="W1379">
        <v>2967</v>
      </c>
      <c r="AD1379" s="3">
        <f t="shared" si="174"/>
        <v>1.2755803955288048</v>
      </c>
      <c r="AI1379" s="3">
        <f t="shared" si="175"/>
        <v>1.2755803955288048</v>
      </c>
      <c r="AL1379" s="3"/>
      <c r="AO1379" s="3"/>
      <c r="AP1379" s="3"/>
      <c r="AU1379" s="10" t="s">
        <v>2</v>
      </c>
      <c r="AV1379" s="10" t="s">
        <v>2023</v>
      </c>
      <c r="AW1379" t="s">
        <v>1627</v>
      </c>
    </row>
    <row r="1380" spans="1:49" x14ac:dyDescent="0.3">
      <c r="A1380" s="6" t="s">
        <v>2220</v>
      </c>
      <c r="B1380" s="10" t="s">
        <v>131</v>
      </c>
      <c r="D1380" t="s">
        <v>902</v>
      </c>
      <c r="E1380" s="10">
        <v>1998</v>
      </c>
      <c r="F1380" t="s">
        <v>2661</v>
      </c>
      <c r="G1380" s="10" t="s">
        <v>2221</v>
      </c>
      <c r="H1380" s="10" t="s">
        <v>17</v>
      </c>
      <c r="J1380" s="10" t="s">
        <v>2223</v>
      </c>
      <c r="K1380" s="26">
        <v>4</v>
      </c>
      <c r="L1380" s="26">
        <v>4</v>
      </c>
      <c r="N1380" s="26">
        <v>2326</v>
      </c>
      <c r="W1380">
        <v>4380</v>
      </c>
      <c r="AD1380" s="3">
        <f t="shared" si="174"/>
        <v>1.8830610490111779</v>
      </c>
      <c r="AI1380" s="3">
        <f t="shared" si="175"/>
        <v>1.8830610490111779</v>
      </c>
      <c r="AL1380" s="3"/>
      <c r="AO1380" s="3"/>
      <c r="AP1380" s="3"/>
      <c r="AU1380" s="10" t="s">
        <v>2</v>
      </c>
      <c r="AV1380" s="10" t="s">
        <v>2023</v>
      </c>
      <c r="AW1380" t="s">
        <v>1627</v>
      </c>
    </row>
    <row r="1381" spans="1:49" x14ac:dyDescent="0.3">
      <c r="A1381" s="6" t="s">
        <v>2220</v>
      </c>
      <c r="B1381" s="10" t="s">
        <v>131</v>
      </c>
      <c r="D1381" t="s">
        <v>902</v>
      </c>
      <c r="E1381" s="10">
        <v>1999</v>
      </c>
      <c r="F1381" t="s">
        <v>2661</v>
      </c>
      <c r="G1381" s="10" t="s">
        <v>2221</v>
      </c>
      <c r="H1381" s="10" t="s">
        <v>17</v>
      </c>
      <c r="J1381" s="10" t="s">
        <v>2222</v>
      </c>
      <c r="K1381" s="26">
        <v>4</v>
      </c>
      <c r="L1381" s="26">
        <v>4</v>
      </c>
      <c r="N1381" s="26">
        <v>1902</v>
      </c>
      <c r="W1381">
        <v>2685</v>
      </c>
      <c r="AD1381" s="3">
        <f t="shared" si="174"/>
        <v>1.4116719242902209</v>
      </c>
      <c r="AI1381" s="3">
        <f t="shared" si="175"/>
        <v>1.4116719242902209</v>
      </c>
      <c r="AL1381" s="3"/>
      <c r="AO1381" s="3"/>
      <c r="AP1381" s="3"/>
      <c r="AU1381" s="10" t="s">
        <v>2</v>
      </c>
      <c r="AV1381" s="10" t="s">
        <v>2023</v>
      </c>
      <c r="AW1381" t="s">
        <v>1627</v>
      </c>
    </row>
    <row r="1382" spans="1:49" x14ac:dyDescent="0.3">
      <c r="A1382" s="6" t="s">
        <v>2220</v>
      </c>
      <c r="B1382" s="10" t="s">
        <v>131</v>
      </c>
      <c r="D1382" t="s">
        <v>902</v>
      </c>
      <c r="E1382" s="10">
        <v>1999</v>
      </c>
      <c r="F1382" t="s">
        <v>2661</v>
      </c>
      <c r="G1382" s="10" t="s">
        <v>2221</v>
      </c>
      <c r="H1382" s="10" t="s">
        <v>17</v>
      </c>
      <c r="J1382" s="10" t="s">
        <v>2223</v>
      </c>
      <c r="K1382" s="26">
        <v>4</v>
      </c>
      <c r="L1382" s="26">
        <v>4</v>
      </c>
      <c r="N1382" s="26">
        <v>1902</v>
      </c>
      <c r="W1382">
        <v>4011</v>
      </c>
      <c r="AD1382" s="3">
        <f t="shared" si="174"/>
        <v>2.1088328075709781</v>
      </c>
      <c r="AI1382" s="3">
        <f t="shared" si="175"/>
        <v>2.1088328075709781</v>
      </c>
      <c r="AL1382" s="3"/>
      <c r="AO1382" s="3"/>
      <c r="AP1382" s="3"/>
      <c r="AU1382" s="10" t="s">
        <v>2</v>
      </c>
      <c r="AV1382" s="10" t="s">
        <v>2023</v>
      </c>
      <c r="AW1382" t="s">
        <v>1627</v>
      </c>
    </row>
    <row r="1383" spans="1:49" x14ac:dyDescent="0.3">
      <c r="A1383" s="6" t="s">
        <v>2225</v>
      </c>
      <c r="B1383" s="10" t="s">
        <v>131</v>
      </c>
      <c r="C1383" t="s">
        <v>133</v>
      </c>
      <c r="D1383" t="s">
        <v>2226</v>
      </c>
      <c r="E1383" s="10">
        <v>2004</v>
      </c>
      <c r="F1383" t="s">
        <v>2661</v>
      </c>
      <c r="G1383" s="10" t="s">
        <v>34</v>
      </c>
      <c r="H1383" s="10" t="s">
        <v>17</v>
      </c>
      <c r="I1383" t="s">
        <v>925</v>
      </c>
      <c r="J1383" s="10" t="s">
        <v>2227</v>
      </c>
      <c r="K1383" s="26">
        <v>6</v>
      </c>
      <c r="L1383" s="26">
        <v>6</v>
      </c>
      <c r="N1383" s="26">
        <v>1.3</v>
      </c>
      <c r="W1383">
        <v>5.6</v>
      </c>
      <c r="AD1383" s="3">
        <f t="shared" si="174"/>
        <v>4.3076923076923075</v>
      </c>
      <c r="AI1383" s="3">
        <f t="shared" si="175"/>
        <v>4.3076923076923075</v>
      </c>
      <c r="AL1383" s="3"/>
      <c r="AO1383" s="3"/>
      <c r="AP1383" s="3"/>
      <c r="AQ1383">
        <v>0</v>
      </c>
      <c r="AR1383" t="s">
        <v>308</v>
      </c>
      <c r="AU1383" s="10" t="s">
        <v>2</v>
      </c>
      <c r="AV1383" s="10" t="s">
        <v>3</v>
      </c>
    </row>
    <row r="1384" spans="1:49" x14ac:dyDescent="0.3">
      <c r="A1384" s="6" t="s">
        <v>2225</v>
      </c>
      <c r="B1384" s="10" t="s">
        <v>131</v>
      </c>
      <c r="C1384" t="s">
        <v>133</v>
      </c>
      <c r="D1384" t="s">
        <v>2226</v>
      </c>
      <c r="E1384" s="10">
        <v>2004</v>
      </c>
      <c r="F1384" t="s">
        <v>2661</v>
      </c>
      <c r="G1384" s="10" t="s">
        <v>34</v>
      </c>
      <c r="H1384" s="10" t="s">
        <v>17</v>
      </c>
      <c r="I1384" t="s">
        <v>1654</v>
      </c>
      <c r="J1384" s="10" t="s">
        <v>2227</v>
      </c>
      <c r="K1384" s="26">
        <v>6</v>
      </c>
      <c r="L1384" s="26">
        <v>6</v>
      </c>
      <c r="N1384" s="26">
        <v>2.2000000000000002</v>
      </c>
      <c r="W1384">
        <v>6.6</v>
      </c>
      <c r="AD1384" s="3">
        <f t="shared" si="174"/>
        <v>2.9999999999999996</v>
      </c>
      <c r="AI1384" s="3">
        <f t="shared" si="175"/>
        <v>2.9999999999999996</v>
      </c>
      <c r="AL1384" s="3"/>
      <c r="AO1384" s="3"/>
      <c r="AP1384" s="3"/>
      <c r="AQ1384">
        <v>120</v>
      </c>
      <c r="AR1384" t="s">
        <v>14</v>
      </c>
      <c r="AU1384" s="10" t="s">
        <v>2</v>
      </c>
      <c r="AV1384" s="10" t="s">
        <v>3</v>
      </c>
    </row>
    <row r="1385" spans="1:49" x14ac:dyDescent="0.3">
      <c r="A1385" s="6" t="s">
        <v>2225</v>
      </c>
      <c r="B1385" s="10" t="s">
        <v>131</v>
      </c>
      <c r="C1385" t="s">
        <v>133</v>
      </c>
      <c r="D1385" t="s">
        <v>2226</v>
      </c>
      <c r="E1385" s="10">
        <v>2005</v>
      </c>
      <c r="F1385" t="s">
        <v>2661</v>
      </c>
      <c r="G1385" s="10" t="s">
        <v>34</v>
      </c>
      <c r="H1385" s="10" t="s">
        <v>17</v>
      </c>
      <c r="I1385" t="s">
        <v>925</v>
      </c>
      <c r="J1385" s="10" t="s">
        <v>2227</v>
      </c>
      <c r="K1385" s="26">
        <v>6</v>
      </c>
      <c r="L1385" s="26">
        <v>6</v>
      </c>
      <c r="N1385" s="26">
        <v>1.2</v>
      </c>
      <c r="W1385">
        <v>5.5</v>
      </c>
      <c r="AD1385" s="3">
        <f t="shared" si="174"/>
        <v>4.5833333333333339</v>
      </c>
      <c r="AI1385" s="3">
        <f t="shared" si="175"/>
        <v>4.5833333333333339</v>
      </c>
      <c r="AL1385" s="3"/>
      <c r="AO1385" s="3"/>
      <c r="AP1385" s="3"/>
      <c r="AQ1385">
        <v>0</v>
      </c>
      <c r="AR1385" t="s">
        <v>308</v>
      </c>
      <c r="AU1385" s="10" t="s">
        <v>2</v>
      </c>
      <c r="AV1385" s="10" t="s">
        <v>3</v>
      </c>
    </row>
    <row r="1386" spans="1:49" x14ac:dyDescent="0.3">
      <c r="A1386" s="6" t="s">
        <v>2225</v>
      </c>
      <c r="B1386" s="10" t="s">
        <v>131</v>
      </c>
      <c r="C1386" t="s">
        <v>133</v>
      </c>
      <c r="D1386" t="s">
        <v>2226</v>
      </c>
      <c r="E1386" s="10">
        <v>2005</v>
      </c>
      <c r="F1386" t="s">
        <v>2661</v>
      </c>
      <c r="G1386" s="10" t="s">
        <v>34</v>
      </c>
      <c r="H1386" s="10" t="s">
        <v>17</v>
      </c>
      <c r="I1386" t="s">
        <v>1654</v>
      </c>
      <c r="J1386" s="10" t="s">
        <v>2227</v>
      </c>
      <c r="K1386" s="26">
        <v>6</v>
      </c>
      <c r="L1386" s="26">
        <v>6</v>
      </c>
      <c r="N1386" s="26">
        <v>2.2999999999999998</v>
      </c>
      <c r="W1386">
        <v>5.4</v>
      </c>
      <c r="AD1386" s="3">
        <f t="shared" si="174"/>
        <v>2.347826086956522</v>
      </c>
      <c r="AI1386" s="3">
        <f t="shared" si="175"/>
        <v>2.347826086956522</v>
      </c>
      <c r="AL1386" s="3"/>
      <c r="AO1386" s="3"/>
      <c r="AP1386" s="3"/>
      <c r="AQ1386">
        <v>120</v>
      </c>
      <c r="AR1386" t="s">
        <v>14</v>
      </c>
      <c r="AU1386" s="10" t="s">
        <v>2</v>
      </c>
      <c r="AV1386" s="10" t="s">
        <v>3</v>
      </c>
    </row>
    <row r="1387" spans="1:49" x14ac:dyDescent="0.3">
      <c r="A1387" s="6" t="s">
        <v>2225</v>
      </c>
      <c r="B1387" s="10" t="s">
        <v>131</v>
      </c>
      <c r="C1387" t="s">
        <v>133</v>
      </c>
      <c r="D1387" t="s">
        <v>2226</v>
      </c>
      <c r="E1387" s="10">
        <v>2005</v>
      </c>
      <c r="F1387" t="s">
        <v>2661</v>
      </c>
      <c r="G1387" s="10" t="s">
        <v>34</v>
      </c>
      <c r="H1387" s="10" t="s">
        <v>17</v>
      </c>
      <c r="I1387" t="s">
        <v>925</v>
      </c>
      <c r="J1387" s="10" t="s">
        <v>2227</v>
      </c>
      <c r="K1387" s="26">
        <v>6</v>
      </c>
      <c r="L1387" s="26">
        <v>6</v>
      </c>
      <c r="N1387" s="26">
        <v>1.3</v>
      </c>
      <c r="W1387">
        <v>5.3</v>
      </c>
      <c r="AD1387" s="3">
        <f t="shared" si="174"/>
        <v>4.0769230769230766</v>
      </c>
      <c r="AI1387" s="3">
        <f t="shared" si="175"/>
        <v>4.0769230769230766</v>
      </c>
      <c r="AL1387" s="3"/>
      <c r="AO1387" s="3"/>
      <c r="AP1387" s="3"/>
      <c r="AQ1387">
        <v>0</v>
      </c>
      <c r="AR1387" t="s">
        <v>308</v>
      </c>
      <c r="AU1387" s="10" t="s">
        <v>2</v>
      </c>
      <c r="AV1387" s="10" t="s">
        <v>3</v>
      </c>
    </row>
    <row r="1388" spans="1:49" x14ac:dyDescent="0.3">
      <c r="A1388" s="6" t="s">
        <v>2225</v>
      </c>
      <c r="B1388" s="10" t="s">
        <v>131</v>
      </c>
      <c r="C1388" t="s">
        <v>133</v>
      </c>
      <c r="D1388" t="s">
        <v>2226</v>
      </c>
      <c r="E1388" s="10">
        <v>2005</v>
      </c>
      <c r="F1388" t="s">
        <v>2661</v>
      </c>
      <c r="G1388" s="10" t="s">
        <v>34</v>
      </c>
      <c r="H1388" s="10" t="s">
        <v>17</v>
      </c>
      <c r="I1388" t="s">
        <v>1654</v>
      </c>
      <c r="J1388" s="10" t="s">
        <v>2227</v>
      </c>
      <c r="K1388" s="26">
        <v>6</v>
      </c>
      <c r="L1388" s="26">
        <v>6</v>
      </c>
      <c r="N1388" s="26">
        <v>2.1</v>
      </c>
      <c r="W1388">
        <v>5.7</v>
      </c>
      <c r="AD1388" s="3">
        <f t="shared" si="174"/>
        <v>2.7142857142857144</v>
      </c>
      <c r="AI1388" s="3">
        <f t="shared" si="175"/>
        <v>2.7142857142857144</v>
      </c>
      <c r="AL1388" s="3"/>
      <c r="AO1388" s="3"/>
      <c r="AP1388" s="3"/>
      <c r="AQ1388">
        <v>120</v>
      </c>
      <c r="AR1388" t="s">
        <v>14</v>
      </c>
      <c r="AU1388" s="10" t="s">
        <v>2</v>
      </c>
      <c r="AV1388" s="10" t="s">
        <v>3</v>
      </c>
    </row>
    <row r="1389" spans="1:49" x14ac:dyDescent="0.3">
      <c r="A1389" s="6" t="s">
        <v>2225</v>
      </c>
      <c r="B1389" s="10" t="s">
        <v>131</v>
      </c>
      <c r="C1389" t="s">
        <v>133</v>
      </c>
      <c r="D1389" t="s">
        <v>2226</v>
      </c>
      <c r="E1389" s="10">
        <v>2006</v>
      </c>
      <c r="F1389" t="s">
        <v>2661</v>
      </c>
      <c r="G1389" s="10" t="s">
        <v>34</v>
      </c>
      <c r="H1389" s="10" t="s">
        <v>17</v>
      </c>
      <c r="I1389" t="s">
        <v>925</v>
      </c>
      <c r="J1389" s="10" t="s">
        <v>2227</v>
      </c>
      <c r="K1389" s="26">
        <v>6</v>
      </c>
      <c r="L1389" s="26">
        <v>6</v>
      </c>
      <c r="N1389" s="26">
        <v>1.4</v>
      </c>
      <c r="W1389">
        <v>5.4</v>
      </c>
      <c r="AD1389" s="3">
        <f t="shared" si="174"/>
        <v>3.8571428571428577</v>
      </c>
      <c r="AI1389" s="3">
        <f t="shared" si="175"/>
        <v>3.8571428571428577</v>
      </c>
      <c r="AL1389" s="3"/>
      <c r="AO1389" s="3"/>
      <c r="AP1389" s="3"/>
      <c r="AQ1389">
        <v>0</v>
      </c>
      <c r="AR1389" t="s">
        <v>308</v>
      </c>
      <c r="AU1389" s="10" t="s">
        <v>2</v>
      </c>
      <c r="AV1389" s="10" t="s">
        <v>3</v>
      </c>
    </row>
    <row r="1390" spans="1:49" x14ac:dyDescent="0.3">
      <c r="A1390" s="6" t="s">
        <v>2225</v>
      </c>
      <c r="B1390" s="10" t="s">
        <v>131</v>
      </c>
      <c r="C1390" t="s">
        <v>133</v>
      </c>
      <c r="D1390" t="s">
        <v>2226</v>
      </c>
      <c r="E1390" s="10">
        <v>2006</v>
      </c>
      <c r="F1390" t="s">
        <v>2661</v>
      </c>
      <c r="G1390" s="10" t="s">
        <v>34</v>
      </c>
      <c r="H1390" s="10" t="s">
        <v>17</v>
      </c>
      <c r="I1390" t="s">
        <v>1654</v>
      </c>
      <c r="J1390" s="10" t="s">
        <v>2227</v>
      </c>
      <c r="K1390" s="26">
        <v>6</v>
      </c>
      <c r="L1390" s="26">
        <v>6</v>
      </c>
      <c r="N1390" s="26">
        <v>2.1</v>
      </c>
      <c r="W1390">
        <v>5.2</v>
      </c>
      <c r="AD1390" s="3">
        <f t="shared" si="174"/>
        <v>2.4761904761904763</v>
      </c>
      <c r="AI1390" s="3">
        <f t="shared" si="175"/>
        <v>2.4761904761904763</v>
      </c>
      <c r="AL1390" s="3"/>
      <c r="AO1390" s="3"/>
      <c r="AP1390" s="3"/>
      <c r="AQ1390">
        <v>120</v>
      </c>
      <c r="AR1390" t="s">
        <v>14</v>
      </c>
      <c r="AU1390" s="10" t="s">
        <v>2</v>
      </c>
      <c r="AV1390" s="10" t="s">
        <v>3</v>
      </c>
    </row>
    <row r="1391" spans="1:49" x14ac:dyDescent="0.3">
      <c r="A1391" s="6" t="s">
        <v>2225</v>
      </c>
      <c r="B1391" s="10" t="s">
        <v>131</v>
      </c>
      <c r="C1391" t="s">
        <v>133</v>
      </c>
      <c r="D1391" t="s">
        <v>2226</v>
      </c>
      <c r="E1391" s="10">
        <v>2006</v>
      </c>
      <c r="F1391" t="s">
        <v>2661</v>
      </c>
      <c r="G1391" s="10" t="s">
        <v>34</v>
      </c>
      <c r="H1391" s="10" t="s">
        <v>17</v>
      </c>
      <c r="I1391" t="s">
        <v>925</v>
      </c>
      <c r="J1391" s="10" t="s">
        <v>2227</v>
      </c>
      <c r="K1391" s="26">
        <v>6</v>
      </c>
      <c r="L1391" s="26">
        <v>6</v>
      </c>
      <c r="N1391" s="26">
        <v>1.8</v>
      </c>
      <c r="W1391">
        <v>4.7</v>
      </c>
      <c r="AD1391" s="3">
        <f t="shared" si="174"/>
        <v>2.6111111111111112</v>
      </c>
      <c r="AI1391" s="3">
        <f t="shared" si="175"/>
        <v>2.6111111111111112</v>
      </c>
      <c r="AL1391" s="3"/>
      <c r="AO1391" s="3"/>
      <c r="AP1391" s="3"/>
      <c r="AQ1391">
        <v>0</v>
      </c>
      <c r="AR1391" t="s">
        <v>308</v>
      </c>
      <c r="AU1391" s="10" t="s">
        <v>2</v>
      </c>
      <c r="AV1391" s="10" t="s">
        <v>3</v>
      </c>
    </row>
    <row r="1392" spans="1:49" x14ac:dyDescent="0.3">
      <c r="A1392" s="6" t="s">
        <v>2225</v>
      </c>
      <c r="B1392" s="10" t="s">
        <v>131</v>
      </c>
      <c r="C1392" t="s">
        <v>133</v>
      </c>
      <c r="D1392" t="s">
        <v>2226</v>
      </c>
      <c r="E1392" s="10">
        <v>2006</v>
      </c>
      <c r="F1392" t="s">
        <v>2661</v>
      </c>
      <c r="G1392" s="10" t="s">
        <v>34</v>
      </c>
      <c r="H1392" s="10" t="s">
        <v>17</v>
      </c>
      <c r="I1392" t="s">
        <v>1654</v>
      </c>
      <c r="J1392" s="10" t="s">
        <v>2227</v>
      </c>
      <c r="K1392" s="26">
        <v>6</v>
      </c>
      <c r="L1392" s="26">
        <v>6</v>
      </c>
      <c r="N1392" s="26">
        <v>2.6</v>
      </c>
      <c r="W1392">
        <v>5.5</v>
      </c>
      <c r="AD1392" s="3">
        <f t="shared" si="174"/>
        <v>2.1153846153846154</v>
      </c>
      <c r="AI1392" s="3">
        <f t="shared" si="175"/>
        <v>2.1153846153846154</v>
      </c>
      <c r="AL1392" s="3"/>
      <c r="AO1392" s="3"/>
      <c r="AP1392" s="3"/>
      <c r="AQ1392">
        <v>120</v>
      </c>
      <c r="AR1392" t="s">
        <v>14</v>
      </c>
      <c r="AU1392" s="10" t="s">
        <v>2</v>
      </c>
      <c r="AV1392" s="10" t="s">
        <v>3</v>
      </c>
    </row>
    <row r="1393" spans="1:48" x14ac:dyDescent="0.3">
      <c r="A1393" s="6" t="s">
        <v>2225</v>
      </c>
      <c r="B1393" s="10" t="s">
        <v>131</v>
      </c>
      <c r="C1393" t="s">
        <v>133</v>
      </c>
      <c r="D1393" t="s">
        <v>2226</v>
      </c>
      <c r="E1393" s="10">
        <v>2007</v>
      </c>
      <c r="F1393" t="s">
        <v>2661</v>
      </c>
      <c r="G1393" s="10" t="s">
        <v>34</v>
      </c>
      <c r="H1393" s="10" t="s">
        <v>17</v>
      </c>
      <c r="I1393" t="s">
        <v>925</v>
      </c>
      <c r="J1393" s="10" t="s">
        <v>2227</v>
      </c>
      <c r="K1393" s="26">
        <v>6</v>
      </c>
      <c r="L1393" s="26">
        <v>6</v>
      </c>
      <c r="N1393" s="26">
        <v>1.5</v>
      </c>
      <c r="W1393">
        <v>4.9000000000000004</v>
      </c>
      <c r="AD1393" s="3">
        <f t="shared" si="174"/>
        <v>3.2666666666666671</v>
      </c>
      <c r="AI1393" s="3">
        <f t="shared" si="175"/>
        <v>3.2666666666666671</v>
      </c>
      <c r="AL1393" s="3"/>
      <c r="AO1393" s="3"/>
      <c r="AP1393" s="3"/>
      <c r="AQ1393">
        <v>0</v>
      </c>
      <c r="AR1393" t="s">
        <v>308</v>
      </c>
      <c r="AU1393" s="10" t="s">
        <v>2</v>
      </c>
      <c r="AV1393" s="10" t="s">
        <v>3</v>
      </c>
    </row>
    <row r="1394" spans="1:48" x14ac:dyDescent="0.3">
      <c r="A1394" s="6" t="s">
        <v>2225</v>
      </c>
      <c r="B1394" s="10" t="s">
        <v>131</v>
      </c>
      <c r="C1394" t="s">
        <v>133</v>
      </c>
      <c r="D1394" t="s">
        <v>2226</v>
      </c>
      <c r="E1394" s="10">
        <v>2007</v>
      </c>
      <c r="F1394" t="s">
        <v>2661</v>
      </c>
      <c r="G1394" s="10" t="s">
        <v>34</v>
      </c>
      <c r="H1394" s="10" t="s">
        <v>17</v>
      </c>
      <c r="I1394" t="s">
        <v>1654</v>
      </c>
      <c r="J1394" s="10" t="s">
        <v>2227</v>
      </c>
      <c r="K1394" s="26">
        <v>6</v>
      </c>
      <c r="L1394" s="26">
        <v>6</v>
      </c>
      <c r="N1394" s="26">
        <v>2.7</v>
      </c>
      <c r="W1394">
        <v>5.7</v>
      </c>
      <c r="AD1394" s="3">
        <f t="shared" si="174"/>
        <v>2.1111111111111112</v>
      </c>
      <c r="AI1394" s="3">
        <f t="shared" si="175"/>
        <v>2.1111111111111112</v>
      </c>
      <c r="AL1394" s="3"/>
      <c r="AO1394" s="3"/>
      <c r="AP1394" s="3"/>
      <c r="AQ1394">
        <v>120</v>
      </c>
      <c r="AR1394" t="s">
        <v>14</v>
      </c>
      <c r="AU1394" s="10" t="s">
        <v>2</v>
      </c>
      <c r="AV1394" s="10" t="s">
        <v>3</v>
      </c>
    </row>
    <row r="1395" spans="1:48" x14ac:dyDescent="0.3">
      <c r="A1395" s="6" t="s">
        <v>2225</v>
      </c>
      <c r="B1395" s="10" t="s">
        <v>131</v>
      </c>
      <c r="C1395" t="s">
        <v>133</v>
      </c>
      <c r="D1395" t="s">
        <v>2226</v>
      </c>
      <c r="E1395" s="10">
        <v>2007</v>
      </c>
      <c r="F1395" t="s">
        <v>2661</v>
      </c>
      <c r="G1395" s="10" t="s">
        <v>34</v>
      </c>
      <c r="H1395" s="10" t="s">
        <v>17</v>
      </c>
      <c r="I1395" t="s">
        <v>925</v>
      </c>
      <c r="J1395" s="10" t="s">
        <v>2227</v>
      </c>
      <c r="K1395" s="26">
        <v>6</v>
      </c>
      <c r="L1395" s="26">
        <v>6</v>
      </c>
      <c r="N1395" s="26">
        <v>2.5</v>
      </c>
      <c r="W1395">
        <v>5.5</v>
      </c>
      <c r="AD1395" s="3">
        <f t="shared" si="174"/>
        <v>2.2000000000000002</v>
      </c>
      <c r="AI1395" s="3">
        <f t="shared" si="175"/>
        <v>2.2000000000000002</v>
      </c>
      <c r="AL1395" s="3"/>
      <c r="AO1395" s="3"/>
      <c r="AP1395" s="3"/>
      <c r="AQ1395">
        <v>0</v>
      </c>
      <c r="AR1395" t="s">
        <v>308</v>
      </c>
      <c r="AU1395" s="10" t="s">
        <v>2</v>
      </c>
      <c r="AV1395" s="10" t="s">
        <v>3</v>
      </c>
    </row>
    <row r="1396" spans="1:48" x14ac:dyDescent="0.3">
      <c r="A1396" s="6" t="s">
        <v>2225</v>
      </c>
      <c r="B1396" s="10" t="s">
        <v>131</v>
      </c>
      <c r="C1396" t="s">
        <v>133</v>
      </c>
      <c r="D1396" t="s">
        <v>2226</v>
      </c>
      <c r="E1396" s="10">
        <v>2007</v>
      </c>
      <c r="F1396" t="s">
        <v>2661</v>
      </c>
      <c r="G1396" s="10" t="s">
        <v>34</v>
      </c>
      <c r="H1396" s="10" t="s">
        <v>17</v>
      </c>
      <c r="I1396" t="s">
        <v>1654</v>
      </c>
      <c r="J1396" s="10" t="s">
        <v>2227</v>
      </c>
      <c r="K1396" s="26">
        <v>6</v>
      </c>
      <c r="L1396" s="26">
        <v>6</v>
      </c>
      <c r="N1396" s="26">
        <v>2.5</v>
      </c>
      <c r="W1396">
        <v>6.2</v>
      </c>
      <c r="AD1396" s="3">
        <f t="shared" si="174"/>
        <v>2.48</v>
      </c>
      <c r="AI1396" s="3">
        <f t="shared" si="175"/>
        <v>2.48</v>
      </c>
      <c r="AL1396" s="3"/>
      <c r="AO1396" s="3"/>
      <c r="AP1396" s="3"/>
      <c r="AQ1396">
        <v>120</v>
      </c>
      <c r="AR1396" t="s">
        <v>14</v>
      </c>
      <c r="AU1396" s="10" t="s">
        <v>2</v>
      </c>
      <c r="AV1396" s="10" t="s">
        <v>3</v>
      </c>
    </row>
    <row r="1397" spans="1:48" x14ac:dyDescent="0.3">
      <c r="A1397" s="6" t="s">
        <v>2225</v>
      </c>
      <c r="B1397" s="10" t="s">
        <v>131</v>
      </c>
      <c r="C1397" t="s">
        <v>133</v>
      </c>
      <c r="D1397" t="s">
        <v>2226</v>
      </c>
      <c r="E1397" s="10">
        <v>2008</v>
      </c>
      <c r="F1397" t="s">
        <v>2661</v>
      </c>
      <c r="G1397" s="10" t="s">
        <v>34</v>
      </c>
      <c r="H1397" s="10" t="s">
        <v>17</v>
      </c>
      <c r="I1397" t="s">
        <v>925</v>
      </c>
      <c r="J1397" s="10" t="s">
        <v>2227</v>
      </c>
      <c r="K1397" s="26">
        <v>6</v>
      </c>
      <c r="L1397" s="26">
        <v>6</v>
      </c>
      <c r="N1397" s="26">
        <v>1.7</v>
      </c>
      <c r="W1397">
        <v>5.6</v>
      </c>
      <c r="AD1397" s="3">
        <f t="shared" si="174"/>
        <v>3.2941176470588234</v>
      </c>
      <c r="AI1397" s="3">
        <f t="shared" si="175"/>
        <v>3.2941176470588234</v>
      </c>
      <c r="AL1397" s="3"/>
      <c r="AO1397" s="3"/>
      <c r="AP1397" s="3"/>
      <c r="AQ1397">
        <v>0</v>
      </c>
      <c r="AR1397" t="s">
        <v>308</v>
      </c>
      <c r="AU1397" s="10" t="s">
        <v>2</v>
      </c>
      <c r="AV1397" s="10" t="s">
        <v>3</v>
      </c>
    </row>
    <row r="1398" spans="1:48" x14ac:dyDescent="0.3">
      <c r="A1398" s="6" t="s">
        <v>2225</v>
      </c>
      <c r="B1398" s="10" t="s">
        <v>131</v>
      </c>
      <c r="C1398" t="s">
        <v>133</v>
      </c>
      <c r="D1398" t="s">
        <v>2226</v>
      </c>
      <c r="E1398" s="10">
        <v>2008</v>
      </c>
      <c r="F1398" t="s">
        <v>2661</v>
      </c>
      <c r="G1398" s="10" t="s">
        <v>34</v>
      </c>
      <c r="H1398" s="10" t="s">
        <v>17</v>
      </c>
      <c r="I1398" t="s">
        <v>1654</v>
      </c>
      <c r="J1398" s="10" t="s">
        <v>2227</v>
      </c>
      <c r="K1398" s="26">
        <v>6</v>
      </c>
      <c r="L1398" s="26">
        <v>6</v>
      </c>
      <c r="N1398" s="26">
        <v>2.5</v>
      </c>
      <c r="W1398">
        <v>5.5</v>
      </c>
      <c r="AD1398" s="3">
        <f t="shared" si="174"/>
        <v>2.2000000000000002</v>
      </c>
      <c r="AI1398" s="3">
        <f t="shared" si="175"/>
        <v>2.2000000000000002</v>
      </c>
      <c r="AL1398" s="3"/>
      <c r="AO1398" s="3"/>
      <c r="AP1398" s="3"/>
      <c r="AQ1398">
        <v>120</v>
      </c>
      <c r="AR1398" t="s">
        <v>14</v>
      </c>
      <c r="AU1398" s="10" t="s">
        <v>2</v>
      </c>
      <c r="AV1398" s="10" t="s">
        <v>3</v>
      </c>
    </row>
    <row r="1399" spans="1:48" x14ac:dyDescent="0.3">
      <c r="A1399" s="6" t="s">
        <v>2225</v>
      </c>
      <c r="B1399" s="10" t="s">
        <v>131</v>
      </c>
      <c r="C1399" t="s">
        <v>133</v>
      </c>
      <c r="D1399" t="s">
        <v>2226</v>
      </c>
      <c r="E1399" s="10">
        <v>2008</v>
      </c>
      <c r="F1399" t="s">
        <v>2661</v>
      </c>
      <c r="G1399" s="10" t="s">
        <v>34</v>
      </c>
      <c r="H1399" s="10" t="s">
        <v>17</v>
      </c>
      <c r="I1399" t="s">
        <v>925</v>
      </c>
      <c r="J1399" s="10" t="s">
        <v>2227</v>
      </c>
      <c r="K1399" s="26">
        <v>6</v>
      </c>
      <c r="L1399" s="26">
        <v>6</v>
      </c>
      <c r="N1399" s="26">
        <v>1.6</v>
      </c>
      <c r="W1399">
        <v>6</v>
      </c>
      <c r="AD1399" s="3">
        <f t="shared" si="174"/>
        <v>3.75</v>
      </c>
      <c r="AI1399" s="3">
        <f t="shared" si="175"/>
        <v>3.75</v>
      </c>
      <c r="AL1399" s="3"/>
      <c r="AO1399" s="3"/>
      <c r="AP1399" s="3"/>
      <c r="AQ1399">
        <v>0</v>
      </c>
      <c r="AR1399" t="s">
        <v>308</v>
      </c>
      <c r="AU1399" s="10" t="s">
        <v>2</v>
      </c>
      <c r="AV1399" s="10" t="s">
        <v>3</v>
      </c>
    </row>
    <row r="1400" spans="1:48" x14ac:dyDescent="0.3">
      <c r="A1400" s="6" t="s">
        <v>2225</v>
      </c>
      <c r="B1400" s="10" t="s">
        <v>131</v>
      </c>
      <c r="C1400" t="s">
        <v>133</v>
      </c>
      <c r="D1400" t="s">
        <v>2226</v>
      </c>
      <c r="E1400" s="10">
        <v>2008</v>
      </c>
      <c r="F1400" t="s">
        <v>2661</v>
      </c>
      <c r="G1400" s="10" t="s">
        <v>34</v>
      </c>
      <c r="H1400" s="10" t="s">
        <v>17</v>
      </c>
      <c r="I1400" t="s">
        <v>1654</v>
      </c>
      <c r="J1400" s="10" t="s">
        <v>2227</v>
      </c>
      <c r="K1400" s="26">
        <v>6</v>
      </c>
      <c r="L1400" s="26">
        <v>6</v>
      </c>
      <c r="N1400" s="26">
        <v>2.6</v>
      </c>
      <c r="W1400">
        <v>5.6</v>
      </c>
      <c r="AD1400" s="3">
        <f t="shared" si="174"/>
        <v>2.1538461538461537</v>
      </c>
      <c r="AI1400" s="3">
        <f t="shared" si="175"/>
        <v>2.1538461538461537</v>
      </c>
      <c r="AL1400" s="3"/>
      <c r="AO1400" s="3"/>
      <c r="AP1400" s="3"/>
      <c r="AQ1400">
        <v>120</v>
      </c>
      <c r="AR1400" t="s">
        <v>14</v>
      </c>
      <c r="AU1400" s="10" t="s">
        <v>2</v>
      </c>
      <c r="AV1400" s="10" t="s">
        <v>3</v>
      </c>
    </row>
    <row r="1401" spans="1:48" x14ac:dyDescent="0.3">
      <c r="A1401" s="6" t="s">
        <v>2225</v>
      </c>
      <c r="B1401" s="10" t="s">
        <v>131</v>
      </c>
      <c r="C1401" t="s">
        <v>133</v>
      </c>
      <c r="D1401" t="s">
        <v>2226</v>
      </c>
      <c r="E1401" s="10">
        <v>2009</v>
      </c>
      <c r="F1401" t="s">
        <v>2661</v>
      </c>
      <c r="G1401" s="10" t="s">
        <v>34</v>
      </c>
      <c r="H1401" s="10" t="s">
        <v>17</v>
      </c>
      <c r="I1401" t="s">
        <v>925</v>
      </c>
      <c r="J1401" s="10" t="s">
        <v>2227</v>
      </c>
      <c r="K1401" s="26">
        <v>6</v>
      </c>
      <c r="L1401" s="26">
        <v>6</v>
      </c>
      <c r="N1401" s="26">
        <v>1.4</v>
      </c>
      <c r="W1401">
        <v>4.5</v>
      </c>
      <c r="AD1401" s="3">
        <f t="shared" si="174"/>
        <v>3.2142857142857144</v>
      </c>
      <c r="AI1401" s="3">
        <f t="shared" si="175"/>
        <v>3.2142857142857144</v>
      </c>
      <c r="AL1401" s="3"/>
      <c r="AO1401" s="3"/>
      <c r="AP1401" s="3"/>
      <c r="AQ1401">
        <v>0</v>
      </c>
      <c r="AR1401" t="s">
        <v>308</v>
      </c>
      <c r="AU1401" s="10" t="s">
        <v>2</v>
      </c>
      <c r="AV1401" s="10" t="s">
        <v>3</v>
      </c>
    </row>
    <row r="1402" spans="1:48" x14ac:dyDescent="0.3">
      <c r="A1402" s="6" t="s">
        <v>2225</v>
      </c>
      <c r="B1402" s="10" t="s">
        <v>131</v>
      </c>
      <c r="C1402" t="s">
        <v>133</v>
      </c>
      <c r="D1402" t="s">
        <v>2226</v>
      </c>
      <c r="E1402" s="10">
        <v>2009</v>
      </c>
      <c r="F1402" t="s">
        <v>2661</v>
      </c>
      <c r="G1402" s="10" t="s">
        <v>34</v>
      </c>
      <c r="H1402" s="10" t="s">
        <v>17</v>
      </c>
      <c r="I1402" t="s">
        <v>1654</v>
      </c>
      <c r="J1402" s="10" t="s">
        <v>2227</v>
      </c>
      <c r="K1402" s="26">
        <v>6</v>
      </c>
      <c r="L1402" s="26">
        <v>6</v>
      </c>
      <c r="N1402" s="26">
        <v>2.2000000000000002</v>
      </c>
      <c r="W1402">
        <v>5.3</v>
      </c>
      <c r="AD1402" s="3">
        <f t="shared" si="174"/>
        <v>2.4090909090909087</v>
      </c>
      <c r="AI1402" s="3">
        <f t="shared" si="175"/>
        <v>2.4090909090909087</v>
      </c>
      <c r="AL1402" s="3"/>
      <c r="AO1402" s="3"/>
      <c r="AP1402" s="3"/>
      <c r="AQ1402">
        <v>120</v>
      </c>
      <c r="AR1402" t="s">
        <v>14</v>
      </c>
      <c r="AU1402" s="10" t="s">
        <v>2</v>
      </c>
      <c r="AV1402" s="10" t="s">
        <v>3</v>
      </c>
    </row>
    <row r="1403" spans="1:48" x14ac:dyDescent="0.3">
      <c r="A1403" s="6" t="s">
        <v>2225</v>
      </c>
      <c r="B1403" s="10" t="s">
        <v>131</v>
      </c>
      <c r="C1403" t="s">
        <v>133</v>
      </c>
      <c r="D1403" t="s">
        <v>2226</v>
      </c>
      <c r="E1403" s="10">
        <v>2009</v>
      </c>
      <c r="F1403" t="s">
        <v>2661</v>
      </c>
      <c r="G1403" s="10" t="s">
        <v>34</v>
      </c>
      <c r="H1403" s="10" t="s">
        <v>17</v>
      </c>
      <c r="I1403" t="s">
        <v>925</v>
      </c>
      <c r="J1403" s="10" t="s">
        <v>2227</v>
      </c>
      <c r="K1403" s="26">
        <v>6</v>
      </c>
      <c r="L1403" s="26">
        <v>6</v>
      </c>
      <c r="N1403" s="26">
        <v>1.6</v>
      </c>
      <c r="W1403">
        <v>5.3</v>
      </c>
      <c r="AD1403" s="3">
        <f t="shared" si="174"/>
        <v>3.3124999999999996</v>
      </c>
      <c r="AI1403" s="3">
        <f t="shared" si="175"/>
        <v>3.3124999999999996</v>
      </c>
      <c r="AL1403" s="3"/>
      <c r="AO1403" s="3"/>
      <c r="AP1403" s="3"/>
      <c r="AQ1403">
        <v>0</v>
      </c>
      <c r="AR1403" t="s">
        <v>308</v>
      </c>
      <c r="AU1403" s="10" t="s">
        <v>2</v>
      </c>
      <c r="AV1403" s="10" t="s">
        <v>3</v>
      </c>
    </row>
    <row r="1404" spans="1:48" x14ac:dyDescent="0.3">
      <c r="A1404" s="6" t="s">
        <v>2225</v>
      </c>
      <c r="B1404" s="10" t="s">
        <v>131</v>
      </c>
      <c r="C1404" t="s">
        <v>133</v>
      </c>
      <c r="D1404" t="s">
        <v>2226</v>
      </c>
      <c r="E1404" s="10">
        <v>2009</v>
      </c>
      <c r="F1404" t="s">
        <v>2661</v>
      </c>
      <c r="G1404" s="10" t="s">
        <v>34</v>
      </c>
      <c r="H1404" s="10" t="s">
        <v>17</v>
      </c>
      <c r="I1404" t="s">
        <v>1654</v>
      </c>
      <c r="J1404" s="10" t="s">
        <v>2227</v>
      </c>
      <c r="K1404" s="26">
        <v>6</v>
      </c>
      <c r="L1404" s="26">
        <v>6</v>
      </c>
      <c r="N1404" s="26">
        <v>2.4</v>
      </c>
      <c r="W1404">
        <v>4.9000000000000004</v>
      </c>
      <c r="AD1404" s="3">
        <f t="shared" si="174"/>
        <v>2.041666666666667</v>
      </c>
      <c r="AI1404" s="3">
        <f t="shared" si="175"/>
        <v>2.041666666666667</v>
      </c>
      <c r="AL1404" s="3"/>
      <c r="AO1404" s="3"/>
      <c r="AP1404" s="3"/>
      <c r="AQ1404">
        <v>120</v>
      </c>
      <c r="AR1404" t="s">
        <v>14</v>
      </c>
      <c r="AU1404" s="10" t="s">
        <v>2</v>
      </c>
      <c r="AV1404" s="10" t="s">
        <v>3</v>
      </c>
    </row>
    <row r="1405" spans="1:48" x14ac:dyDescent="0.3">
      <c r="A1405" s="6" t="s">
        <v>2225</v>
      </c>
      <c r="B1405" s="10" t="s">
        <v>131</v>
      </c>
      <c r="C1405" t="s">
        <v>133</v>
      </c>
      <c r="D1405" t="s">
        <v>2226</v>
      </c>
      <c r="E1405" s="10">
        <v>2010</v>
      </c>
      <c r="F1405" t="s">
        <v>2661</v>
      </c>
      <c r="G1405" s="10" t="s">
        <v>34</v>
      </c>
      <c r="H1405" s="10" t="s">
        <v>17</v>
      </c>
      <c r="I1405" t="s">
        <v>925</v>
      </c>
      <c r="J1405" s="10" t="s">
        <v>2227</v>
      </c>
      <c r="K1405" s="26">
        <v>6</v>
      </c>
      <c r="L1405" s="26">
        <v>6</v>
      </c>
      <c r="N1405" s="26">
        <v>1.5</v>
      </c>
      <c r="W1405">
        <v>5.8</v>
      </c>
      <c r="AD1405" s="3">
        <f t="shared" si="174"/>
        <v>3.8666666666666667</v>
      </c>
      <c r="AI1405" s="3">
        <f t="shared" si="175"/>
        <v>3.8666666666666667</v>
      </c>
      <c r="AL1405" s="3"/>
      <c r="AO1405" s="3"/>
      <c r="AP1405" s="3"/>
      <c r="AQ1405">
        <v>0</v>
      </c>
      <c r="AR1405" t="s">
        <v>308</v>
      </c>
      <c r="AU1405" s="10" t="s">
        <v>2</v>
      </c>
      <c r="AV1405" s="10" t="s">
        <v>3</v>
      </c>
    </row>
    <row r="1406" spans="1:48" x14ac:dyDescent="0.3">
      <c r="A1406" s="6" t="s">
        <v>2225</v>
      </c>
      <c r="B1406" s="10" t="s">
        <v>131</v>
      </c>
      <c r="C1406" t="s">
        <v>133</v>
      </c>
      <c r="D1406" t="s">
        <v>2226</v>
      </c>
      <c r="E1406" s="10">
        <v>2010</v>
      </c>
      <c r="F1406" t="s">
        <v>2661</v>
      </c>
      <c r="G1406" s="10" t="s">
        <v>34</v>
      </c>
      <c r="H1406" s="10" t="s">
        <v>17</v>
      </c>
      <c r="I1406" t="s">
        <v>1654</v>
      </c>
      <c r="J1406" s="10" t="s">
        <v>2227</v>
      </c>
      <c r="K1406" s="26">
        <v>6</v>
      </c>
      <c r="L1406" s="26">
        <v>6</v>
      </c>
      <c r="N1406" s="26">
        <v>2.2000000000000002</v>
      </c>
      <c r="W1406">
        <v>5.9</v>
      </c>
      <c r="AD1406" s="3">
        <f t="shared" si="174"/>
        <v>2.6818181818181817</v>
      </c>
      <c r="AI1406" s="3">
        <f t="shared" si="175"/>
        <v>2.6818181818181817</v>
      </c>
      <c r="AL1406" s="3"/>
      <c r="AO1406" s="3"/>
      <c r="AP1406" s="3"/>
      <c r="AQ1406">
        <v>120</v>
      </c>
      <c r="AR1406" t="s">
        <v>14</v>
      </c>
      <c r="AU1406" s="10" t="s">
        <v>2</v>
      </c>
      <c r="AV1406" s="10" t="s">
        <v>3</v>
      </c>
    </row>
    <row r="1407" spans="1:48" x14ac:dyDescent="0.3">
      <c r="A1407" s="6" t="s">
        <v>2228</v>
      </c>
      <c r="B1407" s="10" t="s">
        <v>2229</v>
      </c>
      <c r="D1407" t="s">
        <v>2230</v>
      </c>
      <c r="E1407" s="10">
        <v>2014</v>
      </c>
      <c r="F1407" t="s">
        <v>2661</v>
      </c>
      <c r="G1407" s="10" t="s">
        <v>2221</v>
      </c>
      <c r="H1407" s="10" t="s">
        <v>17</v>
      </c>
      <c r="J1407" s="10" t="s">
        <v>2231</v>
      </c>
      <c r="K1407" s="26">
        <v>65</v>
      </c>
      <c r="L1407" s="26">
        <v>65</v>
      </c>
      <c r="AD1407" s="3">
        <v>2.5</v>
      </c>
      <c r="AI1407" s="3">
        <f t="shared" si="175"/>
        <v>2.5</v>
      </c>
      <c r="AL1407" s="3"/>
      <c r="AO1407" s="3"/>
      <c r="AP1407" s="3"/>
      <c r="AQ1407">
        <v>60</v>
      </c>
      <c r="AR1407" t="s">
        <v>14</v>
      </c>
      <c r="AU1407" s="10" t="s">
        <v>2</v>
      </c>
      <c r="AV1407" s="10" t="s">
        <v>2023</v>
      </c>
    </row>
    <row r="1408" spans="1:48" x14ac:dyDescent="0.3">
      <c r="A1408" s="6" t="s">
        <v>248</v>
      </c>
      <c r="B1408" s="10" t="s">
        <v>131</v>
      </c>
      <c r="D1408" t="s">
        <v>2232</v>
      </c>
      <c r="E1408" s="10">
        <v>2006</v>
      </c>
      <c r="F1408" t="s">
        <v>2661</v>
      </c>
      <c r="G1408" s="10" t="s">
        <v>2237</v>
      </c>
      <c r="H1408" s="10" t="s">
        <v>17</v>
      </c>
      <c r="I1408" t="s">
        <v>2233</v>
      </c>
      <c r="J1408" s="10" t="s">
        <v>201</v>
      </c>
      <c r="K1408" s="26">
        <v>4</v>
      </c>
      <c r="L1408" s="26">
        <v>4</v>
      </c>
      <c r="N1408" s="26">
        <v>1149</v>
      </c>
      <c r="W1408">
        <v>2361</v>
      </c>
      <c r="AD1408" s="3">
        <f t="shared" ref="AD1408:AD1422" si="176">W1408/N1408</f>
        <v>2.0548302872062663</v>
      </c>
      <c r="AI1408" s="3">
        <f>AD1408</f>
        <v>2.0548302872062663</v>
      </c>
      <c r="AL1408" s="3"/>
      <c r="AO1408" s="3"/>
      <c r="AP1408" s="3"/>
      <c r="AU1408" s="10" t="s">
        <v>2</v>
      </c>
      <c r="AV1408" s="10" t="s">
        <v>2023</v>
      </c>
    </row>
    <row r="1409" spans="1:48" x14ac:dyDescent="0.3">
      <c r="A1409" s="6" t="s">
        <v>248</v>
      </c>
      <c r="B1409" s="10" t="s">
        <v>131</v>
      </c>
      <c r="D1409" t="s">
        <v>2232</v>
      </c>
      <c r="E1409" s="10">
        <v>2006</v>
      </c>
      <c r="F1409" t="s">
        <v>2661</v>
      </c>
      <c r="G1409" s="10" t="s">
        <v>2237</v>
      </c>
      <c r="H1409" s="10" t="s">
        <v>17</v>
      </c>
      <c r="I1409" t="s">
        <v>2234</v>
      </c>
      <c r="J1409" s="10" t="s">
        <v>201</v>
      </c>
      <c r="K1409" s="26">
        <v>4</v>
      </c>
      <c r="L1409" s="26">
        <v>4</v>
      </c>
      <c r="N1409" s="26">
        <v>1149</v>
      </c>
      <c r="W1409">
        <v>1596</v>
      </c>
      <c r="AD1409" s="3">
        <f t="shared" si="176"/>
        <v>1.3890339425587468</v>
      </c>
      <c r="AI1409" s="3">
        <f t="shared" ref="AI1409:AI1426" si="177">AD1409</f>
        <v>1.3890339425587468</v>
      </c>
      <c r="AL1409" s="3"/>
      <c r="AO1409" s="3"/>
      <c r="AP1409" s="3"/>
      <c r="AU1409" s="10" t="s">
        <v>2</v>
      </c>
      <c r="AV1409" s="10" t="s">
        <v>2023</v>
      </c>
    </row>
    <row r="1410" spans="1:48" x14ac:dyDescent="0.3">
      <c r="A1410" s="6" t="s">
        <v>248</v>
      </c>
      <c r="B1410" s="10" t="s">
        <v>131</v>
      </c>
      <c r="D1410" t="s">
        <v>2232</v>
      </c>
      <c r="E1410" s="10">
        <v>2006</v>
      </c>
      <c r="F1410" t="s">
        <v>2661</v>
      </c>
      <c r="G1410" s="10" t="s">
        <v>2237</v>
      </c>
      <c r="H1410" s="10" t="s">
        <v>17</v>
      </c>
      <c r="I1410" t="s">
        <v>2235</v>
      </c>
      <c r="J1410" s="10" t="s">
        <v>201</v>
      </c>
      <c r="K1410" s="26">
        <v>4</v>
      </c>
      <c r="L1410" s="26">
        <v>4</v>
      </c>
      <c r="N1410" s="26">
        <v>1149</v>
      </c>
      <c r="W1410">
        <v>2160</v>
      </c>
      <c r="AD1410" s="3">
        <f t="shared" si="176"/>
        <v>1.8798955613577024</v>
      </c>
      <c r="AI1410" s="3">
        <f t="shared" si="177"/>
        <v>1.8798955613577024</v>
      </c>
      <c r="AL1410" s="3"/>
      <c r="AO1410" s="3"/>
      <c r="AP1410" s="3"/>
      <c r="AU1410" s="10" t="s">
        <v>2</v>
      </c>
      <c r="AV1410" s="10" t="s">
        <v>2023</v>
      </c>
    </row>
    <row r="1411" spans="1:48" x14ac:dyDescent="0.3">
      <c r="A1411" s="6" t="s">
        <v>248</v>
      </c>
      <c r="B1411" s="10" t="s">
        <v>131</v>
      </c>
      <c r="D1411" t="s">
        <v>2232</v>
      </c>
      <c r="E1411" s="10">
        <v>2006</v>
      </c>
      <c r="F1411" t="s">
        <v>2661</v>
      </c>
      <c r="G1411" s="10" t="s">
        <v>2237</v>
      </c>
      <c r="H1411" s="10" t="s">
        <v>17</v>
      </c>
      <c r="I1411" t="s">
        <v>2236</v>
      </c>
      <c r="J1411" s="10" t="s">
        <v>201</v>
      </c>
      <c r="K1411" s="26">
        <v>4</v>
      </c>
      <c r="L1411" s="26">
        <v>4</v>
      </c>
      <c r="N1411" s="26">
        <v>1149</v>
      </c>
      <c r="W1411">
        <v>2389</v>
      </c>
      <c r="AD1411" s="3">
        <f t="shared" si="176"/>
        <v>2.0791993037423846</v>
      </c>
      <c r="AI1411" s="3">
        <f t="shared" si="177"/>
        <v>2.0791993037423846</v>
      </c>
      <c r="AL1411" s="3"/>
      <c r="AO1411" s="3"/>
      <c r="AP1411" s="3"/>
      <c r="AU1411" s="10" t="s">
        <v>2</v>
      </c>
      <c r="AV1411" s="10" t="s">
        <v>2023</v>
      </c>
    </row>
    <row r="1412" spans="1:48" x14ac:dyDescent="0.3">
      <c r="A1412" s="6" t="s">
        <v>248</v>
      </c>
      <c r="B1412" s="10" t="s">
        <v>131</v>
      </c>
      <c r="D1412" t="s">
        <v>2232</v>
      </c>
      <c r="E1412" s="10">
        <v>2006</v>
      </c>
      <c r="F1412" t="s">
        <v>2661</v>
      </c>
      <c r="G1412" s="10" t="s">
        <v>2237</v>
      </c>
      <c r="H1412" s="10" t="s">
        <v>17</v>
      </c>
      <c r="I1412" t="s">
        <v>2233</v>
      </c>
      <c r="J1412" s="10" t="s">
        <v>201</v>
      </c>
      <c r="K1412" s="26">
        <v>4</v>
      </c>
      <c r="L1412" s="26">
        <v>4</v>
      </c>
      <c r="N1412" s="26">
        <v>665</v>
      </c>
      <c r="W1412">
        <v>975</v>
      </c>
      <c r="AD1412" s="3">
        <f t="shared" si="176"/>
        <v>1.4661654135338347</v>
      </c>
      <c r="AI1412" s="3">
        <f t="shared" si="177"/>
        <v>1.4661654135338347</v>
      </c>
      <c r="AL1412" s="3"/>
      <c r="AO1412" s="3"/>
      <c r="AP1412" s="3"/>
      <c r="AU1412" s="10" t="s">
        <v>2</v>
      </c>
      <c r="AV1412" s="10" t="s">
        <v>2023</v>
      </c>
    </row>
    <row r="1413" spans="1:48" x14ac:dyDescent="0.3">
      <c r="A1413" s="6" t="s">
        <v>248</v>
      </c>
      <c r="B1413" s="10" t="s">
        <v>131</v>
      </c>
      <c r="D1413" t="s">
        <v>2232</v>
      </c>
      <c r="E1413" s="10">
        <v>2006</v>
      </c>
      <c r="F1413" t="s">
        <v>2661</v>
      </c>
      <c r="G1413" s="10" t="s">
        <v>2237</v>
      </c>
      <c r="H1413" s="10" t="s">
        <v>17</v>
      </c>
      <c r="I1413" t="s">
        <v>2234</v>
      </c>
      <c r="J1413" s="10" t="s">
        <v>201</v>
      </c>
      <c r="K1413" s="26">
        <v>4</v>
      </c>
      <c r="L1413" s="26">
        <v>4</v>
      </c>
      <c r="N1413" s="26">
        <v>665</v>
      </c>
      <c r="W1413">
        <v>1384</v>
      </c>
      <c r="AD1413" s="3">
        <f t="shared" si="176"/>
        <v>2.0812030075187971</v>
      </c>
      <c r="AI1413" s="3">
        <f t="shared" si="177"/>
        <v>2.0812030075187971</v>
      </c>
      <c r="AL1413" s="3"/>
      <c r="AO1413" s="3"/>
      <c r="AP1413" s="3"/>
      <c r="AU1413" s="10" t="s">
        <v>2</v>
      </c>
      <c r="AV1413" s="10" t="s">
        <v>2023</v>
      </c>
    </row>
    <row r="1414" spans="1:48" x14ac:dyDescent="0.3">
      <c r="A1414" s="6" t="s">
        <v>248</v>
      </c>
      <c r="B1414" s="10" t="s">
        <v>131</v>
      </c>
      <c r="D1414" t="s">
        <v>2232</v>
      </c>
      <c r="E1414" s="10">
        <v>2006</v>
      </c>
      <c r="F1414" t="s">
        <v>2661</v>
      </c>
      <c r="G1414" s="10" t="s">
        <v>2237</v>
      </c>
      <c r="H1414" s="10" t="s">
        <v>17</v>
      </c>
      <c r="I1414" t="s">
        <v>2235</v>
      </c>
      <c r="J1414" s="10" t="s">
        <v>201</v>
      </c>
      <c r="K1414" s="26">
        <v>4</v>
      </c>
      <c r="L1414" s="26">
        <v>4</v>
      </c>
      <c r="N1414" s="26">
        <v>665</v>
      </c>
      <c r="W1414">
        <v>958</v>
      </c>
      <c r="AD1414" s="3">
        <f t="shared" si="176"/>
        <v>1.4406015037593984</v>
      </c>
      <c r="AI1414" s="3">
        <f t="shared" si="177"/>
        <v>1.4406015037593984</v>
      </c>
      <c r="AL1414" s="3"/>
      <c r="AO1414" s="3"/>
      <c r="AP1414" s="3"/>
      <c r="AU1414" s="10" t="s">
        <v>2</v>
      </c>
      <c r="AV1414" s="10" t="s">
        <v>2023</v>
      </c>
    </row>
    <row r="1415" spans="1:48" x14ac:dyDescent="0.3">
      <c r="A1415" s="6" t="s">
        <v>248</v>
      </c>
      <c r="B1415" s="10" t="s">
        <v>131</v>
      </c>
      <c r="D1415" t="s">
        <v>2232</v>
      </c>
      <c r="E1415" s="10">
        <v>2006</v>
      </c>
      <c r="F1415" t="s">
        <v>2661</v>
      </c>
      <c r="G1415" s="10" t="s">
        <v>2237</v>
      </c>
      <c r="H1415" s="10" t="s">
        <v>17</v>
      </c>
      <c r="I1415" t="s">
        <v>2236</v>
      </c>
      <c r="J1415" s="10" t="s">
        <v>201</v>
      </c>
      <c r="K1415" s="26">
        <v>4</v>
      </c>
      <c r="L1415" s="26">
        <v>4</v>
      </c>
      <c r="N1415" s="26">
        <v>665</v>
      </c>
      <c r="W1415">
        <v>1411</v>
      </c>
      <c r="AD1415" s="3">
        <f t="shared" si="176"/>
        <v>2.1218045112781954</v>
      </c>
      <c r="AI1415" s="3">
        <f t="shared" si="177"/>
        <v>2.1218045112781954</v>
      </c>
      <c r="AL1415" s="3"/>
      <c r="AO1415" s="3"/>
      <c r="AP1415" s="3"/>
      <c r="AU1415" s="10" t="s">
        <v>2</v>
      </c>
      <c r="AV1415" s="10" t="s">
        <v>2023</v>
      </c>
    </row>
    <row r="1416" spans="1:48" x14ac:dyDescent="0.3">
      <c r="A1416" s="6" t="s">
        <v>2238</v>
      </c>
      <c r="B1416" s="10" t="s">
        <v>143</v>
      </c>
      <c r="E1416" s="10">
        <v>1999</v>
      </c>
      <c r="F1416" t="s">
        <v>2661</v>
      </c>
      <c r="G1416" s="10" t="s">
        <v>2237</v>
      </c>
      <c r="H1416" s="10" t="s">
        <v>17</v>
      </c>
      <c r="I1416" s="10" t="s">
        <v>2240</v>
      </c>
      <c r="J1416" s="10" t="s">
        <v>96</v>
      </c>
      <c r="K1416" s="26">
        <v>5</v>
      </c>
      <c r="L1416" s="26">
        <v>5</v>
      </c>
      <c r="N1416" s="26">
        <v>674</v>
      </c>
      <c r="W1416">
        <v>413</v>
      </c>
      <c r="AD1416" s="3">
        <f t="shared" si="176"/>
        <v>0.61275964391691395</v>
      </c>
      <c r="AI1416" s="3">
        <f t="shared" si="177"/>
        <v>0.61275964391691395</v>
      </c>
      <c r="AL1416" s="3"/>
      <c r="AO1416" s="3"/>
      <c r="AP1416" s="3"/>
      <c r="AU1416" s="10" t="s">
        <v>2</v>
      </c>
      <c r="AV1416" s="10" t="s">
        <v>2023</v>
      </c>
    </row>
    <row r="1417" spans="1:48" x14ac:dyDescent="0.3">
      <c r="A1417" s="6" t="s">
        <v>2238</v>
      </c>
      <c r="B1417" s="10" t="s">
        <v>143</v>
      </c>
      <c r="E1417" s="10">
        <v>1999</v>
      </c>
      <c r="F1417" t="s">
        <v>2661</v>
      </c>
      <c r="G1417" s="10" t="s">
        <v>2237</v>
      </c>
      <c r="H1417" s="10" t="s">
        <v>17</v>
      </c>
      <c r="I1417" s="10" t="s">
        <v>2240</v>
      </c>
      <c r="J1417" s="10" t="s">
        <v>2239</v>
      </c>
      <c r="K1417" s="26">
        <v>5</v>
      </c>
      <c r="L1417" s="26">
        <v>5</v>
      </c>
      <c r="N1417" s="26">
        <v>674</v>
      </c>
      <c r="W1417">
        <v>697</v>
      </c>
      <c r="AD1417" s="3">
        <f t="shared" si="176"/>
        <v>1.0341246290801187</v>
      </c>
      <c r="AI1417" s="3">
        <f t="shared" si="177"/>
        <v>1.0341246290801187</v>
      </c>
      <c r="AL1417" s="3"/>
      <c r="AO1417" s="3"/>
      <c r="AP1417" s="3"/>
      <c r="AU1417" s="10" t="s">
        <v>2</v>
      </c>
      <c r="AV1417" s="10" t="s">
        <v>3</v>
      </c>
    </row>
    <row r="1418" spans="1:48" x14ac:dyDescent="0.3">
      <c r="A1418" s="6" t="s">
        <v>2238</v>
      </c>
      <c r="B1418" s="10" t="s">
        <v>143</v>
      </c>
      <c r="E1418" s="10">
        <v>1999</v>
      </c>
      <c r="F1418" t="s">
        <v>2661</v>
      </c>
      <c r="G1418" s="10" t="s">
        <v>2237</v>
      </c>
      <c r="H1418" s="10" t="s">
        <v>17</v>
      </c>
      <c r="I1418" s="10" t="s">
        <v>2241</v>
      </c>
      <c r="J1418" s="10" t="s">
        <v>96</v>
      </c>
      <c r="K1418" s="26">
        <v>10</v>
      </c>
      <c r="L1418" s="26">
        <v>10</v>
      </c>
      <c r="N1418" s="26">
        <v>153</v>
      </c>
      <c r="W1418">
        <v>163</v>
      </c>
      <c r="AD1418" s="3">
        <f t="shared" si="176"/>
        <v>1.065359477124183</v>
      </c>
      <c r="AI1418" s="3">
        <f t="shared" si="177"/>
        <v>1.065359477124183</v>
      </c>
      <c r="AL1418" s="3"/>
      <c r="AO1418" s="3"/>
      <c r="AP1418" s="3"/>
      <c r="AU1418" s="10" t="s">
        <v>2</v>
      </c>
      <c r="AV1418" s="10" t="s">
        <v>2023</v>
      </c>
    </row>
    <row r="1419" spans="1:48" x14ac:dyDescent="0.3">
      <c r="A1419" s="6" t="s">
        <v>2238</v>
      </c>
      <c r="B1419" s="10" t="s">
        <v>143</v>
      </c>
      <c r="E1419" s="10">
        <v>1999</v>
      </c>
      <c r="F1419" t="s">
        <v>2661</v>
      </c>
      <c r="G1419" s="10" t="s">
        <v>2237</v>
      </c>
      <c r="H1419" s="10" t="s">
        <v>17</v>
      </c>
      <c r="I1419" s="10" t="s">
        <v>2241</v>
      </c>
      <c r="J1419" s="10" t="s">
        <v>2239</v>
      </c>
      <c r="K1419" s="26">
        <v>10</v>
      </c>
      <c r="L1419" s="26">
        <v>10</v>
      </c>
      <c r="N1419" s="26">
        <v>153</v>
      </c>
      <c r="W1419">
        <v>186</v>
      </c>
      <c r="AD1419" s="3">
        <f t="shared" si="176"/>
        <v>1.2156862745098038</v>
      </c>
      <c r="AI1419" s="3">
        <f t="shared" si="177"/>
        <v>1.2156862745098038</v>
      </c>
      <c r="AL1419" s="3"/>
      <c r="AO1419" s="3"/>
      <c r="AP1419" s="3"/>
      <c r="AU1419" s="10" t="s">
        <v>2</v>
      </c>
      <c r="AV1419" s="10" t="s">
        <v>3</v>
      </c>
    </row>
    <row r="1420" spans="1:48" x14ac:dyDescent="0.3">
      <c r="A1420" s="6" t="s">
        <v>2238</v>
      </c>
      <c r="B1420" s="10" t="s">
        <v>143</v>
      </c>
      <c r="E1420" s="10">
        <v>2000</v>
      </c>
      <c r="F1420" t="s">
        <v>2661</v>
      </c>
      <c r="G1420" s="10" t="s">
        <v>2237</v>
      </c>
      <c r="H1420" s="10" t="s">
        <v>17</v>
      </c>
      <c r="I1420" s="10" t="s">
        <v>2240</v>
      </c>
      <c r="J1420" s="10" t="s">
        <v>96</v>
      </c>
      <c r="K1420" s="26">
        <v>10</v>
      </c>
      <c r="L1420" s="26">
        <v>10</v>
      </c>
      <c r="N1420" s="26">
        <v>93</v>
      </c>
      <c r="W1420">
        <v>134</v>
      </c>
      <c r="AD1420" s="3">
        <f t="shared" si="176"/>
        <v>1.4408602150537635</v>
      </c>
      <c r="AI1420" s="3">
        <f t="shared" si="177"/>
        <v>1.4408602150537635</v>
      </c>
      <c r="AL1420" s="3"/>
      <c r="AO1420" s="3"/>
      <c r="AP1420" s="3"/>
      <c r="AU1420" s="10" t="s">
        <v>2</v>
      </c>
      <c r="AV1420" s="10" t="s">
        <v>2023</v>
      </c>
    </row>
    <row r="1421" spans="1:48" x14ac:dyDescent="0.3">
      <c r="A1421" s="6" t="s">
        <v>2238</v>
      </c>
      <c r="B1421" s="10" t="s">
        <v>143</v>
      </c>
      <c r="E1421" s="10">
        <v>2000</v>
      </c>
      <c r="F1421" t="s">
        <v>2661</v>
      </c>
      <c r="G1421" s="10" t="s">
        <v>2237</v>
      </c>
      <c r="H1421" s="10" t="s">
        <v>17</v>
      </c>
      <c r="I1421" s="10" t="s">
        <v>2240</v>
      </c>
      <c r="J1421" s="10" t="s">
        <v>2239</v>
      </c>
      <c r="K1421" s="26">
        <v>10</v>
      </c>
      <c r="L1421" s="26">
        <v>10</v>
      </c>
      <c r="N1421" s="26">
        <v>93</v>
      </c>
      <c r="W1421">
        <v>168</v>
      </c>
      <c r="AD1421" s="3">
        <f t="shared" si="176"/>
        <v>1.8064516129032258</v>
      </c>
      <c r="AI1421" s="3">
        <f t="shared" si="177"/>
        <v>1.8064516129032258</v>
      </c>
      <c r="AL1421" s="3"/>
      <c r="AO1421" s="3"/>
      <c r="AP1421" s="3"/>
      <c r="AU1421" s="10" t="s">
        <v>2</v>
      </c>
      <c r="AV1421" s="10" t="s">
        <v>3</v>
      </c>
    </row>
    <row r="1422" spans="1:48" x14ac:dyDescent="0.3">
      <c r="A1422" s="6" t="s">
        <v>2242</v>
      </c>
      <c r="B1422" s="10" t="s">
        <v>193</v>
      </c>
      <c r="C1422" t="s">
        <v>2247</v>
      </c>
      <c r="D1422" t="s">
        <v>2246</v>
      </c>
      <c r="E1422" s="10">
        <v>2004</v>
      </c>
      <c r="F1422" t="s">
        <v>2661</v>
      </c>
      <c r="G1422" s="10" t="s">
        <v>2237</v>
      </c>
      <c r="H1422" s="10" t="s">
        <v>17</v>
      </c>
      <c r="J1422" s="10" t="s">
        <v>2243</v>
      </c>
      <c r="K1422" s="26">
        <v>4</v>
      </c>
      <c r="L1422" s="26">
        <v>4</v>
      </c>
      <c r="N1422" s="5">
        <f>22.1*33333/1000</f>
        <v>736.65930000000003</v>
      </c>
      <c r="O1422" s="5">
        <f>4.7*33333/1000</f>
        <v>156.6651</v>
      </c>
      <c r="P1422" s="5"/>
      <c r="Q1422" s="5"/>
      <c r="R1422" s="5"/>
      <c r="S1422" s="5"/>
      <c r="T1422" s="5"/>
      <c r="U1422" s="5"/>
      <c r="V1422" s="5"/>
      <c r="W1422" s="5">
        <f>22.1*8889/1000</f>
        <v>196.44690000000003</v>
      </c>
      <c r="X1422" s="5">
        <f>4.7*8889/1000</f>
        <v>41.778300000000002</v>
      </c>
      <c r="AD1422" s="3">
        <f t="shared" si="176"/>
        <v>0.26667266672666728</v>
      </c>
      <c r="AI1422" s="3">
        <f t="shared" si="177"/>
        <v>0.26667266672666728</v>
      </c>
      <c r="AL1422" s="3">
        <f>(((X1422*SQRT(L1422))^2)/(N1422^2))+((O1422*SQRT(K1422))^2)*(W1422^2)/(N1422^4)</f>
        <v>2.5731088781091094E-2</v>
      </c>
      <c r="AO1422" s="3">
        <f t="shared" ref="AO1422:AO1426" si="178">AL1422+AM1422+AN1422</f>
        <v>2.5731088781091094E-2</v>
      </c>
      <c r="AP1422" s="3">
        <f t="shared" ref="AP1422:AP1426" si="179">SQRT(AO1422)/AI1422</f>
        <v>0.60152070073787756</v>
      </c>
      <c r="AU1422" s="10" t="s">
        <v>2</v>
      </c>
      <c r="AV1422" s="10" t="s">
        <v>2023</v>
      </c>
    </row>
    <row r="1423" spans="1:48" x14ac:dyDescent="0.3">
      <c r="A1423" s="6" t="s">
        <v>2242</v>
      </c>
      <c r="B1423" s="10" t="s">
        <v>193</v>
      </c>
      <c r="C1423" t="s">
        <v>2247</v>
      </c>
      <c r="D1423" t="s">
        <v>2246</v>
      </c>
      <c r="E1423" s="10">
        <v>2004</v>
      </c>
      <c r="F1423" t="s">
        <v>2661</v>
      </c>
      <c r="G1423" s="10" t="s">
        <v>2237</v>
      </c>
      <c r="H1423" s="10" t="s">
        <v>17</v>
      </c>
      <c r="I1423" s="10" t="s">
        <v>2244</v>
      </c>
      <c r="J1423" s="10" t="s">
        <v>228</v>
      </c>
      <c r="K1423" s="26">
        <v>4</v>
      </c>
      <c r="L1423" s="26">
        <v>4</v>
      </c>
      <c r="N1423" s="5">
        <f t="shared" ref="N1423:N1425" si="180">22.1*33333/1000</f>
        <v>736.65930000000003</v>
      </c>
      <c r="O1423" s="5">
        <f t="shared" ref="O1423:O1426" si="181">4.7*33333/1000</f>
        <v>156.6651</v>
      </c>
      <c r="P1423" s="5"/>
      <c r="Q1423" s="5"/>
      <c r="R1423" s="5"/>
      <c r="S1423" s="5"/>
      <c r="T1423" s="5"/>
      <c r="U1423" s="5"/>
      <c r="V1423" s="5"/>
      <c r="W1423" s="5">
        <f>42.6*8889/1000</f>
        <v>378.67140000000001</v>
      </c>
      <c r="X1423" s="5">
        <f>8.4*8889/1000</f>
        <v>74.667600000000007</v>
      </c>
      <c r="AD1423" s="3">
        <f t="shared" ref="AD1423:AD1426" si="182">W1423/N1423</f>
        <v>0.51403871504778398</v>
      </c>
      <c r="AI1423" s="3">
        <f t="shared" si="177"/>
        <v>0.51403871504778398</v>
      </c>
      <c r="AL1423" s="3">
        <f>(((X1423*SQRT(L1423))^2)/(N1423^2))+((O1423*SQRT(K1423))^2)*(W1423^2)/(N1423^4)</f>
        <v>8.889903672197344E-2</v>
      </c>
      <c r="AO1423" s="3">
        <f t="shared" si="178"/>
        <v>8.889903672197344E-2</v>
      </c>
      <c r="AP1423" s="3">
        <f t="shared" si="179"/>
        <v>0.58003299405184894</v>
      </c>
      <c r="AU1423" s="10" t="s">
        <v>2</v>
      </c>
      <c r="AV1423" s="10" t="s">
        <v>2023</v>
      </c>
    </row>
    <row r="1424" spans="1:48" x14ac:dyDescent="0.3">
      <c r="A1424" s="6" t="s">
        <v>2242</v>
      </c>
      <c r="B1424" s="10" t="s">
        <v>193</v>
      </c>
      <c r="C1424" t="s">
        <v>2247</v>
      </c>
      <c r="D1424" t="s">
        <v>2246</v>
      </c>
      <c r="E1424" s="10">
        <v>2004</v>
      </c>
      <c r="F1424" t="s">
        <v>2661</v>
      </c>
      <c r="G1424" s="10" t="s">
        <v>2237</v>
      </c>
      <c r="H1424" s="10" t="s">
        <v>17</v>
      </c>
      <c r="I1424" s="10" t="s">
        <v>2245</v>
      </c>
      <c r="J1424" s="10" t="s">
        <v>228</v>
      </c>
      <c r="K1424" s="26">
        <v>4</v>
      </c>
      <c r="L1424" s="26">
        <v>4</v>
      </c>
      <c r="N1424" s="5">
        <f t="shared" si="180"/>
        <v>736.65930000000003</v>
      </c>
      <c r="O1424" s="5">
        <f t="shared" si="181"/>
        <v>156.6651</v>
      </c>
      <c r="P1424" s="5"/>
      <c r="Q1424" s="5"/>
      <c r="R1424" s="5"/>
      <c r="S1424" s="5"/>
      <c r="T1424" s="5"/>
      <c r="U1424" s="5"/>
      <c r="V1424" s="5"/>
      <c r="W1424" s="5">
        <f>22.6*8889/1000</f>
        <v>200.89140000000003</v>
      </c>
      <c r="X1424" s="5">
        <f>3.2*8889/1000</f>
        <v>28.444800000000004</v>
      </c>
      <c r="AD1424" s="3">
        <f t="shared" si="182"/>
        <v>0.27270598497840187</v>
      </c>
      <c r="AI1424" s="3">
        <f t="shared" si="177"/>
        <v>0.27270598497840187</v>
      </c>
      <c r="AL1424" s="3">
        <f>(((X1424*SQRT(L1424))^2)/(N1424^2))+((O1424*SQRT(K1424))^2)*(W1424^2)/(N1424^4)</f>
        <v>1.9418209370839004E-2</v>
      </c>
      <c r="AO1424" s="3">
        <f t="shared" si="178"/>
        <v>1.9418209370839004E-2</v>
      </c>
      <c r="AP1424" s="3">
        <f t="shared" si="179"/>
        <v>0.51098708113373104</v>
      </c>
      <c r="AU1424" s="10" t="s">
        <v>2</v>
      </c>
      <c r="AV1424" s="10" t="s">
        <v>2023</v>
      </c>
    </row>
    <row r="1425" spans="1:49" x14ac:dyDescent="0.3">
      <c r="A1425" s="6" t="s">
        <v>2242</v>
      </c>
      <c r="B1425" s="10" t="s">
        <v>193</v>
      </c>
      <c r="C1425" t="s">
        <v>2247</v>
      </c>
      <c r="D1425" t="s">
        <v>2246</v>
      </c>
      <c r="E1425" s="10">
        <v>2004</v>
      </c>
      <c r="F1425" t="s">
        <v>2661</v>
      </c>
      <c r="G1425" s="10" t="s">
        <v>2237</v>
      </c>
      <c r="H1425" s="10" t="s">
        <v>17</v>
      </c>
      <c r="J1425" s="10" t="s">
        <v>200</v>
      </c>
      <c r="K1425" s="26">
        <v>4</v>
      </c>
      <c r="L1425" s="26">
        <v>4</v>
      </c>
      <c r="N1425" s="5">
        <f t="shared" si="180"/>
        <v>736.65930000000003</v>
      </c>
      <c r="O1425" s="5">
        <f t="shared" si="181"/>
        <v>156.6651</v>
      </c>
      <c r="P1425" s="5"/>
      <c r="Q1425" s="5"/>
      <c r="R1425" s="5"/>
      <c r="S1425" s="5"/>
      <c r="T1425" s="5"/>
      <c r="U1425" s="5"/>
      <c r="V1425" s="5"/>
      <c r="W1425" s="5">
        <f>37.4*8889/1000</f>
        <v>332.4486</v>
      </c>
      <c r="X1425" s="5">
        <f>6.5*8889/1000</f>
        <v>57.778500000000001</v>
      </c>
      <c r="AD1425" s="3">
        <f t="shared" si="182"/>
        <v>0.45129220522974456</v>
      </c>
      <c r="AI1425" s="3">
        <f t="shared" si="177"/>
        <v>0.45129220522974456</v>
      </c>
      <c r="AL1425" s="3">
        <f>(((X1425*SQRT(L1425))^2)/(N1425^2))+((O1425*SQRT(K1425))^2)*(W1425^2)/(N1425^4)</f>
        <v>6.1452729184475002E-2</v>
      </c>
      <c r="AO1425" s="3">
        <f t="shared" si="178"/>
        <v>6.1452729184475002E-2</v>
      </c>
      <c r="AP1425" s="3">
        <f t="shared" si="179"/>
        <v>0.54930399195054314</v>
      </c>
      <c r="AU1425" s="10" t="s">
        <v>2</v>
      </c>
      <c r="AV1425" s="10" t="s">
        <v>2023</v>
      </c>
    </row>
    <row r="1426" spans="1:49" s="7" customFormat="1" x14ac:dyDescent="0.3">
      <c r="A1426" s="8" t="s">
        <v>2242</v>
      </c>
      <c r="B1426" s="21" t="s">
        <v>193</v>
      </c>
      <c r="C1426" s="7" t="s">
        <v>2247</v>
      </c>
      <c r="D1426" s="7" t="s">
        <v>2246</v>
      </c>
      <c r="E1426" s="21">
        <v>2004</v>
      </c>
      <c r="F1426" s="7" t="s">
        <v>2661</v>
      </c>
      <c r="G1426" s="21" t="s">
        <v>2237</v>
      </c>
      <c r="H1426" s="21" t="s">
        <v>17</v>
      </c>
      <c r="J1426" s="21" t="s">
        <v>201</v>
      </c>
      <c r="K1426" s="23">
        <v>4</v>
      </c>
      <c r="L1426" s="23">
        <v>4</v>
      </c>
      <c r="M1426" s="57"/>
      <c r="N1426" s="59">
        <f>22.1*33333/1000</f>
        <v>736.65930000000003</v>
      </c>
      <c r="O1426" s="59">
        <f t="shared" si="181"/>
        <v>156.6651</v>
      </c>
      <c r="P1426" s="59"/>
      <c r="Q1426" s="59"/>
      <c r="R1426" s="59"/>
      <c r="S1426" s="59"/>
      <c r="T1426" s="59"/>
      <c r="U1426" s="59"/>
      <c r="V1426" s="59"/>
      <c r="W1426" s="59">
        <f>33.5*8889/1000</f>
        <v>297.78149999999999</v>
      </c>
      <c r="X1426" s="59">
        <f>4.2*8889/1000</f>
        <v>37.333800000000004</v>
      </c>
      <c r="AD1426" s="58">
        <f t="shared" si="182"/>
        <v>0.40423232286621508</v>
      </c>
      <c r="AI1426" s="58">
        <f t="shared" si="177"/>
        <v>0.40423232286621508</v>
      </c>
      <c r="AL1426" s="58">
        <f>(((X1426*SQRT(L1426))^2)/(N1426^2))+((O1426*SQRT(K1426))^2)*(W1426^2)/(N1426^4)</f>
        <v>3.9835758868753485E-2</v>
      </c>
      <c r="AO1426" s="58">
        <f t="shared" si="178"/>
        <v>3.9835758868753485E-2</v>
      </c>
      <c r="AP1426" s="58">
        <f t="shared" si="179"/>
        <v>0.49374818273423526</v>
      </c>
      <c r="AU1426" s="21" t="s">
        <v>2</v>
      </c>
      <c r="AV1426" s="21" t="s">
        <v>2023</v>
      </c>
    </row>
    <row r="1427" spans="1:49" s="7" customFormat="1" x14ac:dyDescent="0.3">
      <c r="A1427" s="8" t="s">
        <v>2423</v>
      </c>
      <c r="B1427" s="7" t="s">
        <v>425</v>
      </c>
      <c r="D1427" s="7" t="s">
        <v>2428</v>
      </c>
      <c r="E1427" s="21" t="s">
        <v>2429</v>
      </c>
      <c r="F1427" s="7" t="s">
        <v>2661</v>
      </c>
      <c r="G1427" s="21" t="s">
        <v>22</v>
      </c>
      <c r="H1427" s="21" t="s">
        <v>217</v>
      </c>
      <c r="J1427" s="21" t="s">
        <v>2424</v>
      </c>
      <c r="K1427" s="23">
        <v>5</v>
      </c>
      <c r="L1427" s="23">
        <v>5</v>
      </c>
      <c r="M1427" s="57"/>
      <c r="N1427" s="7">
        <v>7</v>
      </c>
      <c r="P1427" s="7">
        <v>5.4</v>
      </c>
      <c r="W1427" s="7">
        <v>3.9</v>
      </c>
      <c r="Y1427" s="7">
        <v>2.1</v>
      </c>
      <c r="AD1427" s="58">
        <f>W1427/N1427</f>
        <v>0.55714285714285716</v>
      </c>
      <c r="AE1427" s="58">
        <f>Y1427/P1427</f>
        <v>0.3888888888888889</v>
      </c>
      <c r="AI1427" s="58">
        <f>AD1427+AE1427</f>
        <v>0.946031746031746</v>
      </c>
      <c r="AL1427" s="58"/>
      <c r="AO1427" s="58"/>
      <c r="AP1427" s="58"/>
      <c r="AQ1427" s="7">
        <v>20</v>
      </c>
      <c r="AR1427" s="7" t="s">
        <v>14</v>
      </c>
      <c r="AT1427" s="7" t="s">
        <v>3</v>
      </c>
      <c r="AU1427" s="21" t="s">
        <v>2</v>
      </c>
      <c r="AV1427" s="21" t="s">
        <v>3</v>
      </c>
      <c r="AW1427" s="7" t="s">
        <v>2430</v>
      </c>
    </row>
    <row r="1428" spans="1:49" x14ac:dyDescent="0.3">
      <c r="A1428" s="6" t="s">
        <v>2423</v>
      </c>
      <c r="B1428" t="s">
        <v>425</v>
      </c>
      <c r="D1428" t="s">
        <v>2428</v>
      </c>
      <c r="E1428" s="10" t="s">
        <v>2429</v>
      </c>
      <c r="F1428" t="s">
        <v>2661</v>
      </c>
      <c r="G1428" s="10" t="s">
        <v>22</v>
      </c>
      <c r="H1428" s="10" t="s">
        <v>217</v>
      </c>
      <c r="J1428" s="10" t="s">
        <v>2425</v>
      </c>
      <c r="K1428" s="26">
        <v>5</v>
      </c>
      <c r="L1428" s="26">
        <v>5</v>
      </c>
      <c r="N1428">
        <v>7</v>
      </c>
      <c r="P1428">
        <v>4.9000000000000004</v>
      </c>
      <c r="W1428">
        <v>4.9000000000000004</v>
      </c>
      <c r="Y1428">
        <v>1</v>
      </c>
      <c r="AD1428" s="3">
        <f t="shared" ref="AD1428:AD1434" si="183">W1428/N1428</f>
        <v>0.70000000000000007</v>
      </c>
      <c r="AE1428" s="3">
        <f t="shared" ref="AE1428:AE1430" si="184">Y1428/P1428</f>
        <v>0.2040816326530612</v>
      </c>
      <c r="AI1428" s="3">
        <f t="shared" ref="AI1428:AI1430" si="185">AD1428+AE1428</f>
        <v>0.9040816326530613</v>
      </c>
      <c r="AL1428" s="58"/>
      <c r="AM1428" s="7"/>
      <c r="AN1428" s="7"/>
      <c r="AO1428" s="58"/>
      <c r="AP1428" s="58"/>
      <c r="AQ1428">
        <v>20</v>
      </c>
      <c r="AR1428" t="s">
        <v>14</v>
      </c>
      <c r="AT1428" t="s">
        <v>3</v>
      </c>
      <c r="AU1428" s="10" t="s">
        <v>2</v>
      </c>
      <c r="AV1428" s="10" t="s">
        <v>3</v>
      </c>
      <c r="AW1428" t="s">
        <v>2430</v>
      </c>
    </row>
    <row r="1429" spans="1:49" x14ac:dyDescent="0.3">
      <c r="A1429" s="6" t="s">
        <v>2423</v>
      </c>
      <c r="B1429" t="s">
        <v>425</v>
      </c>
      <c r="D1429" t="s">
        <v>2428</v>
      </c>
      <c r="E1429" s="10" t="s">
        <v>2429</v>
      </c>
      <c r="F1429" t="s">
        <v>2661</v>
      </c>
      <c r="G1429" s="10" t="s">
        <v>22</v>
      </c>
      <c r="H1429" s="10" t="s">
        <v>217</v>
      </c>
      <c r="J1429" s="10" t="s">
        <v>2426</v>
      </c>
      <c r="K1429" s="26">
        <v>5</v>
      </c>
      <c r="L1429" s="26">
        <v>5</v>
      </c>
      <c r="N1429">
        <v>7</v>
      </c>
      <c r="P1429">
        <v>3.3</v>
      </c>
      <c r="W1429">
        <v>4.9000000000000004</v>
      </c>
      <c r="Y1429">
        <v>0.6</v>
      </c>
      <c r="AD1429" s="3">
        <f t="shared" si="183"/>
        <v>0.70000000000000007</v>
      </c>
      <c r="AE1429" s="3">
        <f t="shared" si="184"/>
        <v>0.18181818181818182</v>
      </c>
      <c r="AI1429" s="3">
        <f t="shared" si="185"/>
        <v>0.88181818181818183</v>
      </c>
      <c r="AL1429" s="58"/>
      <c r="AM1429" s="7"/>
      <c r="AN1429" s="7"/>
      <c r="AO1429" s="58"/>
      <c r="AP1429" s="58"/>
      <c r="AQ1429">
        <v>20</v>
      </c>
      <c r="AR1429" t="s">
        <v>14</v>
      </c>
      <c r="AT1429" t="s">
        <v>3</v>
      </c>
      <c r="AU1429" s="10" t="s">
        <v>2</v>
      </c>
      <c r="AV1429" s="10" t="s">
        <v>3</v>
      </c>
      <c r="AW1429" t="s">
        <v>2430</v>
      </c>
    </row>
    <row r="1430" spans="1:49" x14ac:dyDescent="0.3">
      <c r="A1430" s="6" t="s">
        <v>2423</v>
      </c>
      <c r="B1430" t="s">
        <v>425</v>
      </c>
      <c r="D1430" t="s">
        <v>2428</v>
      </c>
      <c r="E1430" s="10" t="s">
        <v>2429</v>
      </c>
      <c r="F1430" t="s">
        <v>2661</v>
      </c>
      <c r="G1430" s="10" t="s">
        <v>22</v>
      </c>
      <c r="H1430" s="10" t="s">
        <v>217</v>
      </c>
      <c r="J1430" s="10" t="s">
        <v>2427</v>
      </c>
      <c r="K1430" s="26">
        <v>5</v>
      </c>
      <c r="L1430" s="26">
        <v>5</v>
      </c>
      <c r="N1430">
        <v>7</v>
      </c>
      <c r="P1430">
        <v>3.5</v>
      </c>
      <c r="W1430">
        <v>4.7</v>
      </c>
      <c r="Y1430">
        <v>0.9</v>
      </c>
      <c r="AD1430" s="3">
        <f t="shared" si="183"/>
        <v>0.67142857142857149</v>
      </c>
      <c r="AE1430" s="3">
        <f t="shared" si="184"/>
        <v>0.25714285714285717</v>
      </c>
      <c r="AI1430" s="3">
        <f t="shared" si="185"/>
        <v>0.9285714285714286</v>
      </c>
      <c r="AL1430" s="58"/>
      <c r="AM1430" s="7"/>
      <c r="AN1430" s="7"/>
      <c r="AO1430" s="58"/>
      <c r="AP1430" s="58"/>
      <c r="AQ1430">
        <v>20</v>
      </c>
      <c r="AR1430" t="s">
        <v>14</v>
      </c>
      <c r="AT1430" t="s">
        <v>3</v>
      </c>
      <c r="AU1430" s="10" t="s">
        <v>2</v>
      </c>
      <c r="AV1430" s="10" t="s">
        <v>3</v>
      </c>
      <c r="AW1430" t="s">
        <v>2430</v>
      </c>
    </row>
    <row r="1431" spans="1:49" x14ac:dyDescent="0.3">
      <c r="A1431" s="6" t="s">
        <v>2431</v>
      </c>
      <c r="B1431" t="s">
        <v>131</v>
      </c>
      <c r="E1431" s="10" t="s">
        <v>1815</v>
      </c>
      <c r="F1431" t="s">
        <v>2661</v>
      </c>
      <c r="G1431" t="s">
        <v>2221</v>
      </c>
      <c r="H1431" s="10" t="s">
        <v>17</v>
      </c>
      <c r="I1431" t="s">
        <v>2432</v>
      </c>
      <c r="J1431" s="10" t="s">
        <v>140</v>
      </c>
      <c r="K1431" s="26">
        <v>4</v>
      </c>
      <c r="L1431" s="26">
        <v>4</v>
      </c>
      <c r="N1431">
        <v>1.1399999999999999</v>
      </c>
      <c r="P1431">
        <v>2.14</v>
      </c>
      <c r="R1431">
        <v>1.88</v>
      </c>
      <c r="W1431">
        <v>1.2</v>
      </c>
      <c r="AD1431" s="3">
        <f t="shared" si="183"/>
        <v>1.0526315789473684</v>
      </c>
      <c r="AI1431" s="3">
        <f>AD1431</f>
        <v>1.0526315789473684</v>
      </c>
      <c r="AL1431" s="58"/>
      <c r="AM1431" s="7"/>
      <c r="AN1431" s="7"/>
      <c r="AO1431" s="58"/>
      <c r="AP1431" s="58"/>
      <c r="AQ1431">
        <v>45</v>
      </c>
      <c r="AR1431" t="s">
        <v>14</v>
      </c>
      <c r="AU1431" s="10" t="s">
        <v>2</v>
      </c>
      <c r="AV1431" s="10" t="s">
        <v>2023</v>
      </c>
    </row>
    <row r="1432" spans="1:49" x14ac:dyDescent="0.3">
      <c r="A1432" s="6" t="s">
        <v>2431</v>
      </c>
      <c r="B1432" t="s">
        <v>131</v>
      </c>
      <c r="E1432" s="10" t="s">
        <v>1815</v>
      </c>
      <c r="F1432" t="s">
        <v>2661</v>
      </c>
      <c r="G1432" t="s">
        <v>2221</v>
      </c>
      <c r="H1432" s="10" t="s">
        <v>17</v>
      </c>
      <c r="I1432" t="s">
        <v>2432</v>
      </c>
      <c r="J1432" s="10" t="s">
        <v>140</v>
      </c>
      <c r="K1432" s="26">
        <v>4</v>
      </c>
      <c r="L1432" s="26">
        <v>4</v>
      </c>
      <c r="N1432">
        <v>0.71</v>
      </c>
      <c r="P1432">
        <v>2.14</v>
      </c>
      <c r="R1432">
        <v>1.85</v>
      </c>
      <c r="W1432">
        <v>0.97</v>
      </c>
      <c r="AD1432" s="3">
        <f t="shared" si="183"/>
        <v>1.3661971830985915</v>
      </c>
      <c r="AI1432" s="3">
        <f t="shared" ref="AI1432:AI1495" si="186">AD1432</f>
        <v>1.3661971830985915</v>
      </c>
      <c r="AL1432" s="58"/>
      <c r="AM1432" s="7"/>
      <c r="AN1432" s="7"/>
      <c r="AO1432" s="58"/>
      <c r="AP1432" s="58"/>
      <c r="AQ1432">
        <v>0</v>
      </c>
      <c r="AU1432" s="10" t="s">
        <v>2</v>
      </c>
      <c r="AV1432" s="10" t="s">
        <v>2023</v>
      </c>
    </row>
    <row r="1433" spans="1:49" x14ac:dyDescent="0.3">
      <c r="A1433" s="6" t="s">
        <v>2431</v>
      </c>
      <c r="B1433" t="s">
        <v>131</v>
      </c>
      <c r="E1433" s="10" t="s">
        <v>1815</v>
      </c>
      <c r="F1433" t="s">
        <v>2661</v>
      </c>
      <c r="G1433" t="s">
        <v>2221</v>
      </c>
      <c r="H1433" s="10" t="s">
        <v>17</v>
      </c>
      <c r="I1433" t="s">
        <v>2433</v>
      </c>
      <c r="J1433" s="10" t="s">
        <v>140</v>
      </c>
      <c r="K1433" s="26">
        <v>4</v>
      </c>
      <c r="L1433" s="26">
        <v>4</v>
      </c>
      <c r="N1433">
        <v>1</v>
      </c>
      <c r="P1433">
        <v>2.15</v>
      </c>
      <c r="R1433">
        <v>1.91</v>
      </c>
      <c r="W1433">
        <v>1.1200000000000001</v>
      </c>
      <c r="AD1433" s="3">
        <f t="shared" si="183"/>
        <v>1.1200000000000001</v>
      </c>
      <c r="AI1433" s="3">
        <f t="shared" si="186"/>
        <v>1.1200000000000001</v>
      </c>
      <c r="AL1433" s="58"/>
      <c r="AM1433" s="7"/>
      <c r="AN1433" s="7"/>
      <c r="AO1433" s="58"/>
      <c r="AP1433" s="58"/>
      <c r="AQ1433">
        <v>45</v>
      </c>
      <c r="AR1433" t="s">
        <v>14</v>
      </c>
      <c r="AU1433" s="10" t="s">
        <v>2</v>
      </c>
      <c r="AV1433" s="10" t="s">
        <v>2023</v>
      </c>
    </row>
    <row r="1434" spans="1:49" x14ac:dyDescent="0.3">
      <c r="A1434" s="6" t="s">
        <v>2431</v>
      </c>
      <c r="B1434" t="s">
        <v>131</v>
      </c>
      <c r="E1434" s="10" t="s">
        <v>1815</v>
      </c>
      <c r="F1434" t="s">
        <v>2661</v>
      </c>
      <c r="G1434" t="s">
        <v>2221</v>
      </c>
      <c r="H1434" s="10" t="s">
        <v>17</v>
      </c>
      <c r="I1434" t="s">
        <v>2433</v>
      </c>
      <c r="J1434" s="10" t="s">
        <v>140</v>
      </c>
      <c r="K1434" s="26">
        <v>4</v>
      </c>
      <c r="L1434" s="26">
        <v>4</v>
      </c>
      <c r="N1434">
        <v>0.54</v>
      </c>
      <c r="P1434">
        <v>2.08</v>
      </c>
      <c r="R1434">
        <v>1.78</v>
      </c>
      <c r="W1434">
        <v>0.8</v>
      </c>
      <c r="AD1434" s="3">
        <f t="shared" si="183"/>
        <v>1.4814814814814814</v>
      </c>
      <c r="AI1434" s="3">
        <f t="shared" si="186"/>
        <v>1.4814814814814814</v>
      </c>
      <c r="AL1434" s="58"/>
      <c r="AM1434" s="7"/>
      <c r="AN1434" s="7"/>
      <c r="AO1434" s="58"/>
      <c r="AP1434" s="58"/>
      <c r="AQ1434">
        <v>0</v>
      </c>
      <c r="AU1434" s="10" t="s">
        <v>2</v>
      </c>
      <c r="AV1434" s="10" t="s">
        <v>2023</v>
      </c>
    </row>
    <row r="1435" spans="1:49" x14ac:dyDescent="0.3">
      <c r="A1435" s="6" t="s">
        <v>2435</v>
      </c>
      <c r="B1435" t="s">
        <v>143</v>
      </c>
      <c r="D1435" s="4" t="s">
        <v>2436</v>
      </c>
      <c r="F1435" t="s">
        <v>2661</v>
      </c>
      <c r="G1435" s="4" t="s">
        <v>6</v>
      </c>
      <c r="H1435" s="10" t="s">
        <v>17</v>
      </c>
      <c r="J1435" s="10" t="s">
        <v>2437</v>
      </c>
      <c r="K1435" s="26">
        <v>24</v>
      </c>
      <c r="L1435" s="26">
        <v>24</v>
      </c>
      <c r="N1435">
        <v>10354</v>
      </c>
      <c r="V1435">
        <v>15790</v>
      </c>
      <c r="AD1435" s="3">
        <f>V1435/N1435</f>
        <v>1.5250144871547229</v>
      </c>
      <c r="AI1435" s="3">
        <f t="shared" si="186"/>
        <v>1.5250144871547229</v>
      </c>
      <c r="AL1435" s="58"/>
      <c r="AM1435" s="7"/>
      <c r="AN1435" s="7"/>
      <c r="AO1435" s="58"/>
      <c r="AP1435" s="58"/>
      <c r="AU1435" s="10" t="s">
        <v>2</v>
      </c>
      <c r="AV1435" s="10" t="s">
        <v>3</v>
      </c>
      <c r="AW1435" t="s">
        <v>2515</v>
      </c>
    </row>
    <row r="1436" spans="1:49" x14ac:dyDescent="0.3">
      <c r="A1436" s="6" t="s">
        <v>2438</v>
      </c>
      <c r="B1436" t="s">
        <v>131</v>
      </c>
      <c r="C1436" t="s">
        <v>2439</v>
      </c>
      <c r="D1436" t="s">
        <v>2440</v>
      </c>
      <c r="E1436" s="10" t="s">
        <v>1737</v>
      </c>
      <c r="F1436" t="s">
        <v>2661</v>
      </c>
      <c r="G1436" s="4" t="s">
        <v>6</v>
      </c>
      <c r="H1436" s="10" t="s">
        <v>17</v>
      </c>
      <c r="J1436" s="10" t="s">
        <v>2441</v>
      </c>
      <c r="K1436" s="26">
        <v>4</v>
      </c>
      <c r="L1436" s="26">
        <v>4</v>
      </c>
      <c r="N1436">
        <v>12.3</v>
      </c>
      <c r="V1436">
        <v>17.399999999999999</v>
      </c>
      <c r="AD1436" s="3">
        <f>V1436/N1436</f>
        <v>1.4146341463414631</v>
      </c>
      <c r="AI1436" s="3">
        <f t="shared" si="186"/>
        <v>1.4146341463414631</v>
      </c>
      <c r="AL1436" s="58"/>
      <c r="AM1436" s="7"/>
      <c r="AN1436" s="7"/>
      <c r="AO1436" s="58"/>
      <c r="AP1436" s="58"/>
      <c r="AR1436" t="s">
        <v>14</v>
      </c>
      <c r="AU1436" s="10" t="s">
        <v>2</v>
      </c>
      <c r="AV1436" s="10" t="s">
        <v>3</v>
      </c>
      <c r="AW1436" t="s">
        <v>2515</v>
      </c>
    </row>
    <row r="1437" spans="1:49" x14ac:dyDescent="0.3">
      <c r="A1437" s="6" t="s">
        <v>2438</v>
      </c>
      <c r="B1437" t="s">
        <v>131</v>
      </c>
      <c r="C1437" t="s">
        <v>2439</v>
      </c>
      <c r="D1437" t="s">
        <v>2440</v>
      </c>
      <c r="E1437" s="10" t="s">
        <v>1737</v>
      </c>
      <c r="F1437" t="s">
        <v>2661</v>
      </c>
      <c r="G1437" s="4" t="s">
        <v>6</v>
      </c>
      <c r="H1437" s="10" t="s">
        <v>17</v>
      </c>
      <c r="J1437" s="10" t="s">
        <v>2442</v>
      </c>
      <c r="K1437" s="26">
        <v>4</v>
      </c>
      <c r="L1437" s="26">
        <v>4</v>
      </c>
      <c r="N1437">
        <v>12.3</v>
      </c>
      <c r="V1437">
        <v>15.8</v>
      </c>
      <c r="AD1437" s="3">
        <f t="shared" ref="AD1437:AD1438" si="187">V1437/N1437</f>
        <v>1.2845528455284552</v>
      </c>
      <c r="AI1437" s="3">
        <f t="shared" si="186"/>
        <v>1.2845528455284552</v>
      </c>
      <c r="AL1437" s="58"/>
      <c r="AM1437" s="7"/>
      <c r="AN1437" s="7"/>
      <c r="AO1437" s="58"/>
      <c r="AP1437" s="58"/>
      <c r="AR1437" t="s">
        <v>14</v>
      </c>
      <c r="AU1437" s="10" t="s">
        <v>2</v>
      </c>
      <c r="AV1437" s="10" t="s">
        <v>3</v>
      </c>
      <c r="AW1437" t="s">
        <v>2515</v>
      </c>
    </row>
    <row r="1438" spans="1:49" x14ac:dyDescent="0.3">
      <c r="A1438" s="6" t="s">
        <v>2438</v>
      </c>
      <c r="B1438" t="s">
        <v>131</v>
      </c>
      <c r="C1438" t="s">
        <v>2439</v>
      </c>
      <c r="D1438" t="s">
        <v>2440</v>
      </c>
      <c r="E1438" s="10" t="s">
        <v>1737</v>
      </c>
      <c r="F1438" t="s">
        <v>2661</v>
      </c>
      <c r="G1438" s="4" t="s">
        <v>6</v>
      </c>
      <c r="H1438" s="10" t="s">
        <v>17</v>
      </c>
      <c r="J1438" s="10" t="s">
        <v>2443</v>
      </c>
      <c r="K1438" s="26">
        <v>4</v>
      </c>
      <c r="L1438" s="26">
        <v>4</v>
      </c>
      <c r="N1438">
        <v>12.3</v>
      </c>
      <c r="V1438">
        <v>13.5</v>
      </c>
      <c r="AD1438" s="3">
        <f t="shared" si="187"/>
        <v>1.097560975609756</v>
      </c>
      <c r="AI1438" s="3">
        <f t="shared" si="186"/>
        <v>1.097560975609756</v>
      </c>
      <c r="AL1438" s="58"/>
      <c r="AM1438" s="7"/>
      <c r="AN1438" s="7"/>
      <c r="AO1438" s="58"/>
      <c r="AP1438" s="58"/>
      <c r="AR1438" t="s">
        <v>14</v>
      </c>
      <c r="AU1438" s="10" t="s">
        <v>2</v>
      </c>
      <c r="AV1438" s="10" t="s">
        <v>3</v>
      </c>
      <c r="AW1438" t="s">
        <v>2515</v>
      </c>
    </row>
    <row r="1439" spans="1:49" x14ac:dyDescent="0.3">
      <c r="A1439" s="6" t="s">
        <v>2444</v>
      </c>
      <c r="B1439" t="s">
        <v>131</v>
      </c>
      <c r="D1439" t="s">
        <v>911</v>
      </c>
      <c r="E1439">
        <v>1998</v>
      </c>
      <c r="F1439" t="s">
        <v>2661</v>
      </c>
      <c r="G1439" s="4" t="s">
        <v>34</v>
      </c>
      <c r="H1439" s="10" t="s">
        <v>17</v>
      </c>
      <c r="J1439" s="10" t="s">
        <v>140</v>
      </c>
      <c r="K1439" s="26">
        <v>10</v>
      </c>
      <c r="L1439" s="26">
        <v>10</v>
      </c>
      <c r="N1439">
        <v>2.9</v>
      </c>
      <c r="O1439">
        <v>0.1</v>
      </c>
      <c r="W1439">
        <v>4</v>
      </c>
      <c r="X1439">
        <v>0.2</v>
      </c>
      <c r="AD1439" s="3">
        <f t="shared" ref="AD1439:AD1470" si="188">W1439/N1439</f>
        <v>1.3793103448275863</v>
      </c>
      <c r="AI1439" s="3">
        <f t="shared" si="186"/>
        <v>1.3793103448275863</v>
      </c>
      <c r="AL1439" s="58">
        <f t="shared" ref="AL1439:AL1470" si="189">(((X1439*SQRT(L1439))^2)/(N1439^2))+((O1439*SQRT(K1439))^2)*(W1439^2)/(N1439^4)</f>
        <v>7.0184269052894141E-2</v>
      </c>
      <c r="AM1439" s="7"/>
      <c r="AN1439" s="7"/>
      <c r="AO1439" s="58">
        <f t="shared" ref="AO1439:AO1490" si="190">AL1439+AM1439+AN1439</f>
        <v>7.0184269052894141E-2</v>
      </c>
      <c r="AP1439" s="58">
        <f t="shared" ref="AP1439:AP1490" si="191">SQRT(AO1439)/AI1439</f>
        <v>0.19206927505701551</v>
      </c>
      <c r="AU1439" s="10" t="s">
        <v>2</v>
      </c>
      <c r="AV1439" s="10" t="s">
        <v>2023</v>
      </c>
    </row>
    <row r="1440" spans="1:49" x14ac:dyDescent="0.3">
      <c r="A1440" s="6" t="s">
        <v>2444</v>
      </c>
      <c r="B1440" t="s">
        <v>131</v>
      </c>
      <c r="D1440" t="s">
        <v>911</v>
      </c>
      <c r="E1440">
        <v>1999</v>
      </c>
      <c r="F1440" t="s">
        <v>2661</v>
      </c>
      <c r="G1440" s="4" t="s">
        <v>34</v>
      </c>
      <c r="H1440" s="10" t="s">
        <v>17</v>
      </c>
      <c r="J1440" s="10" t="s">
        <v>140</v>
      </c>
      <c r="K1440" s="26">
        <v>10</v>
      </c>
      <c r="L1440" s="26">
        <v>10</v>
      </c>
      <c r="N1440">
        <v>3.4</v>
      </c>
      <c r="O1440">
        <v>0.1</v>
      </c>
      <c r="W1440">
        <v>4.8</v>
      </c>
      <c r="X1440">
        <v>0.2</v>
      </c>
      <c r="AD1440" s="3">
        <f t="shared" si="188"/>
        <v>1.411764705882353</v>
      </c>
      <c r="AI1440" s="3">
        <f t="shared" si="186"/>
        <v>1.411764705882353</v>
      </c>
      <c r="AL1440" s="58">
        <f t="shared" si="189"/>
        <v>5.1843249003244718E-2</v>
      </c>
      <c r="AM1440" s="7"/>
      <c r="AN1440" s="7"/>
      <c r="AO1440" s="58">
        <f t="shared" si="190"/>
        <v>5.1843249003244718E-2</v>
      </c>
      <c r="AP1440" s="58">
        <f t="shared" si="191"/>
        <v>0.16128121447413826</v>
      </c>
      <c r="AU1440" s="10" t="s">
        <v>2</v>
      </c>
      <c r="AV1440" s="10" t="s">
        <v>2023</v>
      </c>
    </row>
    <row r="1441" spans="1:48" x14ac:dyDescent="0.3">
      <c r="A1441" s="6" t="s">
        <v>2444</v>
      </c>
      <c r="B1441" t="s">
        <v>131</v>
      </c>
      <c r="D1441" t="s">
        <v>911</v>
      </c>
      <c r="E1441">
        <v>2000</v>
      </c>
      <c r="F1441" t="s">
        <v>2661</v>
      </c>
      <c r="G1441" s="4" t="s">
        <v>34</v>
      </c>
      <c r="H1441" s="10" t="s">
        <v>17</v>
      </c>
      <c r="J1441" s="10" t="s">
        <v>140</v>
      </c>
      <c r="K1441" s="26">
        <v>10</v>
      </c>
      <c r="L1441" s="26">
        <v>10</v>
      </c>
      <c r="N1441">
        <v>3.6</v>
      </c>
      <c r="O1441">
        <v>0.1</v>
      </c>
      <c r="W1441">
        <v>5.6</v>
      </c>
      <c r="X1441">
        <v>0.2</v>
      </c>
      <c r="AD1441" s="3">
        <f t="shared" si="188"/>
        <v>1.5555555555555554</v>
      </c>
      <c r="AI1441" s="3">
        <f t="shared" si="186"/>
        <v>1.5555555555555554</v>
      </c>
      <c r="AL1441" s="58">
        <f t="shared" si="189"/>
        <v>4.9535131839658596E-2</v>
      </c>
      <c r="AM1441" s="7"/>
      <c r="AN1441" s="7"/>
      <c r="AO1441" s="58">
        <f t="shared" si="190"/>
        <v>4.9535131839658596E-2</v>
      </c>
      <c r="AP1441" s="58">
        <f t="shared" si="191"/>
        <v>0.14307743156603137</v>
      </c>
      <c r="AU1441" s="10" t="s">
        <v>2</v>
      </c>
      <c r="AV1441" s="10" t="s">
        <v>2023</v>
      </c>
    </row>
    <row r="1442" spans="1:48" x14ac:dyDescent="0.3">
      <c r="A1442" s="6" t="s">
        <v>2444</v>
      </c>
      <c r="B1442" t="s">
        <v>131</v>
      </c>
      <c r="D1442" t="s">
        <v>911</v>
      </c>
      <c r="E1442">
        <v>2001</v>
      </c>
      <c r="F1442" t="s">
        <v>2661</v>
      </c>
      <c r="G1442" s="4" t="s">
        <v>34</v>
      </c>
      <c r="H1442" s="10" t="s">
        <v>17</v>
      </c>
      <c r="J1442" s="10" t="s">
        <v>140</v>
      </c>
      <c r="K1442" s="26">
        <v>10</v>
      </c>
      <c r="L1442" s="26">
        <v>10</v>
      </c>
      <c r="N1442">
        <v>3.5</v>
      </c>
      <c r="O1442">
        <v>0.1</v>
      </c>
      <c r="W1442">
        <v>4.5</v>
      </c>
      <c r="X1442">
        <v>0.1</v>
      </c>
      <c r="AD1442" s="3">
        <f t="shared" si="188"/>
        <v>1.2857142857142858</v>
      </c>
      <c r="AI1442" s="3">
        <f t="shared" si="186"/>
        <v>1.2857142857142858</v>
      </c>
      <c r="AL1442" s="58">
        <f t="shared" si="189"/>
        <v>2.1657642648896303E-2</v>
      </c>
      <c r="AM1442" s="7"/>
      <c r="AN1442" s="7"/>
      <c r="AO1442" s="58">
        <f t="shared" si="190"/>
        <v>2.1657642648896303E-2</v>
      </c>
      <c r="AP1442" s="58">
        <f t="shared" si="191"/>
        <v>0.11446194525282506</v>
      </c>
      <c r="AU1442" s="10" t="s">
        <v>2</v>
      </c>
      <c r="AV1442" s="10" t="s">
        <v>2023</v>
      </c>
    </row>
    <row r="1443" spans="1:48" x14ac:dyDescent="0.3">
      <c r="A1443" s="6" t="s">
        <v>2444</v>
      </c>
      <c r="B1443" t="s">
        <v>131</v>
      </c>
      <c r="D1443" t="s">
        <v>911</v>
      </c>
      <c r="E1443">
        <v>2002</v>
      </c>
      <c r="F1443" t="s">
        <v>2661</v>
      </c>
      <c r="G1443" s="4" t="s">
        <v>34</v>
      </c>
      <c r="H1443" s="10" t="s">
        <v>17</v>
      </c>
      <c r="J1443" s="10" t="s">
        <v>140</v>
      </c>
      <c r="K1443" s="26">
        <v>10</v>
      </c>
      <c r="L1443" s="26">
        <v>10</v>
      </c>
      <c r="N1443">
        <v>3.5</v>
      </c>
      <c r="O1443">
        <v>0.01</v>
      </c>
      <c r="W1443">
        <v>4.7</v>
      </c>
      <c r="X1443">
        <v>0.1</v>
      </c>
      <c r="AD1443" s="3">
        <f t="shared" si="188"/>
        <v>1.342857142857143</v>
      </c>
      <c r="AI1443" s="3">
        <f t="shared" si="186"/>
        <v>1.342857142857143</v>
      </c>
      <c r="AL1443" s="58">
        <f t="shared" si="189"/>
        <v>8.3104706372344878E-3</v>
      </c>
      <c r="AM1443" s="7"/>
      <c r="AN1443" s="7"/>
      <c r="AO1443" s="58">
        <f t="shared" si="190"/>
        <v>8.3104706372344878E-3</v>
      </c>
      <c r="AP1443" s="58">
        <f t="shared" si="191"/>
        <v>6.7886433975330729E-2</v>
      </c>
      <c r="AU1443" s="10" t="s">
        <v>2</v>
      </c>
      <c r="AV1443" s="10" t="s">
        <v>2023</v>
      </c>
    </row>
    <row r="1444" spans="1:48" x14ac:dyDescent="0.3">
      <c r="A1444" s="6" t="s">
        <v>2444</v>
      </c>
      <c r="B1444" t="s">
        <v>131</v>
      </c>
      <c r="D1444" t="s">
        <v>911</v>
      </c>
      <c r="E1444">
        <v>2003</v>
      </c>
      <c r="F1444" t="s">
        <v>2661</v>
      </c>
      <c r="G1444" s="4" t="s">
        <v>34</v>
      </c>
      <c r="H1444" s="10" t="s">
        <v>17</v>
      </c>
      <c r="J1444" s="10" t="s">
        <v>140</v>
      </c>
      <c r="K1444" s="26">
        <v>10</v>
      </c>
      <c r="L1444" s="26">
        <v>10</v>
      </c>
      <c r="N1444">
        <v>3.7</v>
      </c>
      <c r="O1444">
        <v>0.1</v>
      </c>
      <c r="W1444">
        <v>5.3</v>
      </c>
      <c r="X1444">
        <v>0.1</v>
      </c>
      <c r="AD1444" s="3">
        <f t="shared" si="188"/>
        <v>1.4324324324324322</v>
      </c>
      <c r="AI1444" s="3">
        <f t="shared" si="186"/>
        <v>1.4324324324324322</v>
      </c>
      <c r="AL1444" s="58">
        <f t="shared" si="189"/>
        <v>2.2292641880820276E-2</v>
      </c>
      <c r="AM1444" s="7"/>
      <c r="AN1444" s="7"/>
      <c r="AO1444" s="58">
        <f t="shared" si="190"/>
        <v>2.2292641880820276E-2</v>
      </c>
      <c r="AP1444" s="58">
        <f t="shared" si="191"/>
        <v>0.10423333276478047</v>
      </c>
      <c r="AU1444" s="10" t="s">
        <v>2</v>
      </c>
      <c r="AV1444" s="10" t="s">
        <v>2023</v>
      </c>
    </row>
    <row r="1445" spans="1:48" x14ac:dyDescent="0.3">
      <c r="A1445" s="6" t="s">
        <v>2444</v>
      </c>
      <c r="B1445" t="s">
        <v>131</v>
      </c>
      <c r="D1445" t="s">
        <v>911</v>
      </c>
      <c r="E1445">
        <v>2004</v>
      </c>
      <c r="F1445" t="s">
        <v>2661</v>
      </c>
      <c r="G1445" s="4" t="s">
        <v>34</v>
      </c>
      <c r="H1445" s="10" t="s">
        <v>17</v>
      </c>
      <c r="J1445" s="10" t="s">
        <v>140</v>
      </c>
      <c r="K1445" s="26">
        <v>10</v>
      </c>
      <c r="L1445" s="26">
        <v>10</v>
      </c>
      <c r="N1445">
        <v>3.9</v>
      </c>
      <c r="O1445">
        <v>0.1</v>
      </c>
      <c r="W1445">
        <v>5.5</v>
      </c>
      <c r="X1445">
        <v>0.2</v>
      </c>
      <c r="AD1445" s="3">
        <f t="shared" si="188"/>
        <v>1.4102564102564104</v>
      </c>
      <c r="AI1445" s="3">
        <f t="shared" si="186"/>
        <v>1.4102564102564104</v>
      </c>
      <c r="AL1445" s="58">
        <f t="shared" si="189"/>
        <v>3.9374248143782375E-2</v>
      </c>
      <c r="AM1445" s="7"/>
      <c r="AN1445" s="7"/>
      <c r="AO1445" s="58">
        <f t="shared" si="190"/>
        <v>3.9374248143782375E-2</v>
      </c>
      <c r="AP1445" s="58">
        <f t="shared" si="191"/>
        <v>0.14070452180049198</v>
      </c>
      <c r="AU1445" s="10" t="s">
        <v>2</v>
      </c>
      <c r="AV1445" s="10" t="s">
        <v>2023</v>
      </c>
    </row>
    <row r="1446" spans="1:48" x14ac:dyDescent="0.3">
      <c r="A1446" s="6" t="s">
        <v>2444</v>
      </c>
      <c r="B1446" t="s">
        <v>131</v>
      </c>
      <c r="D1446" t="s">
        <v>911</v>
      </c>
      <c r="E1446">
        <v>1999</v>
      </c>
      <c r="F1446" t="s">
        <v>2661</v>
      </c>
      <c r="G1446" s="4" t="s">
        <v>34</v>
      </c>
      <c r="H1446" s="10" t="s">
        <v>17</v>
      </c>
      <c r="J1446" s="10" t="s">
        <v>2445</v>
      </c>
      <c r="K1446" s="26">
        <v>10</v>
      </c>
      <c r="L1446" s="26">
        <v>10</v>
      </c>
      <c r="N1446">
        <v>3.4</v>
      </c>
      <c r="O1446">
        <v>0.1</v>
      </c>
      <c r="W1446">
        <v>3.7</v>
      </c>
      <c r="X1446">
        <v>0.1</v>
      </c>
      <c r="AD1446" s="3">
        <f t="shared" si="188"/>
        <v>1.0882352941176472</v>
      </c>
      <c r="AI1446" s="3">
        <f t="shared" si="186"/>
        <v>1.0882352941176472</v>
      </c>
      <c r="AL1446" s="58">
        <f t="shared" si="189"/>
        <v>1.8894948575807292E-2</v>
      </c>
      <c r="AM1446" s="7"/>
      <c r="AN1446" s="7"/>
      <c r="AO1446" s="58">
        <f t="shared" si="190"/>
        <v>1.8894948575807292E-2</v>
      </c>
      <c r="AP1446" s="58">
        <f t="shared" si="191"/>
        <v>0.12631358173347143</v>
      </c>
      <c r="AU1446" s="10" t="s">
        <v>2</v>
      </c>
      <c r="AV1446" s="10" t="s">
        <v>2023</v>
      </c>
    </row>
    <row r="1447" spans="1:48" x14ac:dyDescent="0.3">
      <c r="A1447" s="6" t="s">
        <v>2444</v>
      </c>
      <c r="B1447" t="s">
        <v>131</v>
      </c>
      <c r="D1447" t="s">
        <v>911</v>
      </c>
      <c r="E1447">
        <v>2000</v>
      </c>
      <c r="F1447" t="s">
        <v>2661</v>
      </c>
      <c r="G1447" s="4" t="s">
        <v>34</v>
      </c>
      <c r="H1447" s="10" t="s">
        <v>17</v>
      </c>
      <c r="J1447" s="10" t="s">
        <v>2445</v>
      </c>
      <c r="K1447" s="26">
        <v>10</v>
      </c>
      <c r="L1447" s="26">
        <v>10</v>
      </c>
      <c r="N1447">
        <v>3.6</v>
      </c>
      <c r="O1447">
        <v>0.1</v>
      </c>
      <c r="W1447">
        <v>3.9</v>
      </c>
      <c r="X1447">
        <v>0.1</v>
      </c>
      <c r="AD1447" s="3">
        <f t="shared" si="188"/>
        <v>1.0833333333333333</v>
      </c>
      <c r="AI1447" s="3">
        <f t="shared" si="186"/>
        <v>1.0833333333333333</v>
      </c>
      <c r="AL1447" s="58">
        <f t="shared" si="189"/>
        <v>1.6771690672153637E-2</v>
      </c>
      <c r="AM1447" s="7"/>
      <c r="AN1447" s="7"/>
      <c r="AO1447" s="58">
        <f t="shared" si="190"/>
        <v>1.6771690672153637E-2</v>
      </c>
      <c r="AP1447" s="58">
        <f t="shared" si="191"/>
        <v>0.11954359598888348</v>
      </c>
      <c r="AU1447" s="10" t="s">
        <v>2</v>
      </c>
      <c r="AV1447" s="10" t="s">
        <v>2023</v>
      </c>
    </row>
    <row r="1448" spans="1:48" x14ac:dyDescent="0.3">
      <c r="A1448" s="6" t="s">
        <v>2444</v>
      </c>
      <c r="B1448" t="s">
        <v>131</v>
      </c>
      <c r="D1448" t="s">
        <v>911</v>
      </c>
      <c r="E1448">
        <v>2001</v>
      </c>
      <c r="F1448" t="s">
        <v>2661</v>
      </c>
      <c r="G1448" s="4" t="s">
        <v>34</v>
      </c>
      <c r="H1448" s="10" t="s">
        <v>17</v>
      </c>
      <c r="J1448" s="10" t="s">
        <v>2445</v>
      </c>
      <c r="K1448" s="26">
        <v>10</v>
      </c>
      <c r="L1448" s="26">
        <v>10</v>
      </c>
      <c r="N1448">
        <v>3.5</v>
      </c>
      <c r="O1448">
        <v>0.1</v>
      </c>
      <c r="W1448">
        <v>3.8</v>
      </c>
      <c r="X1448">
        <v>0.05</v>
      </c>
      <c r="AD1448" s="3">
        <f t="shared" si="188"/>
        <v>1.0857142857142856</v>
      </c>
      <c r="AI1448" s="3">
        <f t="shared" si="186"/>
        <v>1.0857142857142856</v>
      </c>
      <c r="AL1448" s="58">
        <f t="shared" si="189"/>
        <v>1.1663473552686383E-2</v>
      </c>
      <c r="AM1448" s="7"/>
      <c r="AN1448" s="7"/>
      <c r="AO1448" s="58">
        <f t="shared" si="190"/>
        <v>1.1663473552686383E-2</v>
      </c>
      <c r="AP1448" s="58">
        <f t="shared" si="191"/>
        <v>9.947143934406813E-2</v>
      </c>
      <c r="AU1448" s="10" t="s">
        <v>2</v>
      </c>
      <c r="AV1448" s="10" t="s">
        <v>2023</v>
      </c>
    </row>
    <row r="1449" spans="1:48" x14ac:dyDescent="0.3">
      <c r="A1449" s="6" t="s">
        <v>2444</v>
      </c>
      <c r="B1449" t="s">
        <v>131</v>
      </c>
      <c r="D1449" t="s">
        <v>911</v>
      </c>
      <c r="E1449">
        <v>2002</v>
      </c>
      <c r="F1449" t="s">
        <v>2661</v>
      </c>
      <c r="G1449" s="4" t="s">
        <v>34</v>
      </c>
      <c r="H1449" s="10" t="s">
        <v>17</v>
      </c>
      <c r="J1449" s="10" t="s">
        <v>2445</v>
      </c>
      <c r="K1449" s="26">
        <v>10</v>
      </c>
      <c r="L1449" s="26">
        <v>10</v>
      </c>
      <c r="N1449">
        <v>3.5</v>
      </c>
      <c r="O1449">
        <v>0.01</v>
      </c>
      <c r="W1449">
        <v>3.6</v>
      </c>
      <c r="X1449">
        <v>0.04</v>
      </c>
      <c r="AD1449" s="3">
        <f t="shared" si="188"/>
        <v>1.0285714285714287</v>
      </c>
      <c r="AI1449" s="3">
        <f t="shared" si="186"/>
        <v>1.0285714285714287</v>
      </c>
      <c r="AL1449" s="58">
        <f t="shared" si="189"/>
        <v>1.3924864639733446E-3</v>
      </c>
      <c r="AM1449" s="7"/>
      <c r="AN1449" s="7"/>
      <c r="AO1449" s="58">
        <f t="shared" si="190"/>
        <v>1.3924864639733446E-3</v>
      </c>
      <c r="AP1449" s="58">
        <f t="shared" si="191"/>
        <v>3.6279478418188328E-2</v>
      </c>
      <c r="AU1449" s="10" t="s">
        <v>2</v>
      </c>
      <c r="AV1449" s="10" t="s">
        <v>2023</v>
      </c>
    </row>
    <row r="1450" spans="1:48" x14ac:dyDescent="0.3">
      <c r="A1450" s="6" t="s">
        <v>2444</v>
      </c>
      <c r="B1450" t="s">
        <v>131</v>
      </c>
      <c r="D1450" t="s">
        <v>911</v>
      </c>
      <c r="E1450">
        <v>2003</v>
      </c>
      <c r="F1450" t="s">
        <v>2661</v>
      </c>
      <c r="G1450" s="4" t="s">
        <v>34</v>
      </c>
      <c r="H1450" s="10" t="s">
        <v>17</v>
      </c>
      <c r="J1450" s="10" t="s">
        <v>2445</v>
      </c>
      <c r="K1450" s="26">
        <v>10</v>
      </c>
      <c r="L1450" s="26">
        <v>10</v>
      </c>
      <c r="N1450">
        <v>3.7</v>
      </c>
      <c r="O1450">
        <v>0.1</v>
      </c>
      <c r="W1450">
        <v>3.7</v>
      </c>
      <c r="X1450">
        <v>0.1</v>
      </c>
      <c r="AD1450" s="3">
        <f t="shared" si="188"/>
        <v>1</v>
      </c>
      <c r="AI1450" s="3">
        <f t="shared" si="186"/>
        <v>1</v>
      </c>
      <c r="AL1450" s="58">
        <f t="shared" si="189"/>
        <v>1.4609203798392992E-2</v>
      </c>
      <c r="AM1450" s="7"/>
      <c r="AN1450" s="7"/>
      <c r="AO1450" s="58">
        <f t="shared" si="190"/>
        <v>1.4609203798392992E-2</v>
      </c>
      <c r="AP1450" s="58">
        <f t="shared" si="191"/>
        <v>0.12086853932431298</v>
      </c>
      <c r="AU1450" s="10" t="s">
        <v>2</v>
      </c>
      <c r="AV1450" s="10" t="s">
        <v>2023</v>
      </c>
    </row>
    <row r="1451" spans="1:48" x14ac:dyDescent="0.3">
      <c r="A1451" s="6" t="s">
        <v>2444</v>
      </c>
      <c r="B1451" t="s">
        <v>131</v>
      </c>
      <c r="D1451" t="s">
        <v>911</v>
      </c>
      <c r="E1451">
        <v>2004</v>
      </c>
      <c r="F1451" t="s">
        <v>2661</v>
      </c>
      <c r="G1451" s="4" t="s">
        <v>34</v>
      </c>
      <c r="H1451" s="10" t="s">
        <v>17</v>
      </c>
      <c r="J1451" s="10" t="s">
        <v>2445</v>
      </c>
      <c r="K1451" s="26">
        <v>10</v>
      </c>
      <c r="L1451" s="26">
        <v>10</v>
      </c>
      <c r="N1451">
        <v>3.9</v>
      </c>
      <c r="O1451">
        <v>0.1</v>
      </c>
      <c r="W1451">
        <v>3.9</v>
      </c>
      <c r="X1451">
        <v>0.1</v>
      </c>
      <c r="AD1451" s="3">
        <f t="shared" si="188"/>
        <v>1</v>
      </c>
      <c r="AI1451" s="3">
        <f t="shared" si="186"/>
        <v>1</v>
      </c>
      <c r="AL1451" s="58">
        <f t="shared" si="189"/>
        <v>1.3149243918474694E-2</v>
      </c>
      <c r="AM1451" s="7"/>
      <c r="AN1451" s="7"/>
      <c r="AO1451" s="58">
        <f t="shared" si="190"/>
        <v>1.3149243918474694E-2</v>
      </c>
      <c r="AP1451" s="58">
        <f t="shared" si="191"/>
        <v>0.11467015269229694</v>
      </c>
      <c r="AU1451" s="10" t="s">
        <v>2</v>
      </c>
      <c r="AV1451" s="10" t="s">
        <v>2023</v>
      </c>
    </row>
    <row r="1452" spans="1:48" x14ac:dyDescent="0.3">
      <c r="A1452" s="6" t="s">
        <v>2444</v>
      </c>
      <c r="B1452" t="s">
        <v>131</v>
      </c>
      <c r="D1452" t="s">
        <v>902</v>
      </c>
      <c r="E1452">
        <v>1999</v>
      </c>
      <c r="F1452" t="s">
        <v>2661</v>
      </c>
      <c r="G1452" s="4" t="s">
        <v>34</v>
      </c>
      <c r="H1452" s="10" t="s">
        <v>17</v>
      </c>
      <c r="J1452" s="10" t="s">
        <v>140</v>
      </c>
      <c r="K1452" s="26">
        <v>10</v>
      </c>
      <c r="L1452" s="26">
        <v>10</v>
      </c>
      <c r="N1452">
        <v>1</v>
      </c>
      <c r="O1452">
        <v>0.02</v>
      </c>
      <c r="W1452">
        <v>1.9</v>
      </c>
      <c r="X1452">
        <v>0.05</v>
      </c>
      <c r="AD1452" s="3">
        <f t="shared" si="188"/>
        <v>1.9</v>
      </c>
      <c r="AI1452" s="3">
        <f t="shared" si="186"/>
        <v>1.9</v>
      </c>
      <c r="AL1452" s="58">
        <f t="shared" si="189"/>
        <v>3.944000000000001E-2</v>
      </c>
      <c r="AM1452" s="7"/>
      <c r="AN1452" s="7"/>
      <c r="AO1452" s="58">
        <f t="shared" si="190"/>
        <v>3.944000000000001E-2</v>
      </c>
      <c r="AP1452" s="58">
        <f t="shared" si="191"/>
        <v>0.10452371862994873</v>
      </c>
      <c r="AU1452" s="10" t="s">
        <v>2</v>
      </c>
      <c r="AV1452" s="10" t="s">
        <v>2023</v>
      </c>
    </row>
    <row r="1453" spans="1:48" x14ac:dyDescent="0.3">
      <c r="A1453" s="6" t="s">
        <v>2444</v>
      </c>
      <c r="B1453" t="s">
        <v>131</v>
      </c>
      <c r="D1453" t="s">
        <v>902</v>
      </c>
      <c r="E1453">
        <v>2000</v>
      </c>
      <c r="F1453" t="s">
        <v>2661</v>
      </c>
      <c r="G1453" s="4" t="s">
        <v>34</v>
      </c>
      <c r="H1453" s="10" t="s">
        <v>17</v>
      </c>
      <c r="J1453" s="10" t="s">
        <v>140</v>
      </c>
      <c r="K1453" s="26">
        <v>10</v>
      </c>
      <c r="L1453" s="26">
        <v>10</v>
      </c>
      <c r="N1453">
        <v>1.1000000000000001</v>
      </c>
      <c r="O1453">
        <v>0.05</v>
      </c>
      <c r="W1453">
        <v>2.4</v>
      </c>
      <c r="X1453">
        <v>0.1</v>
      </c>
      <c r="AD1453" s="3">
        <f t="shared" si="188"/>
        <v>2.1818181818181817</v>
      </c>
      <c r="AI1453" s="3">
        <f t="shared" si="186"/>
        <v>2.1818181818181817</v>
      </c>
      <c r="AL1453" s="58">
        <f t="shared" si="189"/>
        <v>0.18099856567174377</v>
      </c>
      <c r="AM1453" s="7"/>
      <c r="AN1453" s="7"/>
      <c r="AO1453" s="58">
        <f t="shared" si="190"/>
        <v>0.18099856567174377</v>
      </c>
      <c r="AP1453" s="58">
        <f t="shared" si="191"/>
        <v>0.19499299509445078</v>
      </c>
      <c r="AU1453" s="10" t="s">
        <v>2</v>
      </c>
      <c r="AV1453" s="10" t="s">
        <v>2023</v>
      </c>
    </row>
    <row r="1454" spans="1:48" x14ac:dyDescent="0.3">
      <c r="A1454" s="6" t="s">
        <v>2444</v>
      </c>
      <c r="B1454" t="s">
        <v>131</v>
      </c>
      <c r="D1454" t="s">
        <v>902</v>
      </c>
      <c r="E1454">
        <v>2001</v>
      </c>
      <c r="F1454" t="s">
        <v>2661</v>
      </c>
      <c r="G1454" s="4" t="s">
        <v>34</v>
      </c>
      <c r="H1454" s="10" t="s">
        <v>17</v>
      </c>
      <c r="J1454" s="10" t="s">
        <v>140</v>
      </c>
      <c r="K1454" s="26">
        <v>10</v>
      </c>
      <c r="L1454" s="26">
        <v>10</v>
      </c>
      <c r="N1454">
        <v>1.1000000000000001</v>
      </c>
      <c r="O1454">
        <v>0.02</v>
      </c>
      <c r="W1454">
        <v>2.8</v>
      </c>
      <c r="X1454">
        <v>0.2</v>
      </c>
      <c r="AD1454" s="3">
        <f t="shared" si="188"/>
        <v>2.545454545454545</v>
      </c>
      <c r="AI1454" s="3">
        <f t="shared" si="186"/>
        <v>2.545454545454545</v>
      </c>
      <c r="AL1454" s="58">
        <f t="shared" si="189"/>
        <v>0.35199781435694288</v>
      </c>
      <c r="AM1454" s="7"/>
      <c r="AN1454" s="7"/>
      <c r="AO1454" s="58">
        <f t="shared" si="190"/>
        <v>0.35199781435694288</v>
      </c>
      <c r="AP1454" s="58">
        <f t="shared" si="191"/>
        <v>0.23307980025568983</v>
      </c>
      <c r="AU1454" s="10" t="s">
        <v>2</v>
      </c>
      <c r="AV1454" s="10" t="s">
        <v>2023</v>
      </c>
    </row>
    <row r="1455" spans="1:48" x14ac:dyDescent="0.3">
      <c r="A1455" s="6" t="s">
        <v>2444</v>
      </c>
      <c r="B1455" t="s">
        <v>131</v>
      </c>
      <c r="D1455" t="s">
        <v>902</v>
      </c>
      <c r="E1455">
        <v>2002</v>
      </c>
      <c r="F1455" t="s">
        <v>2661</v>
      </c>
      <c r="G1455" s="4" t="s">
        <v>34</v>
      </c>
      <c r="H1455" s="10" t="s">
        <v>17</v>
      </c>
      <c r="J1455" s="10" t="s">
        <v>140</v>
      </c>
      <c r="K1455" s="26">
        <v>10</v>
      </c>
      <c r="L1455" s="26">
        <v>10</v>
      </c>
      <c r="N1455">
        <v>1.1000000000000001</v>
      </c>
      <c r="O1455">
        <v>0.04</v>
      </c>
      <c r="W1455">
        <v>3</v>
      </c>
      <c r="X1455">
        <v>0.1</v>
      </c>
      <c r="AD1455" s="3">
        <f t="shared" si="188"/>
        <v>2.7272727272727271</v>
      </c>
      <c r="AI1455" s="3">
        <f t="shared" si="186"/>
        <v>2.7272727272727271</v>
      </c>
      <c r="AL1455" s="58">
        <f t="shared" si="189"/>
        <v>0.18099856567174377</v>
      </c>
      <c r="AM1455" s="7"/>
      <c r="AN1455" s="7"/>
      <c r="AO1455" s="58">
        <f t="shared" si="190"/>
        <v>0.18099856567174377</v>
      </c>
      <c r="AP1455" s="58">
        <f t="shared" si="191"/>
        <v>0.15599439607556065</v>
      </c>
      <c r="AU1455" s="10" t="s">
        <v>2</v>
      </c>
      <c r="AV1455" s="10" t="s">
        <v>2023</v>
      </c>
    </row>
    <row r="1456" spans="1:48" x14ac:dyDescent="0.3">
      <c r="A1456" s="6" t="s">
        <v>2444</v>
      </c>
      <c r="B1456" t="s">
        <v>131</v>
      </c>
      <c r="D1456" t="s">
        <v>902</v>
      </c>
      <c r="E1456">
        <v>2003</v>
      </c>
      <c r="F1456" t="s">
        <v>2661</v>
      </c>
      <c r="G1456" s="4" t="s">
        <v>34</v>
      </c>
      <c r="H1456" s="10" t="s">
        <v>17</v>
      </c>
      <c r="J1456" s="10" t="s">
        <v>140</v>
      </c>
      <c r="K1456" s="26">
        <v>10</v>
      </c>
      <c r="L1456" s="26">
        <v>10</v>
      </c>
      <c r="N1456">
        <v>1.2</v>
      </c>
      <c r="O1456">
        <v>0.03</v>
      </c>
      <c r="W1456">
        <v>3.3</v>
      </c>
      <c r="X1456">
        <v>0.2</v>
      </c>
      <c r="AD1456" s="3">
        <f t="shared" si="188"/>
        <v>2.75</v>
      </c>
      <c r="AI1456" s="3">
        <f t="shared" si="186"/>
        <v>2.75</v>
      </c>
      <c r="AL1456" s="58">
        <f t="shared" si="189"/>
        <v>0.32504340277777788</v>
      </c>
      <c r="AM1456" s="7"/>
      <c r="AN1456" s="7"/>
      <c r="AO1456" s="58">
        <f t="shared" si="190"/>
        <v>0.32504340277777788</v>
      </c>
      <c r="AP1456" s="58">
        <f t="shared" si="191"/>
        <v>0.20731846473928686</v>
      </c>
      <c r="AU1456" s="10" t="s">
        <v>2</v>
      </c>
      <c r="AV1456" s="10" t="s">
        <v>2023</v>
      </c>
    </row>
    <row r="1457" spans="1:48" x14ac:dyDescent="0.3">
      <c r="A1457" s="6" t="s">
        <v>2444</v>
      </c>
      <c r="B1457" t="s">
        <v>131</v>
      </c>
      <c r="D1457" t="s">
        <v>902</v>
      </c>
      <c r="E1457">
        <v>2004</v>
      </c>
      <c r="F1457" t="s">
        <v>2661</v>
      </c>
      <c r="G1457" s="4" t="s">
        <v>34</v>
      </c>
      <c r="H1457" s="10" t="s">
        <v>17</v>
      </c>
      <c r="J1457" s="10" t="s">
        <v>140</v>
      </c>
      <c r="K1457" s="26">
        <v>10</v>
      </c>
      <c r="L1457" s="26">
        <v>10</v>
      </c>
      <c r="N1457">
        <v>1.3</v>
      </c>
      <c r="O1457">
        <v>0.05</v>
      </c>
      <c r="W1457">
        <v>3.4</v>
      </c>
      <c r="X1457">
        <v>0.1</v>
      </c>
      <c r="AD1457" s="3">
        <f t="shared" si="188"/>
        <v>2.6153846153846154</v>
      </c>
      <c r="AI1457" s="3">
        <f t="shared" si="186"/>
        <v>2.6153846153846154</v>
      </c>
      <c r="AL1457" s="58">
        <f t="shared" si="189"/>
        <v>0.16035853086376528</v>
      </c>
      <c r="AM1457" s="7"/>
      <c r="AN1457" s="7"/>
      <c r="AO1457" s="58">
        <f t="shared" si="190"/>
        <v>0.16035853086376528</v>
      </c>
      <c r="AP1457" s="58">
        <f t="shared" si="191"/>
        <v>0.15311243724605095</v>
      </c>
      <c r="AU1457" s="10" t="s">
        <v>2</v>
      </c>
      <c r="AV1457" s="10" t="s">
        <v>2023</v>
      </c>
    </row>
    <row r="1458" spans="1:48" x14ac:dyDescent="0.3">
      <c r="A1458" s="6" t="s">
        <v>2444</v>
      </c>
      <c r="B1458" t="s">
        <v>131</v>
      </c>
      <c r="D1458" t="s">
        <v>902</v>
      </c>
      <c r="E1458">
        <v>1999</v>
      </c>
      <c r="F1458" t="s">
        <v>2661</v>
      </c>
      <c r="G1458" s="4" t="s">
        <v>34</v>
      </c>
      <c r="H1458" s="10" t="s">
        <v>17</v>
      </c>
      <c r="J1458" s="10" t="s">
        <v>2445</v>
      </c>
      <c r="K1458" s="26">
        <v>10</v>
      </c>
      <c r="L1458" s="26">
        <v>10</v>
      </c>
      <c r="N1458">
        <v>1</v>
      </c>
      <c r="O1458">
        <v>0.02</v>
      </c>
      <c r="W1458">
        <v>1</v>
      </c>
      <c r="X1458">
        <v>0.01</v>
      </c>
      <c r="AD1458" s="3">
        <f t="shared" si="188"/>
        <v>1</v>
      </c>
      <c r="AI1458" s="3">
        <f t="shared" si="186"/>
        <v>1</v>
      </c>
      <c r="AL1458" s="58">
        <f t="shared" si="189"/>
        <v>5.000000000000001E-3</v>
      </c>
      <c r="AM1458" s="7"/>
      <c r="AN1458" s="7"/>
      <c r="AO1458" s="58">
        <f t="shared" si="190"/>
        <v>5.000000000000001E-3</v>
      </c>
      <c r="AP1458" s="58">
        <f t="shared" si="191"/>
        <v>7.0710678118654766E-2</v>
      </c>
      <c r="AU1458" s="10" t="s">
        <v>2</v>
      </c>
      <c r="AV1458" s="10" t="s">
        <v>2023</v>
      </c>
    </row>
    <row r="1459" spans="1:48" x14ac:dyDescent="0.3">
      <c r="A1459" s="6" t="s">
        <v>2444</v>
      </c>
      <c r="B1459" t="s">
        <v>131</v>
      </c>
      <c r="D1459" t="s">
        <v>902</v>
      </c>
      <c r="E1459">
        <v>2000</v>
      </c>
      <c r="F1459" t="s">
        <v>2661</v>
      </c>
      <c r="G1459" s="4" t="s">
        <v>34</v>
      </c>
      <c r="H1459" s="10" t="s">
        <v>17</v>
      </c>
      <c r="J1459" s="10" t="s">
        <v>2445</v>
      </c>
      <c r="K1459" s="26">
        <v>10</v>
      </c>
      <c r="L1459" s="26">
        <v>10</v>
      </c>
      <c r="N1459">
        <v>1.1000000000000001</v>
      </c>
      <c r="O1459">
        <v>0.05</v>
      </c>
      <c r="W1459">
        <v>0.9</v>
      </c>
      <c r="X1459">
        <v>0.04</v>
      </c>
      <c r="AD1459" s="3">
        <f t="shared" si="188"/>
        <v>0.81818181818181812</v>
      </c>
      <c r="AI1459" s="3">
        <f t="shared" si="186"/>
        <v>0.81818181818181812</v>
      </c>
      <c r="AL1459" s="58">
        <f t="shared" si="189"/>
        <v>2.7054162967010451E-2</v>
      </c>
      <c r="AM1459" s="7"/>
      <c r="AN1459" s="7"/>
      <c r="AO1459" s="58">
        <f t="shared" si="190"/>
        <v>2.7054162967010451E-2</v>
      </c>
      <c r="AP1459" s="58">
        <f t="shared" si="191"/>
        <v>0.20103294119259779</v>
      </c>
      <c r="AU1459" s="10" t="s">
        <v>2</v>
      </c>
      <c r="AV1459" s="10" t="s">
        <v>2023</v>
      </c>
    </row>
    <row r="1460" spans="1:48" x14ac:dyDescent="0.3">
      <c r="A1460" s="6" t="s">
        <v>2444</v>
      </c>
      <c r="B1460" t="s">
        <v>131</v>
      </c>
      <c r="D1460" t="s">
        <v>902</v>
      </c>
      <c r="E1460">
        <v>2001</v>
      </c>
      <c r="F1460" t="s">
        <v>2661</v>
      </c>
      <c r="G1460" s="4" t="s">
        <v>34</v>
      </c>
      <c r="H1460" s="10" t="s">
        <v>17</v>
      </c>
      <c r="J1460" s="10" t="s">
        <v>2445</v>
      </c>
      <c r="K1460" s="26">
        <v>10</v>
      </c>
      <c r="L1460" s="26">
        <v>10</v>
      </c>
      <c r="N1460">
        <v>1.1000000000000001</v>
      </c>
      <c r="O1460">
        <v>0.02</v>
      </c>
      <c r="W1460">
        <v>1.1000000000000001</v>
      </c>
      <c r="X1460">
        <v>0.05</v>
      </c>
      <c r="AD1460" s="3">
        <f t="shared" si="188"/>
        <v>1</v>
      </c>
      <c r="AI1460" s="3">
        <f t="shared" si="186"/>
        <v>1</v>
      </c>
      <c r="AL1460" s="58">
        <f t="shared" si="189"/>
        <v>2.3966942148760335E-2</v>
      </c>
      <c r="AM1460" s="7"/>
      <c r="AN1460" s="7"/>
      <c r="AO1460" s="58">
        <f t="shared" si="190"/>
        <v>2.3966942148760335E-2</v>
      </c>
      <c r="AP1460" s="58">
        <f t="shared" si="191"/>
        <v>0.15481260332660365</v>
      </c>
      <c r="AU1460" s="10" t="s">
        <v>2</v>
      </c>
      <c r="AV1460" s="10" t="s">
        <v>2023</v>
      </c>
    </row>
    <row r="1461" spans="1:48" x14ac:dyDescent="0.3">
      <c r="A1461" s="6" t="s">
        <v>2444</v>
      </c>
      <c r="B1461" t="s">
        <v>131</v>
      </c>
      <c r="D1461" t="s">
        <v>902</v>
      </c>
      <c r="E1461">
        <v>2002</v>
      </c>
      <c r="F1461" t="s">
        <v>2661</v>
      </c>
      <c r="G1461" s="4" t="s">
        <v>34</v>
      </c>
      <c r="H1461" s="10" t="s">
        <v>17</v>
      </c>
      <c r="J1461" s="10" t="s">
        <v>2445</v>
      </c>
      <c r="K1461" s="26">
        <v>10</v>
      </c>
      <c r="L1461" s="26">
        <v>10</v>
      </c>
      <c r="N1461">
        <v>1.1000000000000001</v>
      </c>
      <c r="O1461">
        <v>0.04</v>
      </c>
      <c r="W1461">
        <v>1.2</v>
      </c>
      <c r="X1461">
        <v>0.02</v>
      </c>
      <c r="AD1461" s="3">
        <f t="shared" si="188"/>
        <v>1.0909090909090908</v>
      </c>
      <c r="AI1461" s="3">
        <f t="shared" si="186"/>
        <v>1.0909090909090908</v>
      </c>
      <c r="AL1461" s="58">
        <f t="shared" si="189"/>
        <v>1.904241513557817E-2</v>
      </c>
      <c r="AM1461" s="7"/>
      <c r="AN1461" s="7"/>
      <c r="AO1461" s="58">
        <f t="shared" si="190"/>
        <v>1.904241513557817E-2</v>
      </c>
      <c r="AP1461" s="58">
        <f t="shared" si="191"/>
        <v>0.12649473614995033</v>
      </c>
      <c r="AU1461" s="10" t="s">
        <v>2</v>
      </c>
      <c r="AV1461" s="10" t="s">
        <v>2023</v>
      </c>
    </row>
    <row r="1462" spans="1:48" x14ac:dyDescent="0.3">
      <c r="A1462" s="6" t="s">
        <v>2444</v>
      </c>
      <c r="B1462" t="s">
        <v>131</v>
      </c>
      <c r="D1462" t="s">
        <v>902</v>
      </c>
      <c r="E1462">
        <v>2003</v>
      </c>
      <c r="F1462" t="s">
        <v>2661</v>
      </c>
      <c r="G1462" s="4" t="s">
        <v>34</v>
      </c>
      <c r="H1462" s="10" t="s">
        <v>17</v>
      </c>
      <c r="J1462" s="10" t="s">
        <v>2445</v>
      </c>
      <c r="K1462" s="26">
        <v>10</v>
      </c>
      <c r="L1462" s="26">
        <v>10</v>
      </c>
      <c r="N1462">
        <v>1.2</v>
      </c>
      <c r="O1462">
        <v>0.03</v>
      </c>
      <c r="W1462">
        <v>1.2</v>
      </c>
      <c r="X1462">
        <v>0.05</v>
      </c>
      <c r="AD1462" s="3">
        <f t="shared" si="188"/>
        <v>1</v>
      </c>
      <c r="AI1462" s="3">
        <f t="shared" si="186"/>
        <v>1</v>
      </c>
      <c r="AL1462" s="58">
        <f t="shared" si="189"/>
        <v>2.3611111111111121E-2</v>
      </c>
      <c r="AM1462" s="7"/>
      <c r="AN1462" s="7"/>
      <c r="AO1462" s="58">
        <f t="shared" si="190"/>
        <v>2.3611111111111121E-2</v>
      </c>
      <c r="AP1462" s="58">
        <f t="shared" si="191"/>
        <v>0.15365907428821482</v>
      </c>
      <c r="AU1462" s="10" t="s">
        <v>2</v>
      </c>
      <c r="AV1462" s="10" t="s">
        <v>2023</v>
      </c>
    </row>
    <row r="1463" spans="1:48" x14ac:dyDescent="0.3">
      <c r="A1463" s="6" t="s">
        <v>2444</v>
      </c>
      <c r="B1463" t="s">
        <v>131</v>
      </c>
      <c r="D1463" t="s">
        <v>902</v>
      </c>
      <c r="E1463">
        <v>2004</v>
      </c>
      <c r="F1463" t="s">
        <v>2661</v>
      </c>
      <c r="G1463" s="4" t="s">
        <v>34</v>
      </c>
      <c r="H1463" s="10" t="s">
        <v>17</v>
      </c>
      <c r="J1463" s="10" t="s">
        <v>2445</v>
      </c>
      <c r="K1463" s="26">
        <v>10</v>
      </c>
      <c r="L1463" s="26">
        <v>10</v>
      </c>
      <c r="N1463">
        <v>1.3</v>
      </c>
      <c r="O1463">
        <v>0.05</v>
      </c>
      <c r="W1463">
        <v>1.2</v>
      </c>
      <c r="X1463">
        <v>0.1</v>
      </c>
      <c r="AD1463" s="3">
        <f t="shared" si="188"/>
        <v>0.92307692307692302</v>
      </c>
      <c r="AI1463" s="3">
        <f t="shared" si="186"/>
        <v>0.92307692307692302</v>
      </c>
      <c r="AL1463" s="58">
        <f t="shared" si="189"/>
        <v>7.1776198312384035E-2</v>
      </c>
      <c r="AM1463" s="7"/>
      <c r="AN1463" s="7"/>
      <c r="AO1463" s="58">
        <f t="shared" si="190"/>
        <v>7.1776198312384035E-2</v>
      </c>
      <c r="AP1463" s="58">
        <f t="shared" si="191"/>
        <v>0.2902367031454301</v>
      </c>
      <c r="AU1463" s="10" t="s">
        <v>2</v>
      </c>
      <c r="AV1463" s="10" t="s">
        <v>2023</v>
      </c>
    </row>
    <row r="1464" spans="1:48" x14ac:dyDescent="0.3">
      <c r="A1464" s="6" t="s">
        <v>2444</v>
      </c>
      <c r="B1464" t="s">
        <v>131</v>
      </c>
      <c r="D1464" t="s">
        <v>903</v>
      </c>
      <c r="E1464">
        <v>2001</v>
      </c>
      <c r="F1464" t="s">
        <v>2661</v>
      </c>
      <c r="G1464" s="4" t="s">
        <v>34</v>
      </c>
      <c r="H1464" s="10" t="s">
        <v>17</v>
      </c>
      <c r="J1464" s="10" t="s">
        <v>140</v>
      </c>
      <c r="K1464" s="26">
        <v>10</v>
      </c>
      <c r="L1464" s="26">
        <v>10</v>
      </c>
      <c r="N1464">
        <v>3</v>
      </c>
      <c r="O1464">
        <v>0.1</v>
      </c>
      <c r="W1464">
        <v>4</v>
      </c>
      <c r="X1464">
        <v>0.1</v>
      </c>
      <c r="AD1464" s="3">
        <f t="shared" si="188"/>
        <v>1.3333333333333333</v>
      </c>
      <c r="AI1464" s="3">
        <f t="shared" si="186"/>
        <v>1.3333333333333333</v>
      </c>
      <c r="AL1464" s="58">
        <f t="shared" si="189"/>
        <v>3.086419753086421E-2</v>
      </c>
      <c r="AM1464" s="7"/>
      <c r="AN1464" s="7"/>
      <c r="AO1464" s="58">
        <f t="shared" si="190"/>
        <v>3.086419753086421E-2</v>
      </c>
      <c r="AP1464" s="58">
        <f t="shared" si="191"/>
        <v>0.13176156917368251</v>
      </c>
      <c r="AU1464" s="10" t="s">
        <v>2</v>
      </c>
      <c r="AV1464" s="10" t="s">
        <v>2023</v>
      </c>
    </row>
    <row r="1465" spans="1:48" x14ac:dyDescent="0.3">
      <c r="A1465" s="6" t="s">
        <v>2444</v>
      </c>
      <c r="B1465" t="s">
        <v>131</v>
      </c>
      <c r="D1465" t="s">
        <v>903</v>
      </c>
      <c r="E1465">
        <v>2002</v>
      </c>
      <c r="F1465" t="s">
        <v>2661</v>
      </c>
      <c r="G1465" s="4" t="s">
        <v>34</v>
      </c>
      <c r="H1465" s="10" t="s">
        <v>17</v>
      </c>
      <c r="J1465" s="10" t="s">
        <v>140</v>
      </c>
      <c r="K1465" s="26">
        <v>10</v>
      </c>
      <c r="L1465" s="26">
        <v>10</v>
      </c>
      <c r="N1465">
        <v>3.2</v>
      </c>
      <c r="O1465">
        <v>0.04</v>
      </c>
      <c r="W1465">
        <v>4.2</v>
      </c>
      <c r="X1465">
        <v>0.1</v>
      </c>
      <c r="AD1465" s="3">
        <f t="shared" si="188"/>
        <v>1.3125</v>
      </c>
      <c r="AI1465" s="3">
        <f t="shared" si="186"/>
        <v>1.3125</v>
      </c>
      <c r="AL1465" s="58">
        <f t="shared" si="189"/>
        <v>1.2457275390625001E-2</v>
      </c>
      <c r="AM1465" s="7"/>
      <c r="AN1465" s="7"/>
      <c r="AO1465" s="58">
        <f t="shared" si="190"/>
        <v>1.2457275390625001E-2</v>
      </c>
      <c r="AP1465" s="58">
        <f t="shared" si="191"/>
        <v>8.5037840049961358E-2</v>
      </c>
      <c r="AU1465" s="10" t="s">
        <v>2</v>
      </c>
      <c r="AV1465" s="10" t="s">
        <v>2023</v>
      </c>
    </row>
    <row r="1466" spans="1:48" x14ac:dyDescent="0.3">
      <c r="A1466" s="6" t="s">
        <v>2444</v>
      </c>
      <c r="B1466" t="s">
        <v>131</v>
      </c>
      <c r="D1466" t="s">
        <v>903</v>
      </c>
      <c r="E1466">
        <v>2003</v>
      </c>
      <c r="F1466" t="s">
        <v>2661</v>
      </c>
      <c r="G1466" s="4" t="s">
        <v>34</v>
      </c>
      <c r="H1466" s="10" t="s">
        <v>17</v>
      </c>
      <c r="J1466" s="10" t="s">
        <v>140</v>
      </c>
      <c r="K1466" s="26">
        <v>10</v>
      </c>
      <c r="L1466" s="26">
        <v>10</v>
      </c>
      <c r="N1466">
        <v>3.1</v>
      </c>
      <c r="O1466">
        <v>0.1</v>
      </c>
      <c r="W1466">
        <v>4.5999999999999996</v>
      </c>
      <c r="X1466">
        <v>0.2</v>
      </c>
      <c r="AD1466" s="3">
        <f t="shared" si="188"/>
        <v>1.4838709677419353</v>
      </c>
      <c r="AI1466" s="3">
        <f t="shared" si="186"/>
        <v>1.4838709677419353</v>
      </c>
      <c r="AL1466" s="58">
        <f t="shared" si="189"/>
        <v>6.4535619655644E-2</v>
      </c>
      <c r="AM1466" s="7"/>
      <c r="AN1466" s="7"/>
      <c r="AO1466" s="58">
        <f t="shared" si="190"/>
        <v>6.4535619655644E-2</v>
      </c>
      <c r="AP1466" s="58">
        <f t="shared" si="191"/>
        <v>0.17119993850958912</v>
      </c>
      <c r="AU1466" s="10" t="s">
        <v>2</v>
      </c>
      <c r="AV1466" s="10" t="s">
        <v>2023</v>
      </c>
    </row>
    <row r="1467" spans="1:48" x14ac:dyDescent="0.3">
      <c r="A1467" s="6" t="s">
        <v>2444</v>
      </c>
      <c r="B1467" t="s">
        <v>131</v>
      </c>
      <c r="D1467" t="s">
        <v>903</v>
      </c>
      <c r="E1467">
        <v>2004</v>
      </c>
      <c r="F1467" t="s">
        <v>2661</v>
      </c>
      <c r="G1467" s="4" t="s">
        <v>34</v>
      </c>
      <c r="H1467" s="10" t="s">
        <v>17</v>
      </c>
      <c r="J1467" s="10" t="s">
        <v>140</v>
      </c>
      <c r="K1467" s="26">
        <v>10</v>
      </c>
      <c r="L1467" s="26">
        <v>10</v>
      </c>
      <c r="N1467">
        <v>3.1</v>
      </c>
      <c r="O1467">
        <v>0.1</v>
      </c>
      <c r="W1467">
        <v>4.5</v>
      </c>
      <c r="X1467">
        <v>0.1</v>
      </c>
      <c r="AD1467" s="3">
        <f t="shared" si="188"/>
        <v>1.4516129032258065</v>
      </c>
      <c r="AI1467" s="3">
        <f t="shared" si="186"/>
        <v>1.4516129032258065</v>
      </c>
      <c r="AL1467" s="58">
        <f t="shared" si="189"/>
        <v>3.2332778572441781E-2</v>
      </c>
      <c r="AM1467" s="7"/>
      <c r="AN1467" s="7"/>
      <c r="AO1467" s="58">
        <f t="shared" si="190"/>
        <v>3.2332778572441781E-2</v>
      </c>
      <c r="AP1467" s="58">
        <f t="shared" si="191"/>
        <v>0.12387129961458265</v>
      </c>
      <c r="AU1467" s="10" t="s">
        <v>2</v>
      </c>
      <c r="AV1467" s="10" t="s">
        <v>2023</v>
      </c>
    </row>
    <row r="1468" spans="1:48" x14ac:dyDescent="0.3">
      <c r="A1468" s="6" t="s">
        <v>2444</v>
      </c>
      <c r="B1468" t="s">
        <v>131</v>
      </c>
      <c r="D1468" t="s">
        <v>903</v>
      </c>
      <c r="E1468">
        <v>2001</v>
      </c>
      <c r="F1468" t="s">
        <v>2661</v>
      </c>
      <c r="G1468" s="4" t="s">
        <v>34</v>
      </c>
      <c r="H1468" s="10" t="s">
        <v>17</v>
      </c>
      <c r="J1468" s="10" t="s">
        <v>2445</v>
      </c>
      <c r="K1468" s="26">
        <v>10</v>
      </c>
      <c r="L1468" s="26">
        <v>10</v>
      </c>
      <c r="N1468">
        <v>3</v>
      </c>
      <c r="O1468">
        <v>0.1</v>
      </c>
      <c r="W1468">
        <v>3</v>
      </c>
      <c r="X1468">
        <v>0.1</v>
      </c>
      <c r="AD1468" s="3">
        <f t="shared" si="188"/>
        <v>1</v>
      </c>
      <c r="AI1468" s="3">
        <f t="shared" si="186"/>
        <v>1</v>
      </c>
      <c r="AL1468" s="58">
        <f t="shared" si="189"/>
        <v>2.222222222222223E-2</v>
      </c>
      <c r="AM1468" s="7"/>
      <c r="AN1468" s="7"/>
      <c r="AO1468" s="58">
        <f t="shared" si="190"/>
        <v>2.222222222222223E-2</v>
      </c>
      <c r="AP1468" s="58">
        <f t="shared" si="191"/>
        <v>0.14907119849998601</v>
      </c>
      <c r="AU1468" s="10" t="s">
        <v>2</v>
      </c>
      <c r="AV1468" s="10" t="s">
        <v>2023</v>
      </c>
    </row>
    <row r="1469" spans="1:48" x14ac:dyDescent="0.3">
      <c r="A1469" s="6" t="s">
        <v>2444</v>
      </c>
      <c r="B1469" t="s">
        <v>131</v>
      </c>
      <c r="D1469" t="s">
        <v>903</v>
      </c>
      <c r="E1469">
        <v>2002</v>
      </c>
      <c r="F1469" t="s">
        <v>2661</v>
      </c>
      <c r="G1469" s="4" t="s">
        <v>34</v>
      </c>
      <c r="H1469" s="10" t="s">
        <v>17</v>
      </c>
      <c r="J1469" s="10" t="s">
        <v>2445</v>
      </c>
      <c r="K1469" s="26">
        <v>10</v>
      </c>
      <c r="L1469" s="26">
        <v>10</v>
      </c>
      <c r="N1469">
        <v>3.2</v>
      </c>
      <c r="O1469">
        <v>0.04</v>
      </c>
      <c r="W1469">
        <v>3.2</v>
      </c>
      <c r="X1469">
        <v>0.2</v>
      </c>
      <c r="AD1469" s="3">
        <f t="shared" si="188"/>
        <v>1</v>
      </c>
      <c r="AI1469" s="3">
        <f t="shared" si="186"/>
        <v>1</v>
      </c>
      <c r="AL1469" s="58">
        <f t="shared" si="189"/>
        <v>4.0625000000000008E-2</v>
      </c>
      <c r="AM1469" s="7"/>
      <c r="AN1469" s="7"/>
      <c r="AO1469" s="58">
        <f t="shared" si="190"/>
        <v>4.0625000000000008E-2</v>
      </c>
      <c r="AP1469" s="58">
        <f t="shared" si="191"/>
        <v>0.20155644370746376</v>
      </c>
      <c r="AU1469" s="10" t="s">
        <v>2</v>
      </c>
      <c r="AV1469" s="10" t="s">
        <v>2023</v>
      </c>
    </row>
    <row r="1470" spans="1:48" x14ac:dyDescent="0.3">
      <c r="A1470" s="6" t="s">
        <v>2444</v>
      </c>
      <c r="B1470" t="s">
        <v>131</v>
      </c>
      <c r="D1470" t="s">
        <v>903</v>
      </c>
      <c r="E1470">
        <v>2003</v>
      </c>
      <c r="F1470" t="s">
        <v>2661</v>
      </c>
      <c r="G1470" s="4" t="s">
        <v>34</v>
      </c>
      <c r="H1470" s="10" t="s">
        <v>17</v>
      </c>
      <c r="J1470" s="10" t="s">
        <v>2445</v>
      </c>
      <c r="K1470" s="26">
        <v>10</v>
      </c>
      <c r="L1470" s="26">
        <v>10</v>
      </c>
      <c r="N1470">
        <v>3.1</v>
      </c>
      <c r="O1470">
        <v>0.1</v>
      </c>
      <c r="W1470">
        <v>3.2</v>
      </c>
      <c r="X1470">
        <v>0.1</v>
      </c>
      <c r="AD1470" s="3">
        <f t="shared" si="188"/>
        <v>1.032258064516129</v>
      </c>
      <c r="AI1470" s="3">
        <f t="shared" si="186"/>
        <v>1.032258064516129</v>
      </c>
      <c r="AL1470" s="58">
        <f t="shared" si="189"/>
        <v>2.1493826345042509E-2</v>
      </c>
      <c r="AM1470" s="7"/>
      <c r="AN1470" s="7"/>
      <c r="AO1470" s="58">
        <f t="shared" si="190"/>
        <v>2.1493826345042509E-2</v>
      </c>
      <c r="AP1470" s="58">
        <f t="shared" si="191"/>
        <v>0.14202623793957028</v>
      </c>
      <c r="AU1470" s="10" t="s">
        <v>2</v>
      </c>
      <c r="AV1470" s="10" t="s">
        <v>2023</v>
      </c>
    </row>
    <row r="1471" spans="1:48" x14ac:dyDescent="0.3">
      <c r="A1471" s="6" t="s">
        <v>2444</v>
      </c>
      <c r="B1471" t="s">
        <v>131</v>
      </c>
      <c r="D1471" t="s">
        <v>903</v>
      </c>
      <c r="E1471">
        <v>2004</v>
      </c>
      <c r="F1471" t="s">
        <v>2661</v>
      </c>
      <c r="G1471" s="4" t="s">
        <v>34</v>
      </c>
      <c r="H1471" s="10" t="s">
        <v>17</v>
      </c>
      <c r="J1471" s="10" t="s">
        <v>2445</v>
      </c>
      <c r="K1471" s="26">
        <v>10</v>
      </c>
      <c r="L1471" s="26">
        <v>10</v>
      </c>
      <c r="N1471">
        <v>3.1</v>
      </c>
      <c r="O1471">
        <v>0.1</v>
      </c>
      <c r="W1471">
        <v>3.8</v>
      </c>
      <c r="X1471">
        <v>0.1</v>
      </c>
      <c r="AD1471" s="3">
        <f t="shared" ref="AD1471:AD1498" si="192">W1471/N1471</f>
        <v>1.225806451612903</v>
      </c>
      <c r="AI1471" s="3">
        <f t="shared" si="186"/>
        <v>1.225806451612903</v>
      </c>
      <c r="AL1471" s="58">
        <f t="shared" ref="AL1471:AL1495" si="193">(((X1471*SQRT(L1471))^2)/(N1471^2))+((O1471*SQRT(K1471))^2)*(W1471^2)/(N1471^4)</f>
        <v>2.6041638468426817E-2</v>
      </c>
      <c r="AM1471" s="7"/>
      <c r="AN1471" s="7"/>
      <c r="AO1471" s="58">
        <f t="shared" si="190"/>
        <v>2.6041638468426817E-2</v>
      </c>
      <c r="AP1471" s="58">
        <f t="shared" si="191"/>
        <v>0.13164738895815642</v>
      </c>
      <c r="AU1471" s="10" t="s">
        <v>2</v>
      </c>
      <c r="AV1471" s="10" t="s">
        <v>2023</v>
      </c>
    </row>
    <row r="1472" spans="1:48" x14ac:dyDescent="0.3">
      <c r="A1472" s="6" t="s">
        <v>2444</v>
      </c>
      <c r="B1472" t="s">
        <v>131</v>
      </c>
      <c r="D1472" t="s">
        <v>909</v>
      </c>
      <c r="E1472">
        <v>2001</v>
      </c>
      <c r="F1472" t="s">
        <v>2661</v>
      </c>
      <c r="G1472" s="4" t="s">
        <v>34</v>
      </c>
      <c r="H1472" s="10" t="s">
        <v>17</v>
      </c>
      <c r="J1472" s="10" t="s">
        <v>140</v>
      </c>
      <c r="K1472" s="26">
        <v>10</v>
      </c>
      <c r="L1472" s="26">
        <v>10</v>
      </c>
      <c r="N1472">
        <v>2.6</v>
      </c>
      <c r="O1472">
        <v>0.2</v>
      </c>
      <c r="W1472">
        <v>4.2</v>
      </c>
      <c r="X1472">
        <v>0.2</v>
      </c>
      <c r="AD1472" s="3">
        <f t="shared" si="192"/>
        <v>1.6153846153846154</v>
      </c>
      <c r="AI1472" s="3">
        <f t="shared" si="186"/>
        <v>1.6153846153846154</v>
      </c>
      <c r="AL1472" s="58">
        <f t="shared" si="193"/>
        <v>0.2135779559539232</v>
      </c>
      <c r="AM1472" s="7"/>
      <c r="AN1472" s="7"/>
      <c r="AO1472" s="58">
        <f t="shared" si="190"/>
        <v>0.2135779559539232</v>
      </c>
      <c r="AP1472" s="58">
        <f t="shared" si="191"/>
        <v>0.28608973171819246</v>
      </c>
      <c r="AU1472" s="10" t="s">
        <v>2</v>
      </c>
      <c r="AV1472" s="10" t="s">
        <v>2023</v>
      </c>
    </row>
    <row r="1473" spans="1:48" x14ac:dyDescent="0.3">
      <c r="A1473" s="6" t="s">
        <v>2444</v>
      </c>
      <c r="B1473" t="s">
        <v>131</v>
      </c>
      <c r="D1473" t="s">
        <v>909</v>
      </c>
      <c r="E1473">
        <v>2002</v>
      </c>
      <c r="F1473" t="s">
        <v>2661</v>
      </c>
      <c r="G1473" s="4" t="s">
        <v>34</v>
      </c>
      <c r="H1473" s="10" t="s">
        <v>17</v>
      </c>
      <c r="J1473" s="10" t="s">
        <v>140</v>
      </c>
      <c r="K1473" s="26">
        <v>10</v>
      </c>
      <c r="L1473" s="26">
        <v>10</v>
      </c>
      <c r="N1473">
        <v>3</v>
      </c>
      <c r="O1473">
        <v>0.2</v>
      </c>
      <c r="W1473">
        <v>5.3</v>
      </c>
      <c r="X1473">
        <v>0.2</v>
      </c>
      <c r="AD1473" s="3">
        <f t="shared" si="192"/>
        <v>1.7666666666666666</v>
      </c>
      <c r="AI1473" s="3">
        <f t="shared" si="186"/>
        <v>1.7666666666666666</v>
      </c>
      <c r="AL1473" s="58">
        <f t="shared" si="193"/>
        <v>0.18316049382716054</v>
      </c>
      <c r="AM1473" s="7"/>
      <c r="AN1473" s="7"/>
      <c r="AO1473" s="58">
        <f t="shared" si="190"/>
        <v>0.18316049382716054</v>
      </c>
      <c r="AP1473" s="58">
        <f t="shared" si="191"/>
        <v>0.24224860677550303</v>
      </c>
      <c r="AU1473" s="10" t="s">
        <v>2</v>
      </c>
      <c r="AV1473" s="10" t="s">
        <v>2023</v>
      </c>
    </row>
    <row r="1474" spans="1:48" x14ac:dyDescent="0.3">
      <c r="A1474" s="6" t="s">
        <v>2444</v>
      </c>
      <c r="B1474" t="s">
        <v>131</v>
      </c>
      <c r="D1474" t="s">
        <v>909</v>
      </c>
      <c r="E1474">
        <v>2003</v>
      </c>
      <c r="F1474" t="s">
        <v>2661</v>
      </c>
      <c r="G1474" s="4" t="s">
        <v>34</v>
      </c>
      <c r="H1474" s="10" t="s">
        <v>17</v>
      </c>
      <c r="J1474" s="10" t="s">
        <v>140</v>
      </c>
      <c r="K1474" s="26">
        <v>10</v>
      </c>
      <c r="L1474" s="26">
        <v>10</v>
      </c>
      <c r="N1474">
        <v>3</v>
      </c>
      <c r="O1474">
        <v>0.04</v>
      </c>
      <c r="W1474">
        <v>6.3</v>
      </c>
      <c r="X1474">
        <v>0.1</v>
      </c>
      <c r="AD1474" s="3">
        <f t="shared" si="192"/>
        <v>2.1</v>
      </c>
      <c r="AI1474" s="3">
        <f t="shared" si="186"/>
        <v>2.1</v>
      </c>
      <c r="AL1474" s="58">
        <f t="shared" si="193"/>
        <v>1.8951111111111116E-2</v>
      </c>
      <c r="AM1474" s="7"/>
      <c r="AN1474" s="7"/>
      <c r="AO1474" s="58">
        <f t="shared" si="190"/>
        <v>1.8951111111111116E-2</v>
      </c>
      <c r="AP1474" s="58">
        <f t="shared" si="191"/>
        <v>6.5553826027379344E-2</v>
      </c>
      <c r="AU1474" s="10" t="s">
        <v>2</v>
      </c>
      <c r="AV1474" s="10" t="s">
        <v>2023</v>
      </c>
    </row>
    <row r="1475" spans="1:48" x14ac:dyDescent="0.3">
      <c r="A1475" s="6" t="s">
        <v>2444</v>
      </c>
      <c r="B1475" t="s">
        <v>131</v>
      </c>
      <c r="D1475" t="s">
        <v>909</v>
      </c>
      <c r="E1475">
        <v>2004</v>
      </c>
      <c r="F1475" t="s">
        <v>2661</v>
      </c>
      <c r="G1475" s="4" t="s">
        <v>34</v>
      </c>
      <c r="H1475" s="10" t="s">
        <v>17</v>
      </c>
      <c r="J1475" s="10" t="s">
        <v>140</v>
      </c>
      <c r="K1475" s="26">
        <v>10</v>
      </c>
      <c r="L1475" s="26">
        <v>10</v>
      </c>
      <c r="N1475">
        <v>3.6</v>
      </c>
      <c r="O1475">
        <v>0.1</v>
      </c>
      <c r="W1475">
        <v>5.4</v>
      </c>
      <c r="X1475">
        <v>0.2</v>
      </c>
      <c r="AD1475" s="3">
        <f t="shared" si="192"/>
        <v>1.5</v>
      </c>
      <c r="AI1475" s="3">
        <f t="shared" si="186"/>
        <v>1.5</v>
      </c>
      <c r="AL1475" s="58">
        <f t="shared" si="193"/>
        <v>4.8225308641975322E-2</v>
      </c>
      <c r="AM1475" s="7"/>
      <c r="AN1475" s="7"/>
      <c r="AO1475" s="58">
        <f t="shared" si="190"/>
        <v>4.8225308641975322E-2</v>
      </c>
      <c r="AP1475" s="58">
        <f t="shared" si="191"/>
        <v>0.14640174352631388</v>
      </c>
      <c r="AU1475" s="10" t="s">
        <v>2</v>
      </c>
      <c r="AV1475" s="10" t="s">
        <v>2023</v>
      </c>
    </row>
    <row r="1476" spans="1:48" x14ac:dyDescent="0.3">
      <c r="A1476" s="6" t="s">
        <v>2444</v>
      </c>
      <c r="B1476" t="s">
        <v>131</v>
      </c>
      <c r="D1476" t="s">
        <v>909</v>
      </c>
      <c r="E1476">
        <v>2001</v>
      </c>
      <c r="F1476" t="s">
        <v>2661</v>
      </c>
      <c r="G1476" s="4" t="s">
        <v>34</v>
      </c>
      <c r="H1476" s="10" t="s">
        <v>17</v>
      </c>
      <c r="J1476" s="10" t="s">
        <v>2445</v>
      </c>
      <c r="K1476" s="26">
        <v>10</v>
      </c>
      <c r="L1476" s="26">
        <v>10</v>
      </c>
      <c r="N1476">
        <v>2.6</v>
      </c>
      <c r="O1476">
        <v>0.2</v>
      </c>
      <c r="W1476">
        <v>2.7</v>
      </c>
      <c r="X1476">
        <v>0.1</v>
      </c>
      <c r="AD1476" s="3">
        <f t="shared" si="192"/>
        <v>1.0384615384615385</v>
      </c>
      <c r="AI1476" s="3">
        <f t="shared" si="186"/>
        <v>1.0384615384615385</v>
      </c>
      <c r="AL1476" s="58">
        <f t="shared" si="193"/>
        <v>7.8603690346976673E-2</v>
      </c>
      <c r="AM1476" s="7"/>
      <c r="AN1476" s="7"/>
      <c r="AO1476" s="58">
        <f t="shared" si="190"/>
        <v>7.8603690346976673E-2</v>
      </c>
      <c r="AP1476" s="58">
        <f t="shared" si="191"/>
        <v>0.26997966360073239</v>
      </c>
      <c r="AU1476" s="10" t="s">
        <v>2</v>
      </c>
      <c r="AV1476" s="10" t="s">
        <v>2023</v>
      </c>
    </row>
    <row r="1477" spans="1:48" x14ac:dyDescent="0.3">
      <c r="A1477" s="6" t="s">
        <v>2444</v>
      </c>
      <c r="B1477" t="s">
        <v>131</v>
      </c>
      <c r="D1477" t="s">
        <v>909</v>
      </c>
      <c r="E1477">
        <v>2002</v>
      </c>
      <c r="F1477" t="s">
        <v>2661</v>
      </c>
      <c r="G1477" s="4" t="s">
        <v>34</v>
      </c>
      <c r="H1477" s="10" t="s">
        <v>17</v>
      </c>
      <c r="J1477" s="10" t="s">
        <v>2445</v>
      </c>
      <c r="K1477" s="26">
        <v>10</v>
      </c>
      <c r="L1477" s="26">
        <v>10</v>
      </c>
      <c r="N1477">
        <v>3</v>
      </c>
      <c r="O1477">
        <v>0.2</v>
      </c>
      <c r="W1477">
        <v>3.1</v>
      </c>
      <c r="X1477">
        <v>0.1</v>
      </c>
      <c r="AD1477" s="3">
        <f t="shared" si="192"/>
        <v>1.0333333333333334</v>
      </c>
      <c r="AI1477" s="3">
        <f t="shared" si="186"/>
        <v>1.0333333333333334</v>
      </c>
      <c r="AL1477" s="58">
        <f t="shared" si="193"/>
        <v>5.8567901234567926E-2</v>
      </c>
      <c r="AM1477" s="7"/>
      <c r="AN1477" s="7"/>
      <c r="AO1477" s="58">
        <f t="shared" si="190"/>
        <v>5.8567901234567926E-2</v>
      </c>
      <c r="AP1477" s="58">
        <f t="shared" si="191"/>
        <v>0.23420134864622766</v>
      </c>
      <c r="AU1477" s="10" t="s">
        <v>2</v>
      </c>
      <c r="AV1477" s="10" t="s">
        <v>2023</v>
      </c>
    </row>
    <row r="1478" spans="1:48" x14ac:dyDescent="0.3">
      <c r="A1478" s="6" t="s">
        <v>2444</v>
      </c>
      <c r="B1478" t="s">
        <v>131</v>
      </c>
      <c r="D1478" t="s">
        <v>909</v>
      </c>
      <c r="E1478">
        <v>2003</v>
      </c>
      <c r="F1478" t="s">
        <v>2661</v>
      </c>
      <c r="G1478" s="4" t="s">
        <v>34</v>
      </c>
      <c r="H1478" s="10" t="s">
        <v>17</v>
      </c>
      <c r="J1478" s="10" t="s">
        <v>2445</v>
      </c>
      <c r="K1478" s="26">
        <v>10</v>
      </c>
      <c r="L1478" s="26">
        <v>10</v>
      </c>
      <c r="N1478">
        <v>3</v>
      </c>
      <c r="O1478">
        <v>0.04</v>
      </c>
      <c r="W1478">
        <v>3.1</v>
      </c>
      <c r="X1478">
        <v>0.1</v>
      </c>
      <c r="AD1478" s="3">
        <f t="shared" si="192"/>
        <v>1.0333333333333334</v>
      </c>
      <c r="AI1478" s="3">
        <f t="shared" si="186"/>
        <v>1.0333333333333334</v>
      </c>
      <c r="AL1478" s="58">
        <f t="shared" si="193"/>
        <v>1.3009382716049388E-2</v>
      </c>
      <c r="AM1478" s="7"/>
      <c r="AN1478" s="7"/>
      <c r="AO1478" s="58">
        <f t="shared" si="190"/>
        <v>1.3009382716049388E-2</v>
      </c>
      <c r="AP1478" s="58">
        <f t="shared" si="191"/>
        <v>0.11037936872914797</v>
      </c>
      <c r="AU1478" s="10" t="s">
        <v>2</v>
      </c>
      <c r="AV1478" s="10" t="s">
        <v>2023</v>
      </c>
    </row>
    <row r="1479" spans="1:48" x14ac:dyDescent="0.3">
      <c r="A1479" s="6" t="s">
        <v>2444</v>
      </c>
      <c r="B1479" t="s">
        <v>131</v>
      </c>
      <c r="D1479" t="s">
        <v>909</v>
      </c>
      <c r="E1479">
        <v>2004</v>
      </c>
      <c r="F1479" t="s">
        <v>2661</v>
      </c>
      <c r="G1479" s="4" t="s">
        <v>34</v>
      </c>
      <c r="H1479" s="10" t="s">
        <v>17</v>
      </c>
      <c r="J1479" s="10" t="s">
        <v>2445</v>
      </c>
      <c r="K1479" s="26">
        <v>10</v>
      </c>
      <c r="L1479" s="26">
        <v>10</v>
      </c>
      <c r="N1479">
        <v>3.6</v>
      </c>
      <c r="O1479">
        <v>0.1</v>
      </c>
      <c r="W1479">
        <v>3.8</v>
      </c>
      <c r="X1479">
        <v>0.2</v>
      </c>
      <c r="AD1479" s="3">
        <f t="shared" si="192"/>
        <v>1.0555555555555556</v>
      </c>
      <c r="AI1479" s="3">
        <f t="shared" si="186"/>
        <v>1.0555555555555556</v>
      </c>
      <c r="AL1479" s="58">
        <f t="shared" si="193"/>
        <v>3.9461400701112648E-2</v>
      </c>
      <c r="AM1479" s="7"/>
      <c r="AN1479" s="7"/>
      <c r="AO1479" s="58">
        <f t="shared" si="190"/>
        <v>3.9461400701112648E-2</v>
      </c>
      <c r="AP1479" s="58">
        <f t="shared" si="191"/>
        <v>0.18819373105299445</v>
      </c>
      <c r="AU1479" s="10" t="s">
        <v>2</v>
      </c>
      <c r="AV1479" s="10" t="s">
        <v>2023</v>
      </c>
    </row>
    <row r="1480" spans="1:48" x14ac:dyDescent="0.3">
      <c r="A1480" s="6" t="s">
        <v>2444</v>
      </c>
      <c r="B1480" t="s">
        <v>131</v>
      </c>
      <c r="D1480" t="s">
        <v>905</v>
      </c>
      <c r="E1480">
        <v>2001</v>
      </c>
      <c r="F1480" t="s">
        <v>2661</v>
      </c>
      <c r="G1480" s="4" t="s">
        <v>34</v>
      </c>
      <c r="H1480" s="10" t="s">
        <v>17</v>
      </c>
      <c r="J1480" s="10" t="s">
        <v>140</v>
      </c>
      <c r="K1480" s="26">
        <v>10</v>
      </c>
      <c r="L1480" s="26">
        <v>10</v>
      </c>
      <c r="N1480">
        <v>1</v>
      </c>
      <c r="O1480">
        <v>0.02</v>
      </c>
      <c r="W1480">
        <v>2.4</v>
      </c>
      <c r="X1480">
        <v>0.1</v>
      </c>
      <c r="AD1480" s="3">
        <f t="shared" si="192"/>
        <v>2.4</v>
      </c>
      <c r="AI1480" s="3">
        <f t="shared" si="186"/>
        <v>2.4</v>
      </c>
      <c r="AL1480" s="58">
        <f t="shared" si="193"/>
        <v>0.12304000000000004</v>
      </c>
      <c r="AM1480" s="7"/>
      <c r="AN1480" s="7"/>
      <c r="AO1480" s="58">
        <f t="shared" si="190"/>
        <v>0.12304000000000004</v>
      </c>
      <c r="AP1480" s="58">
        <f t="shared" si="191"/>
        <v>0.14615440845595837</v>
      </c>
      <c r="AU1480" s="10" t="s">
        <v>2</v>
      </c>
      <c r="AV1480" s="10" t="s">
        <v>2023</v>
      </c>
    </row>
    <row r="1481" spans="1:48" x14ac:dyDescent="0.3">
      <c r="A1481" s="6" t="s">
        <v>2444</v>
      </c>
      <c r="B1481" t="s">
        <v>131</v>
      </c>
      <c r="D1481" t="s">
        <v>905</v>
      </c>
      <c r="E1481">
        <v>2002</v>
      </c>
      <c r="F1481" t="s">
        <v>2661</v>
      </c>
      <c r="G1481" s="4" t="s">
        <v>34</v>
      </c>
      <c r="H1481" s="10" t="s">
        <v>17</v>
      </c>
      <c r="J1481" s="10" t="s">
        <v>140</v>
      </c>
      <c r="K1481" s="26">
        <v>10</v>
      </c>
      <c r="L1481" s="26">
        <v>10</v>
      </c>
      <c r="N1481">
        <v>1.1000000000000001</v>
      </c>
      <c r="O1481">
        <v>0.04</v>
      </c>
      <c r="W1481">
        <v>3.3</v>
      </c>
      <c r="X1481">
        <v>0.1</v>
      </c>
      <c r="AD1481" s="3">
        <f t="shared" si="192"/>
        <v>2.9999999999999996</v>
      </c>
      <c r="AI1481" s="3">
        <f t="shared" si="186"/>
        <v>2.9999999999999996</v>
      </c>
      <c r="AL1481" s="58">
        <f t="shared" si="193"/>
        <v>0.20165289256198349</v>
      </c>
      <c r="AM1481" s="7"/>
      <c r="AN1481" s="7"/>
      <c r="AO1481" s="58">
        <f t="shared" si="190"/>
        <v>0.20165289256198349</v>
      </c>
      <c r="AP1481" s="58">
        <f t="shared" si="191"/>
        <v>0.14968592769973904</v>
      </c>
      <c r="AU1481" s="10" t="s">
        <v>2</v>
      </c>
      <c r="AV1481" s="10" t="s">
        <v>2023</v>
      </c>
    </row>
    <row r="1482" spans="1:48" x14ac:dyDescent="0.3">
      <c r="A1482" s="6" t="s">
        <v>2444</v>
      </c>
      <c r="B1482" t="s">
        <v>131</v>
      </c>
      <c r="D1482" t="s">
        <v>905</v>
      </c>
      <c r="E1482">
        <v>2003</v>
      </c>
      <c r="F1482" t="s">
        <v>2661</v>
      </c>
      <c r="G1482" s="4" t="s">
        <v>34</v>
      </c>
      <c r="H1482" s="10" t="s">
        <v>17</v>
      </c>
      <c r="J1482" s="10" t="s">
        <v>140</v>
      </c>
      <c r="K1482" s="26">
        <v>10</v>
      </c>
      <c r="L1482" s="26">
        <v>10</v>
      </c>
      <c r="N1482">
        <v>1.1000000000000001</v>
      </c>
      <c r="O1482">
        <v>0.05</v>
      </c>
      <c r="W1482">
        <v>3.6</v>
      </c>
      <c r="X1482">
        <v>0.1</v>
      </c>
      <c r="AD1482" s="3">
        <f t="shared" si="192"/>
        <v>3.2727272727272725</v>
      </c>
      <c r="AI1482" s="3">
        <f t="shared" si="186"/>
        <v>3.2727272727272725</v>
      </c>
      <c r="AL1482" s="58">
        <f t="shared" si="193"/>
        <v>0.30394098763745647</v>
      </c>
      <c r="AM1482" s="7"/>
      <c r="AN1482" s="7"/>
      <c r="AO1482" s="58">
        <f t="shared" si="190"/>
        <v>0.30394098763745647</v>
      </c>
      <c r="AP1482" s="58">
        <f t="shared" si="191"/>
        <v>0.16845535434502948</v>
      </c>
      <c r="AU1482" s="10" t="s">
        <v>2</v>
      </c>
      <c r="AV1482" s="10" t="s">
        <v>2023</v>
      </c>
    </row>
    <row r="1483" spans="1:48" x14ac:dyDescent="0.3">
      <c r="A1483" s="6" t="s">
        <v>2444</v>
      </c>
      <c r="B1483" t="s">
        <v>131</v>
      </c>
      <c r="D1483" t="s">
        <v>905</v>
      </c>
      <c r="E1483">
        <v>2004</v>
      </c>
      <c r="F1483" t="s">
        <v>2661</v>
      </c>
      <c r="G1483" s="4" t="s">
        <v>34</v>
      </c>
      <c r="H1483" s="10" t="s">
        <v>17</v>
      </c>
      <c r="J1483" s="10" t="s">
        <v>140</v>
      </c>
      <c r="K1483" s="26">
        <v>10</v>
      </c>
      <c r="L1483" s="26">
        <v>10</v>
      </c>
      <c r="N1483">
        <v>1.1000000000000001</v>
      </c>
      <c r="O1483">
        <v>0.03</v>
      </c>
      <c r="W1483">
        <v>4.0999999999999996</v>
      </c>
      <c r="X1483">
        <v>0.3</v>
      </c>
      <c r="AD1483" s="3">
        <f t="shared" si="192"/>
        <v>3.7272727272727266</v>
      </c>
      <c r="AI1483" s="3">
        <f t="shared" si="186"/>
        <v>3.7272727272727266</v>
      </c>
      <c r="AL1483" s="58">
        <f t="shared" si="193"/>
        <v>0.84713475855474341</v>
      </c>
      <c r="AM1483" s="7"/>
      <c r="AN1483" s="7"/>
      <c r="AO1483" s="58">
        <f t="shared" si="190"/>
        <v>0.84713475855474341</v>
      </c>
      <c r="AP1483" s="58">
        <f t="shared" si="191"/>
        <v>0.24693638110810526</v>
      </c>
      <c r="AU1483" s="10" t="s">
        <v>2</v>
      </c>
      <c r="AV1483" s="10" t="s">
        <v>2023</v>
      </c>
    </row>
    <row r="1484" spans="1:48" x14ac:dyDescent="0.3">
      <c r="A1484" s="6" t="s">
        <v>2444</v>
      </c>
      <c r="B1484" t="s">
        <v>131</v>
      </c>
      <c r="D1484" t="s">
        <v>905</v>
      </c>
      <c r="E1484">
        <v>2001</v>
      </c>
      <c r="F1484" t="s">
        <v>2661</v>
      </c>
      <c r="G1484" s="4" t="s">
        <v>34</v>
      </c>
      <c r="H1484" s="10" t="s">
        <v>17</v>
      </c>
      <c r="J1484" s="10" t="s">
        <v>2445</v>
      </c>
      <c r="K1484" s="26">
        <v>10</v>
      </c>
      <c r="L1484" s="26">
        <v>10</v>
      </c>
      <c r="N1484">
        <v>1</v>
      </c>
      <c r="O1484">
        <v>0.02</v>
      </c>
      <c r="W1484">
        <v>1</v>
      </c>
      <c r="X1484">
        <v>0.01</v>
      </c>
      <c r="AD1484" s="3">
        <f t="shared" si="192"/>
        <v>1</v>
      </c>
      <c r="AI1484" s="3">
        <f t="shared" si="186"/>
        <v>1</v>
      </c>
      <c r="AL1484" s="58">
        <f t="shared" si="193"/>
        <v>5.000000000000001E-3</v>
      </c>
      <c r="AM1484" s="7"/>
      <c r="AN1484" s="7"/>
      <c r="AO1484" s="58">
        <f t="shared" si="190"/>
        <v>5.000000000000001E-3</v>
      </c>
      <c r="AP1484" s="58">
        <f t="shared" si="191"/>
        <v>7.0710678118654766E-2</v>
      </c>
      <c r="AU1484" s="10" t="s">
        <v>2</v>
      </c>
      <c r="AV1484" s="10" t="s">
        <v>2023</v>
      </c>
    </row>
    <row r="1485" spans="1:48" x14ac:dyDescent="0.3">
      <c r="A1485" s="6" t="s">
        <v>2444</v>
      </c>
      <c r="B1485" t="s">
        <v>131</v>
      </c>
      <c r="D1485" t="s">
        <v>905</v>
      </c>
      <c r="E1485">
        <v>2002</v>
      </c>
      <c r="F1485" t="s">
        <v>2661</v>
      </c>
      <c r="G1485" s="4" t="s">
        <v>34</v>
      </c>
      <c r="H1485" s="10" t="s">
        <v>17</v>
      </c>
      <c r="J1485" s="10" t="s">
        <v>2445</v>
      </c>
      <c r="K1485" s="26">
        <v>10</v>
      </c>
      <c r="L1485" s="26">
        <v>10</v>
      </c>
      <c r="N1485">
        <v>1.1000000000000001</v>
      </c>
      <c r="O1485">
        <v>0.04</v>
      </c>
      <c r="W1485">
        <v>1.1000000000000001</v>
      </c>
      <c r="X1485">
        <v>0.03</v>
      </c>
      <c r="AD1485" s="3">
        <f t="shared" si="192"/>
        <v>1</v>
      </c>
      <c r="AI1485" s="3">
        <f t="shared" si="186"/>
        <v>1</v>
      </c>
      <c r="AL1485" s="58">
        <f t="shared" si="193"/>
        <v>2.0661157024793392E-2</v>
      </c>
      <c r="AM1485" s="7"/>
      <c r="AN1485" s="7"/>
      <c r="AO1485" s="58">
        <f t="shared" si="190"/>
        <v>2.0661157024793392E-2</v>
      </c>
      <c r="AP1485" s="58">
        <f t="shared" si="191"/>
        <v>0.14373989364401726</v>
      </c>
      <c r="AU1485" s="10" t="s">
        <v>2</v>
      </c>
      <c r="AV1485" s="10" t="s">
        <v>2023</v>
      </c>
    </row>
    <row r="1486" spans="1:48" x14ac:dyDescent="0.3">
      <c r="A1486" s="6" t="s">
        <v>2444</v>
      </c>
      <c r="B1486" t="s">
        <v>131</v>
      </c>
      <c r="D1486" t="s">
        <v>905</v>
      </c>
      <c r="E1486">
        <v>2003</v>
      </c>
      <c r="F1486" t="s">
        <v>2661</v>
      </c>
      <c r="G1486" s="4" t="s">
        <v>34</v>
      </c>
      <c r="H1486" s="10" t="s">
        <v>17</v>
      </c>
      <c r="J1486" s="10" t="s">
        <v>2445</v>
      </c>
      <c r="K1486" s="26">
        <v>10</v>
      </c>
      <c r="L1486" s="26">
        <v>10</v>
      </c>
      <c r="N1486">
        <v>1.1000000000000001</v>
      </c>
      <c r="O1486">
        <v>0.05</v>
      </c>
      <c r="W1486">
        <v>1.2</v>
      </c>
      <c r="X1486">
        <v>0.04</v>
      </c>
      <c r="AD1486" s="3">
        <f t="shared" si="192"/>
        <v>1.0909090909090908</v>
      </c>
      <c r="AI1486" s="3">
        <f t="shared" si="186"/>
        <v>1.0909090909090908</v>
      </c>
      <c r="AL1486" s="58">
        <f t="shared" si="193"/>
        <v>3.7811624889010319E-2</v>
      </c>
      <c r="AM1486" s="7"/>
      <c r="AN1486" s="7"/>
      <c r="AO1486" s="58">
        <f t="shared" si="190"/>
        <v>3.7811624889010319E-2</v>
      </c>
      <c r="AP1486" s="58">
        <f t="shared" si="191"/>
        <v>0.17824777175579085</v>
      </c>
      <c r="AU1486" s="10" t="s">
        <v>2</v>
      </c>
      <c r="AV1486" s="10" t="s">
        <v>2023</v>
      </c>
    </row>
    <row r="1487" spans="1:48" x14ac:dyDescent="0.3">
      <c r="A1487" s="6" t="s">
        <v>2444</v>
      </c>
      <c r="B1487" t="s">
        <v>131</v>
      </c>
      <c r="D1487" t="s">
        <v>905</v>
      </c>
      <c r="E1487">
        <v>2004</v>
      </c>
      <c r="F1487" t="s">
        <v>2661</v>
      </c>
      <c r="G1487" s="4" t="s">
        <v>34</v>
      </c>
      <c r="H1487" s="10" t="s">
        <v>17</v>
      </c>
      <c r="J1487" s="10" t="s">
        <v>2445</v>
      </c>
      <c r="K1487" s="26">
        <v>10</v>
      </c>
      <c r="L1487" s="26">
        <v>10</v>
      </c>
      <c r="N1487">
        <v>1.1000000000000001</v>
      </c>
      <c r="O1487">
        <v>0.03</v>
      </c>
      <c r="W1487">
        <v>1.2</v>
      </c>
      <c r="X1487">
        <v>0.1</v>
      </c>
      <c r="AD1487" s="3">
        <f t="shared" si="192"/>
        <v>1.0909090909090908</v>
      </c>
      <c r="AI1487" s="3">
        <f t="shared" si="186"/>
        <v>1.0909090909090908</v>
      </c>
      <c r="AL1487" s="58">
        <f t="shared" si="193"/>
        <v>9.1496482480704883E-2</v>
      </c>
      <c r="AM1487" s="7"/>
      <c r="AN1487" s="7"/>
      <c r="AO1487" s="58">
        <f t="shared" si="190"/>
        <v>9.1496482480704883E-2</v>
      </c>
      <c r="AP1487" s="58">
        <f t="shared" si="191"/>
        <v>0.27727686700006204</v>
      </c>
      <c r="AU1487" s="10" t="s">
        <v>2</v>
      </c>
      <c r="AV1487" s="10" t="s">
        <v>2023</v>
      </c>
    </row>
    <row r="1488" spans="1:48" x14ac:dyDescent="0.3">
      <c r="A1488" s="6" t="s">
        <v>2444</v>
      </c>
      <c r="B1488" t="s">
        <v>131</v>
      </c>
      <c r="D1488" t="s">
        <v>904</v>
      </c>
      <c r="E1488">
        <v>2001</v>
      </c>
      <c r="F1488" t="s">
        <v>2661</v>
      </c>
      <c r="G1488" s="4" t="s">
        <v>34</v>
      </c>
      <c r="H1488" s="10" t="s">
        <v>17</v>
      </c>
      <c r="J1488" s="10" t="s">
        <v>140</v>
      </c>
      <c r="K1488" s="26">
        <v>10</v>
      </c>
      <c r="L1488" s="26">
        <v>10</v>
      </c>
      <c r="N1488">
        <v>2.7</v>
      </c>
      <c r="O1488">
        <v>0.1</v>
      </c>
      <c r="W1488">
        <v>5</v>
      </c>
      <c r="X1488">
        <v>0.2</v>
      </c>
      <c r="AD1488" s="3">
        <f t="shared" si="192"/>
        <v>1.8518518518518516</v>
      </c>
      <c r="AI1488" s="3">
        <f t="shared" si="186"/>
        <v>1.8518518518518516</v>
      </c>
      <c r="AL1488" s="58">
        <f t="shared" si="193"/>
        <v>0.10191159507828716</v>
      </c>
      <c r="AM1488" s="7"/>
      <c r="AN1488" s="7"/>
      <c r="AO1488" s="58">
        <f t="shared" si="190"/>
        <v>0.10191159507828716</v>
      </c>
      <c r="AP1488" s="58">
        <f t="shared" si="191"/>
        <v>0.1723874157960161</v>
      </c>
      <c r="AU1488" s="10" t="s">
        <v>2</v>
      </c>
      <c r="AV1488" s="10" t="s">
        <v>2023</v>
      </c>
    </row>
    <row r="1489" spans="1:48" x14ac:dyDescent="0.3">
      <c r="A1489" s="6" t="s">
        <v>2444</v>
      </c>
      <c r="B1489" t="s">
        <v>131</v>
      </c>
      <c r="D1489" t="s">
        <v>904</v>
      </c>
      <c r="E1489">
        <v>2002</v>
      </c>
      <c r="F1489" t="s">
        <v>2661</v>
      </c>
      <c r="G1489" s="4" t="s">
        <v>34</v>
      </c>
      <c r="H1489" s="10" t="s">
        <v>17</v>
      </c>
      <c r="J1489" s="10" t="s">
        <v>140</v>
      </c>
      <c r="K1489" s="26">
        <v>10</v>
      </c>
      <c r="L1489" s="26">
        <v>10</v>
      </c>
      <c r="N1489">
        <v>3.1</v>
      </c>
      <c r="O1489">
        <v>0.1</v>
      </c>
      <c r="W1489">
        <v>5.3</v>
      </c>
      <c r="X1489">
        <v>0.3</v>
      </c>
      <c r="AD1489" s="3">
        <f t="shared" si="192"/>
        <v>1.7096774193548385</v>
      </c>
      <c r="AI1489" s="3">
        <f t="shared" si="186"/>
        <v>1.7096774193548385</v>
      </c>
      <c r="AL1489" s="58">
        <f t="shared" si="193"/>
        <v>0.12406864597556524</v>
      </c>
      <c r="AM1489" s="7"/>
      <c r="AN1489" s="7"/>
      <c r="AO1489" s="58">
        <f t="shared" si="190"/>
        <v>0.12406864597556524</v>
      </c>
      <c r="AP1489" s="58">
        <f t="shared" si="191"/>
        <v>0.20602354016903038</v>
      </c>
      <c r="AU1489" s="10" t="s">
        <v>2</v>
      </c>
      <c r="AV1489" s="10" t="s">
        <v>2023</v>
      </c>
    </row>
    <row r="1490" spans="1:48" x14ac:dyDescent="0.3">
      <c r="A1490" s="6" t="s">
        <v>2444</v>
      </c>
      <c r="B1490" t="s">
        <v>131</v>
      </c>
      <c r="D1490" t="s">
        <v>904</v>
      </c>
      <c r="E1490">
        <v>2003</v>
      </c>
      <c r="F1490" t="s">
        <v>2661</v>
      </c>
      <c r="G1490" s="4" t="s">
        <v>34</v>
      </c>
      <c r="H1490" s="10" t="s">
        <v>17</v>
      </c>
      <c r="J1490" s="10" t="s">
        <v>140</v>
      </c>
      <c r="K1490" s="26">
        <v>10</v>
      </c>
      <c r="L1490" s="26">
        <v>10</v>
      </c>
      <c r="N1490">
        <v>2.6</v>
      </c>
      <c r="O1490">
        <v>0.2</v>
      </c>
      <c r="W1490">
        <v>5.4</v>
      </c>
      <c r="X1490">
        <v>0.3</v>
      </c>
      <c r="AD1490" s="3">
        <f t="shared" si="192"/>
        <v>2.0769230769230771</v>
      </c>
      <c r="AI1490" s="3">
        <f t="shared" si="186"/>
        <v>2.0769230769230771</v>
      </c>
      <c r="AL1490" s="58">
        <f t="shared" si="193"/>
        <v>0.38837925842932675</v>
      </c>
      <c r="AM1490" s="7"/>
      <c r="AN1490" s="7"/>
      <c r="AO1490" s="58">
        <f t="shared" si="190"/>
        <v>0.38837925842932675</v>
      </c>
      <c r="AP1490" s="58">
        <f t="shared" si="191"/>
        <v>0.30005965267593093</v>
      </c>
      <c r="AU1490" s="10" t="s">
        <v>2</v>
      </c>
      <c r="AV1490" s="10" t="s">
        <v>2023</v>
      </c>
    </row>
    <row r="1491" spans="1:48" x14ac:dyDescent="0.3">
      <c r="A1491" s="6" t="s">
        <v>2444</v>
      </c>
      <c r="B1491" t="s">
        <v>131</v>
      </c>
      <c r="D1491" t="s">
        <v>904</v>
      </c>
      <c r="E1491">
        <v>2004</v>
      </c>
      <c r="F1491" t="s">
        <v>2661</v>
      </c>
      <c r="G1491" s="4" t="s">
        <v>34</v>
      </c>
      <c r="H1491" s="10" t="s">
        <v>17</v>
      </c>
      <c r="J1491" s="10" t="s">
        <v>140</v>
      </c>
      <c r="K1491" s="26">
        <v>10</v>
      </c>
      <c r="L1491" s="26">
        <v>10</v>
      </c>
      <c r="N1491">
        <v>2.7</v>
      </c>
      <c r="O1491">
        <v>0.1</v>
      </c>
      <c r="W1491">
        <v>5.0999999999999996</v>
      </c>
      <c r="X1491">
        <v>0.2</v>
      </c>
      <c r="AD1491" s="3">
        <f t="shared" si="192"/>
        <v>1.8888888888888886</v>
      </c>
      <c r="AI1491" s="3">
        <f t="shared" si="186"/>
        <v>1.8888888888888886</v>
      </c>
      <c r="AL1491" s="58">
        <f t="shared" si="193"/>
        <v>0.10381208826567767</v>
      </c>
      <c r="AM1491" s="7"/>
      <c r="AN1491" s="7"/>
      <c r="AO1491" s="58">
        <f t="shared" ref="AO1491:AO1495" si="194">AL1491+AM1491+AN1491</f>
        <v>0.10381208826567767</v>
      </c>
      <c r="AP1491" s="58">
        <f t="shared" ref="AP1491:AP1495" si="195">SQRT(AO1491)/AI1491</f>
        <v>0.17057585299401645</v>
      </c>
      <c r="AU1491" s="10" t="s">
        <v>2</v>
      </c>
      <c r="AV1491" s="10" t="s">
        <v>2023</v>
      </c>
    </row>
    <row r="1492" spans="1:48" x14ac:dyDescent="0.3">
      <c r="A1492" s="6" t="s">
        <v>2444</v>
      </c>
      <c r="B1492" t="s">
        <v>131</v>
      </c>
      <c r="D1492" t="s">
        <v>904</v>
      </c>
      <c r="E1492">
        <v>2001</v>
      </c>
      <c r="F1492" t="s">
        <v>2661</v>
      </c>
      <c r="G1492" s="4" t="s">
        <v>34</v>
      </c>
      <c r="H1492" s="10" t="s">
        <v>17</v>
      </c>
      <c r="J1492" s="10" t="s">
        <v>2445</v>
      </c>
      <c r="K1492" s="26">
        <v>10</v>
      </c>
      <c r="L1492" s="26">
        <v>10</v>
      </c>
      <c r="N1492">
        <v>2.7</v>
      </c>
      <c r="O1492">
        <v>0.1</v>
      </c>
      <c r="W1492">
        <v>2.9</v>
      </c>
      <c r="X1492">
        <v>0.1</v>
      </c>
      <c r="AD1492" s="3">
        <f t="shared" si="192"/>
        <v>1.074074074074074</v>
      </c>
      <c r="AI1492" s="3">
        <f t="shared" si="186"/>
        <v>1.074074074074074</v>
      </c>
      <c r="AL1492" s="58">
        <f t="shared" si="193"/>
        <v>2.9542319843595059E-2</v>
      </c>
      <c r="AM1492" s="7"/>
      <c r="AN1492" s="7"/>
      <c r="AO1492" s="58">
        <f t="shared" si="194"/>
        <v>2.9542319843595059E-2</v>
      </c>
      <c r="AP1492" s="58">
        <f t="shared" si="195"/>
        <v>0.16002508411419758</v>
      </c>
      <c r="AU1492" s="10" t="s">
        <v>2</v>
      </c>
      <c r="AV1492" s="10" t="s">
        <v>2023</v>
      </c>
    </row>
    <row r="1493" spans="1:48" x14ac:dyDescent="0.3">
      <c r="A1493" s="6" t="s">
        <v>2444</v>
      </c>
      <c r="B1493" t="s">
        <v>131</v>
      </c>
      <c r="D1493" t="s">
        <v>904</v>
      </c>
      <c r="E1493">
        <v>2002</v>
      </c>
      <c r="F1493" t="s">
        <v>2661</v>
      </c>
      <c r="G1493" s="4" t="s">
        <v>34</v>
      </c>
      <c r="H1493" s="10" t="s">
        <v>17</v>
      </c>
      <c r="J1493" s="10" t="s">
        <v>2445</v>
      </c>
      <c r="K1493" s="26">
        <v>10</v>
      </c>
      <c r="L1493" s="26">
        <v>10</v>
      </c>
      <c r="N1493">
        <v>3.1</v>
      </c>
      <c r="O1493">
        <v>0.1</v>
      </c>
      <c r="W1493">
        <v>3.3</v>
      </c>
      <c r="X1493">
        <v>0.1</v>
      </c>
      <c r="AD1493" s="3">
        <f t="shared" si="192"/>
        <v>1.064516129032258</v>
      </c>
      <c r="AI1493" s="3">
        <f t="shared" si="186"/>
        <v>1.064516129032258</v>
      </c>
      <c r="AL1493" s="58">
        <f t="shared" si="193"/>
        <v>2.2197654411756744E-2</v>
      </c>
      <c r="AM1493" s="7"/>
      <c r="AN1493" s="7"/>
      <c r="AO1493" s="58">
        <f t="shared" si="194"/>
        <v>2.2197654411756744E-2</v>
      </c>
      <c r="AP1493" s="58">
        <f t="shared" si="195"/>
        <v>0.13995915017865448</v>
      </c>
      <c r="AU1493" s="10" t="s">
        <v>2</v>
      </c>
      <c r="AV1493" s="10" t="s">
        <v>2023</v>
      </c>
    </row>
    <row r="1494" spans="1:48" x14ac:dyDescent="0.3">
      <c r="A1494" s="6" t="s">
        <v>2444</v>
      </c>
      <c r="B1494" t="s">
        <v>131</v>
      </c>
      <c r="D1494" t="s">
        <v>904</v>
      </c>
      <c r="E1494">
        <v>2003</v>
      </c>
      <c r="F1494" t="s">
        <v>2661</v>
      </c>
      <c r="G1494" s="4" t="s">
        <v>34</v>
      </c>
      <c r="H1494" s="10" t="s">
        <v>17</v>
      </c>
      <c r="J1494" s="10" t="s">
        <v>2445</v>
      </c>
      <c r="K1494" s="26">
        <v>10</v>
      </c>
      <c r="L1494" s="26">
        <v>10</v>
      </c>
      <c r="N1494">
        <v>2.6</v>
      </c>
      <c r="O1494">
        <v>0.2</v>
      </c>
      <c r="W1494">
        <v>3.1</v>
      </c>
      <c r="X1494">
        <v>0.1</v>
      </c>
      <c r="AD1494" s="3">
        <f t="shared" si="192"/>
        <v>1.1923076923076923</v>
      </c>
      <c r="AI1494" s="3">
        <f t="shared" si="186"/>
        <v>1.1923076923076923</v>
      </c>
      <c r="AL1494" s="58">
        <f t="shared" si="193"/>
        <v>9.8911102552431671E-2</v>
      </c>
      <c r="AM1494" s="7"/>
      <c r="AN1494" s="7"/>
      <c r="AO1494" s="58">
        <f t="shared" si="194"/>
        <v>9.8911102552431671E-2</v>
      </c>
      <c r="AP1494" s="58">
        <f t="shared" si="195"/>
        <v>0.26377533034081019</v>
      </c>
      <c r="AU1494" s="10" t="s">
        <v>2</v>
      </c>
      <c r="AV1494" s="10" t="s">
        <v>2023</v>
      </c>
    </row>
    <row r="1495" spans="1:48" x14ac:dyDescent="0.3">
      <c r="A1495" s="6" t="s">
        <v>2444</v>
      </c>
      <c r="B1495" t="s">
        <v>131</v>
      </c>
      <c r="D1495" t="s">
        <v>904</v>
      </c>
      <c r="E1495">
        <v>2004</v>
      </c>
      <c r="F1495" t="s">
        <v>2661</v>
      </c>
      <c r="G1495" s="4" t="s">
        <v>34</v>
      </c>
      <c r="H1495" s="10" t="s">
        <v>17</v>
      </c>
      <c r="J1495" s="10" t="s">
        <v>2445</v>
      </c>
      <c r="K1495" s="26">
        <v>10</v>
      </c>
      <c r="L1495" s="26">
        <v>10</v>
      </c>
      <c r="N1495">
        <v>2.7</v>
      </c>
      <c r="O1495">
        <v>0.1</v>
      </c>
      <c r="W1495">
        <v>3</v>
      </c>
      <c r="X1495">
        <v>0.2</v>
      </c>
      <c r="AD1495" s="3">
        <f t="shared" si="192"/>
        <v>1.1111111111111109</v>
      </c>
      <c r="AI1495" s="3">
        <f t="shared" si="186"/>
        <v>1.1111111111111109</v>
      </c>
      <c r="AL1495" s="58">
        <f t="shared" si="193"/>
        <v>7.180477230774443E-2</v>
      </c>
      <c r="AM1495" s="7"/>
      <c r="AN1495" s="7"/>
      <c r="AO1495" s="58">
        <f t="shared" si="194"/>
        <v>7.180477230774443E-2</v>
      </c>
      <c r="AP1495" s="58">
        <f t="shared" si="195"/>
        <v>0.24116771253481054</v>
      </c>
      <c r="AU1495" s="10" t="s">
        <v>2</v>
      </c>
      <c r="AV1495" s="10" t="s">
        <v>2023</v>
      </c>
    </row>
    <row r="1496" spans="1:48" x14ac:dyDescent="0.3">
      <c r="A1496" s="6" t="s">
        <v>2446</v>
      </c>
      <c r="B1496" t="s">
        <v>499</v>
      </c>
      <c r="C1496" t="s">
        <v>500</v>
      </c>
      <c r="D1496" t="s">
        <v>2447</v>
      </c>
      <c r="E1496">
        <v>1988</v>
      </c>
      <c r="F1496" t="s">
        <v>2661</v>
      </c>
      <c r="G1496" s="4" t="s">
        <v>34</v>
      </c>
      <c r="H1496" s="10" t="s">
        <v>17</v>
      </c>
      <c r="I1496" s="4" t="s">
        <v>2449</v>
      </c>
      <c r="J1496" s="10" t="s">
        <v>2448</v>
      </c>
      <c r="K1496" s="26">
        <v>4</v>
      </c>
      <c r="L1496" s="26">
        <v>4</v>
      </c>
      <c r="N1496">
        <v>910</v>
      </c>
      <c r="P1496">
        <v>860</v>
      </c>
      <c r="W1496">
        <v>760</v>
      </c>
      <c r="Y1496">
        <v>180</v>
      </c>
      <c r="AD1496" s="3">
        <f t="shared" si="192"/>
        <v>0.8351648351648352</v>
      </c>
      <c r="AE1496" s="3">
        <f>Y1496/P1496</f>
        <v>0.20930232558139536</v>
      </c>
      <c r="AI1496" s="3">
        <f>AD1496+AE1496</f>
        <v>1.0444671607462306</v>
      </c>
      <c r="AL1496" s="58"/>
      <c r="AO1496" s="58"/>
      <c r="AP1496" s="58"/>
      <c r="AR1496" t="s">
        <v>14</v>
      </c>
      <c r="AU1496" s="10" t="s">
        <v>2</v>
      </c>
      <c r="AV1496" s="10" t="s">
        <v>3</v>
      </c>
    </row>
    <row r="1497" spans="1:48" x14ac:dyDescent="0.3">
      <c r="A1497" s="6" t="s">
        <v>2446</v>
      </c>
      <c r="B1497" t="s">
        <v>499</v>
      </c>
      <c r="C1497" t="s">
        <v>500</v>
      </c>
      <c r="D1497" t="s">
        <v>2447</v>
      </c>
      <c r="E1497">
        <v>1988</v>
      </c>
      <c r="F1497" t="s">
        <v>2661</v>
      </c>
      <c r="G1497" s="4" t="s">
        <v>34</v>
      </c>
      <c r="H1497" s="10" t="s">
        <v>17</v>
      </c>
      <c r="I1497" s="4" t="s">
        <v>2450</v>
      </c>
      <c r="J1497" s="10" t="s">
        <v>2448</v>
      </c>
      <c r="K1497" s="26">
        <v>4</v>
      </c>
      <c r="L1497" s="26">
        <v>4</v>
      </c>
      <c r="N1497">
        <v>910</v>
      </c>
      <c r="P1497">
        <v>860</v>
      </c>
      <c r="W1497">
        <v>440</v>
      </c>
      <c r="Y1497">
        <v>200</v>
      </c>
      <c r="AD1497" s="3">
        <f t="shared" si="192"/>
        <v>0.48351648351648352</v>
      </c>
      <c r="AE1497" s="3">
        <f t="shared" ref="AE1497:AE1511" si="196">Y1497/P1497</f>
        <v>0.23255813953488372</v>
      </c>
      <c r="AI1497" s="3">
        <f t="shared" ref="AI1497:AI1511" si="197">AD1497+AE1497</f>
        <v>0.71607462305136726</v>
      </c>
      <c r="AL1497" s="58"/>
      <c r="AO1497" s="58"/>
      <c r="AP1497" s="58"/>
      <c r="AR1497" t="s">
        <v>14</v>
      </c>
      <c r="AU1497" s="10" t="s">
        <v>2</v>
      </c>
      <c r="AV1497" s="10" t="s">
        <v>3</v>
      </c>
    </row>
    <row r="1498" spans="1:48" x14ac:dyDescent="0.3">
      <c r="A1498" s="6" t="s">
        <v>2446</v>
      </c>
      <c r="B1498" t="s">
        <v>499</v>
      </c>
      <c r="C1498" t="s">
        <v>500</v>
      </c>
      <c r="D1498" t="s">
        <v>2447</v>
      </c>
      <c r="E1498">
        <v>1988</v>
      </c>
      <c r="F1498" t="s">
        <v>2661</v>
      </c>
      <c r="G1498" s="4" t="s">
        <v>34</v>
      </c>
      <c r="H1498" s="10" t="s">
        <v>17</v>
      </c>
      <c r="I1498" s="4" t="s">
        <v>2449</v>
      </c>
      <c r="J1498" s="10" t="s">
        <v>2451</v>
      </c>
      <c r="K1498" s="26">
        <v>4</v>
      </c>
      <c r="L1498" s="26">
        <v>4</v>
      </c>
      <c r="N1498">
        <v>910</v>
      </c>
      <c r="P1498">
        <v>1830</v>
      </c>
      <c r="W1498">
        <v>630</v>
      </c>
      <c r="Y1498">
        <v>770</v>
      </c>
      <c r="AD1498" s="3">
        <f t="shared" si="192"/>
        <v>0.69230769230769229</v>
      </c>
      <c r="AE1498" s="3">
        <f t="shared" si="196"/>
        <v>0.42076502732240439</v>
      </c>
      <c r="AI1498" s="3">
        <f t="shared" si="197"/>
        <v>1.1130727196300967</v>
      </c>
      <c r="AL1498" s="58"/>
      <c r="AO1498" s="58"/>
      <c r="AP1498" s="58"/>
      <c r="AR1498" t="s">
        <v>14</v>
      </c>
      <c r="AU1498" s="10" t="s">
        <v>2</v>
      </c>
      <c r="AV1498" s="10" t="s">
        <v>3</v>
      </c>
    </row>
    <row r="1499" spans="1:48" x14ac:dyDescent="0.3">
      <c r="A1499" s="6" t="s">
        <v>2446</v>
      </c>
      <c r="B1499" t="s">
        <v>499</v>
      </c>
      <c r="C1499" t="s">
        <v>500</v>
      </c>
      <c r="D1499" t="s">
        <v>2447</v>
      </c>
      <c r="E1499">
        <v>1988</v>
      </c>
      <c r="F1499" t="s">
        <v>2661</v>
      </c>
      <c r="G1499" s="4" t="s">
        <v>34</v>
      </c>
      <c r="H1499" s="10" t="s">
        <v>17</v>
      </c>
      <c r="I1499" s="4" t="s">
        <v>2450</v>
      </c>
      <c r="J1499" s="10" t="s">
        <v>2451</v>
      </c>
      <c r="K1499" s="26">
        <v>4</v>
      </c>
      <c r="L1499" s="26">
        <v>4</v>
      </c>
      <c r="N1499">
        <v>910</v>
      </c>
      <c r="P1499">
        <v>1830</v>
      </c>
      <c r="W1499">
        <v>580</v>
      </c>
      <c r="Y1499">
        <v>830</v>
      </c>
      <c r="AD1499" s="3">
        <f t="shared" ref="AD1499:AD1522" si="198">W1499/N1499</f>
        <v>0.63736263736263732</v>
      </c>
      <c r="AE1499" s="3">
        <f t="shared" si="196"/>
        <v>0.45355191256830601</v>
      </c>
      <c r="AI1499" s="3">
        <f t="shared" si="197"/>
        <v>1.0909145499309434</v>
      </c>
      <c r="AL1499" s="58"/>
      <c r="AO1499" s="58"/>
      <c r="AP1499" s="58"/>
      <c r="AR1499" t="s">
        <v>14</v>
      </c>
      <c r="AU1499" s="10" t="s">
        <v>2</v>
      </c>
      <c r="AV1499" s="10" t="s">
        <v>3</v>
      </c>
    </row>
    <row r="1500" spans="1:48" x14ac:dyDescent="0.3">
      <c r="A1500" s="6" t="s">
        <v>2446</v>
      </c>
      <c r="B1500" t="s">
        <v>499</v>
      </c>
      <c r="C1500" t="s">
        <v>500</v>
      </c>
      <c r="D1500" t="s">
        <v>2447</v>
      </c>
      <c r="E1500">
        <v>1989</v>
      </c>
      <c r="F1500" t="s">
        <v>2661</v>
      </c>
      <c r="G1500" s="4" t="s">
        <v>34</v>
      </c>
      <c r="H1500" s="10" t="s">
        <v>17</v>
      </c>
      <c r="I1500" s="4" t="s">
        <v>2449</v>
      </c>
      <c r="J1500" s="10" t="s">
        <v>2448</v>
      </c>
      <c r="K1500" s="26">
        <v>4</v>
      </c>
      <c r="L1500" s="26">
        <v>4</v>
      </c>
      <c r="N1500">
        <v>1080</v>
      </c>
      <c r="P1500">
        <v>210</v>
      </c>
      <c r="W1500">
        <v>800</v>
      </c>
      <c r="Y1500">
        <v>20</v>
      </c>
      <c r="AD1500" s="3">
        <f t="shared" si="198"/>
        <v>0.7407407407407407</v>
      </c>
      <c r="AE1500" s="3">
        <f t="shared" si="196"/>
        <v>9.5238095238095233E-2</v>
      </c>
      <c r="AI1500" s="3">
        <f t="shared" si="197"/>
        <v>0.83597883597883593</v>
      </c>
      <c r="AL1500" s="58"/>
      <c r="AO1500" s="58"/>
      <c r="AP1500" s="58"/>
      <c r="AR1500" t="s">
        <v>14</v>
      </c>
      <c r="AU1500" s="10" t="s">
        <v>2</v>
      </c>
      <c r="AV1500" s="10" t="s">
        <v>3</v>
      </c>
    </row>
    <row r="1501" spans="1:48" x14ac:dyDescent="0.3">
      <c r="A1501" s="6" t="s">
        <v>2446</v>
      </c>
      <c r="B1501" t="s">
        <v>499</v>
      </c>
      <c r="C1501" t="s">
        <v>500</v>
      </c>
      <c r="D1501" t="s">
        <v>2447</v>
      </c>
      <c r="E1501">
        <v>1989</v>
      </c>
      <c r="F1501" t="s">
        <v>2661</v>
      </c>
      <c r="G1501" s="4" t="s">
        <v>34</v>
      </c>
      <c r="H1501" s="10" t="s">
        <v>17</v>
      </c>
      <c r="I1501" s="4" t="s">
        <v>2450</v>
      </c>
      <c r="J1501" s="10" t="s">
        <v>2448</v>
      </c>
      <c r="K1501" s="26">
        <v>4</v>
      </c>
      <c r="L1501" s="26">
        <v>4</v>
      </c>
      <c r="N1501">
        <v>1080</v>
      </c>
      <c r="P1501">
        <v>210</v>
      </c>
      <c r="W1501">
        <v>610</v>
      </c>
      <c r="Y1501">
        <v>330</v>
      </c>
      <c r="AD1501" s="3">
        <f t="shared" si="198"/>
        <v>0.56481481481481477</v>
      </c>
      <c r="AE1501" s="3">
        <f t="shared" si="196"/>
        <v>1.5714285714285714</v>
      </c>
      <c r="AI1501" s="3">
        <f t="shared" si="197"/>
        <v>2.1362433862433861</v>
      </c>
      <c r="AL1501" s="58"/>
      <c r="AO1501" s="58"/>
      <c r="AP1501" s="58"/>
      <c r="AR1501" t="s">
        <v>14</v>
      </c>
      <c r="AU1501" s="10" t="s">
        <v>2</v>
      </c>
      <c r="AV1501" s="10" t="s">
        <v>3</v>
      </c>
    </row>
    <row r="1502" spans="1:48" x14ac:dyDescent="0.3">
      <c r="A1502" s="6" t="s">
        <v>2446</v>
      </c>
      <c r="B1502" t="s">
        <v>499</v>
      </c>
      <c r="C1502" t="s">
        <v>500</v>
      </c>
      <c r="D1502" t="s">
        <v>2447</v>
      </c>
      <c r="E1502">
        <v>1989</v>
      </c>
      <c r="F1502" t="s">
        <v>2661</v>
      </c>
      <c r="G1502" s="4" t="s">
        <v>34</v>
      </c>
      <c r="H1502" s="10" t="s">
        <v>17</v>
      </c>
      <c r="I1502" s="4" t="s">
        <v>2449</v>
      </c>
      <c r="J1502" s="10" t="s">
        <v>2451</v>
      </c>
      <c r="K1502" s="26">
        <v>4</v>
      </c>
      <c r="L1502" s="26">
        <v>4</v>
      </c>
      <c r="N1502">
        <v>1080</v>
      </c>
      <c r="P1502">
        <v>550</v>
      </c>
      <c r="W1502">
        <v>1020</v>
      </c>
      <c r="Y1502">
        <v>20</v>
      </c>
      <c r="AD1502" s="3">
        <f t="shared" si="198"/>
        <v>0.94444444444444442</v>
      </c>
      <c r="AE1502" s="3">
        <f t="shared" si="196"/>
        <v>3.6363636363636362E-2</v>
      </c>
      <c r="AI1502" s="3">
        <f t="shared" si="197"/>
        <v>0.9808080808080808</v>
      </c>
      <c r="AL1502" s="58"/>
      <c r="AO1502" s="58"/>
      <c r="AP1502" s="58"/>
      <c r="AR1502" t="s">
        <v>14</v>
      </c>
      <c r="AU1502" s="10" t="s">
        <v>2</v>
      </c>
      <c r="AV1502" s="10" t="s">
        <v>3</v>
      </c>
    </row>
    <row r="1503" spans="1:48" x14ac:dyDescent="0.3">
      <c r="A1503" s="6" t="s">
        <v>2446</v>
      </c>
      <c r="B1503" t="s">
        <v>499</v>
      </c>
      <c r="C1503" t="s">
        <v>500</v>
      </c>
      <c r="D1503" t="s">
        <v>2447</v>
      </c>
      <c r="E1503">
        <v>1989</v>
      </c>
      <c r="F1503" t="s">
        <v>2661</v>
      </c>
      <c r="G1503" s="4" t="s">
        <v>34</v>
      </c>
      <c r="H1503" s="10" t="s">
        <v>17</v>
      </c>
      <c r="I1503" s="4" t="s">
        <v>2450</v>
      </c>
      <c r="J1503" s="10" t="s">
        <v>2451</v>
      </c>
      <c r="K1503" s="26">
        <v>4</v>
      </c>
      <c r="L1503" s="26">
        <v>4</v>
      </c>
      <c r="N1503">
        <v>1080</v>
      </c>
      <c r="P1503">
        <v>550</v>
      </c>
      <c r="W1503">
        <v>440</v>
      </c>
      <c r="Y1503">
        <v>330</v>
      </c>
      <c r="AD1503" s="3">
        <f t="shared" si="198"/>
        <v>0.40740740740740738</v>
      </c>
      <c r="AE1503" s="3">
        <f t="shared" si="196"/>
        <v>0.6</v>
      </c>
      <c r="AI1503" s="3">
        <f t="shared" si="197"/>
        <v>1.0074074074074073</v>
      </c>
      <c r="AL1503" s="58"/>
      <c r="AO1503" s="58"/>
      <c r="AP1503" s="58"/>
      <c r="AR1503" t="s">
        <v>14</v>
      </c>
      <c r="AU1503" s="10" t="s">
        <v>2</v>
      </c>
      <c r="AV1503" s="10" t="s">
        <v>3</v>
      </c>
    </row>
    <row r="1504" spans="1:48" x14ac:dyDescent="0.3">
      <c r="A1504" s="6" t="s">
        <v>2446</v>
      </c>
      <c r="B1504" t="s">
        <v>499</v>
      </c>
      <c r="C1504" t="s">
        <v>500</v>
      </c>
      <c r="D1504" t="s">
        <v>2447</v>
      </c>
      <c r="E1504">
        <v>1989</v>
      </c>
      <c r="F1504" t="s">
        <v>2661</v>
      </c>
      <c r="G1504" s="4" t="s">
        <v>34</v>
      </c>
      <c r="H1504" s="10" t="s">
        <v>17</v>
      </c>
      <c r="I1504" s="4" t="s">
        <v>2449</v>
      </c>
      <c r="J1504" s="10" t="s">
        <v>2448</v>
      </c>
      <c r="K1504" s="26">
        <v>4</v>
      </c>
      <c r="L1504" s="26">
        <v>4</v>
      </c>
      <c r="N1504">
        <v>640</v>
      </c>
      <c r="P1504">
        <v>3070</v>
      </c>
      <c r="W1504">
        <v>310</v>
      </c>
      <c r="Y1504">
        <v>2030</v>
      </c>
      <c r="AD1504" s="3">
        <f t="shared" si="198"/>
        <v>0.484375</v>
      </c>
      <c r="AE1504" s="3">
        <f t="shared" si="196"/>
        <v>0.66123778501628661</v>
      </c>
      <c r="AI1504" s="3">
        <f t="shared" si="197"/>
        <v>1.1456127850162865</v>
      </c>
      <c r="AL1504" s="58"/>
      <c r="AO1504" s="58"/>
      <c r="AP1504" s="58"/>
      <c r="AR1504" t="s">
        <v>14</v>
      </c>
      <c r="AU1504" s="10" t="s">
        <v>2</v>
      </c>
      <c r="AV1504" s="10" t="s">
        <v>3</v>
      </c>
    </row>
    <row r="1505" spans="1:49" x14ac:dyDescent="0.3">
      <c r="A1505" s="6" t="s">
        <v>2446</v>
      </c>
      <c r="B1505" t="s">
        <v>499</v>
      </c>
      <c r="C1505" t="s">
        <v>500</v>
      </c>
      <c r="D1505" t="s">
        <v>2447</v>
      </c>
      <c r="E1505">
        <v>1989</v>
      </c>
      <c r="F1505" t="s">
        <v>2661</v>
      </c>
      <c r="G1505" s="4" t="s">
        <v>34</v>
      </c>
      <c r="H1505" s="10" t="s">
        <v>17</v>
      </c>
      <c r="I1505" s="4" t="s">
        <v>2450</v>
      </c>
      <c r="J1505" s="10" t="s">
        <v>2448</v>
      </c>
      <c r="K1505" s="26">
        <v>4</v>
      </c>
      <c r="L1505" s="26">
        <v>4</v>
      </c>
      <c r="N1505">
        <v>640</v>
      </c>
      <c r="P1505">
        <v>3070</v>
      </c>
      <c r="W1505">
        <v>110</v>
      </c>
      <c r="Y1505">
        <v>3510</v>
      </c>
      <c r="AD1505" s="3">
        <f t="shared" si="198"/>
        <v>0.171875</v>
      </c>
      <c r="AE1505" s="3">
        <f t="shared" si="196"/>
        <v>1.1433224755700326</v>
      </c>
      <c r="AI1505" s="3">
        <f t="shared" si="197"/>
        <v>1.3151974755700326</v>
      </c>
      <c r="AL1505" s="58"/>
      <c r="AO1505" s="58"/>
      <c r="AP1505" s="58"/>
      <c r="AR1505" t="s">
        <v>14</v>
      </c>
      <c r="AU1505" s="10" t="s">
        <v>2</v>
      </c>
      <c r="AV1505" s="10" t="s">
        <v>3</v>
      </c>
    </row>
    <row r="1506" spans="1:49" x14ac:dyDescent="0.3">
      <c r="A1506" s="6" t="s">
        <v>2446</v>
      </c>
      <c r="B1506" t="s">
        <v>499</v>
      </c>
      <c r="C1506" t="s">
        <v>500</v>
      </c>
      <c r="D1506" t="s">
        <v>2447</v>
      </c>
      <c r="E1506">
        <v>1989</v>
      </c>
      <c r="F1506" t="s">
        <v>2661</v>
      </c>
      <c r="G1506" s="4" t="s">
        <v>34</v>
      </c>
      <c r="H1506" s="10" t="s">
        <v>17</v>
      </c>
      <c r="I1506" s="4" t="s">
        <v>2449</v>
      </c>
      <c r="J1506" s="10" t="s">
        <v>2451</v>
      </c>
      <c r="K1506" s="26">
        <v>4</v>
      </c>
      <c r="L1506" s="26">
        <v>4</v>
      </c>
      <c r="N1506">
        <v>640</v>
      </c>
      <c r="P1506">
        <v>1260</v>
      </c>
      <c r="W1506">
        <v>270</v>
      </c>
      <c r="Y1506">
        <v>4700</v>
      </c>
      <c r="AD1506" s="3">
        <f t="shared" si="198"/>
        <v>0.421875</v>
      </c>
      <c r="AE1506" s="3">
        <f t="shared" si="196"/>
        <v>3.7301587301587302</v>
      </c>
      <c r="AI1506" s="3">
        <f t="shared" si="197"/>
        <v>4.1520337301587302</v>
      </c>
      <c r="AL1506" s="58"/>
      <c r="AO1506" s="58"/>
      <c r="AP1506" s="58"/>
      <c r="AR1506" t="s">
        <v>14</v>
      </c>
      <c r="AU1506" s="10" t="s">
        <v>2</v>
      </c>
      <c r="AV1506" s="10" t="s">
        <v>3</v>
      </c>
    </row>
    <row r="1507" spans="1:49" x14ac:dyDescent="0.3">
      <c r="A1507" s="6" t="s">
        <v>2446</v>
      </c>
      <c r="B1507" t="s">
        <v>499</v>
      </c>
      <c r="C1507" t="s">
        <v>500</v>
      </c>
      <c r="D1507" t="s">
        <v>2447</v>
      </c>
      <c r="E1507">
        <v>1989</v>
      </c>
      <c r="F1507" t="s">
        <v>2661</v>
      </c>
      <c r="G1507" s="4" t="s">
        <v>34</v>
      </c>
      <c r="H1507" s="10" t="s">
        <v>17</v>
      </c>
      <c r="I1507" s="4" t="s">
        <v>2450</v>
      </c>
      <c r="J1507" s="10" t="s">
        <v>2451</v>
      </c>
      <c r="K1507" s="26">
        <v>4</v>
      </c>
      <c r="L1507" s="26">
        <v>4</v>
      </c>
      <c r="N1507">
        <v>640</v>
      </c>
      <c r="P1507">
        <v>1260</v>
      </c>
      <c r="W1507">
        <v>140</v>
      </c>
      <c r="Y1507">
        <v>4120</v>
      </c>
      <c r="AD1507" s="3">
        <f t="shared" si="198"/>
        <v>0.21875</v>
      </c>
      <c r="AE1507" s="3">
        <f t="shared" si="196"/>
        <v>3.2698412698412698</v>
      </c>
      <c r="AI1507" s="3">
        <f t="shared" si="197"/>
        <v>3.4885912698412698</v>
      </c>
      <c r="AL1507" s="58"/>
      <c r="AO1507" s="58"/>
      <c r="AP1507" s="58"/>
      <c r="AR1507" t="s">
        <v>14</v>
      </c>
      <c r="AU1507" s="10" t="s">
        <v>2</v>
      </c>
      <c r="AV1507" s="10" t="s">
        <v>3</v>
      </c>
    </row>
    <row r="1508" spans="1:49" x14ac:dyDescent="0.3">
      <c r="A1508" s="6" t="s">
        <v>2446</v>
      </c>
      <c r="B1508" t="s">
        <v>499</v>
      </c>
      <c r="C1508" t="s">
        <v>500</v>
      </c>
      <c r="D1508" t="s">
        <v>2447</v>
      </c>
      <c r="E1508">
        <v>1990</v>
      </c>
      <c r="F1508" t="s">
        <v>2661</v>
      </c>
      <c r="G1508" s="4" t="s">
        <v>34</v>
      </c>
      <c r="H1508" s="10" t="s">
        <v>17</v>
      </c>
      <c r="I1508" s="4" t="s">
        <v>2449</v>
      </c>
      <c r="J1508" s="10" t="s">
        <v>2448</v>
      </c>
      <c r="K1508" s="26">
        <v>4</v>
      </c>
      <c r="L1508" s="26">
        <v>4</v>
      </c>
      <c r="N1508">
        <v>830</v>
      </c>
      <c r="P1508">
        <v>2890</v>
      </c>
      <c r="W1508">
        <v>430</v>
      </c>
      <c r="Y1508">
        <v>1520</v>
      </c>
      <c r="AD1508" s="3">
        <f t="shared" si="198"/>
        <v>0.51807228915662651</v>
      </c>
      <c r="AE1508" s="3">
        <f t="shared" si="196"/>
        <v>0.52595155709342556</v>
      </c>
      <c r="AI1508" s="3">
        <f t="shared" si="197"/>
        <v>1.044023846250052</v>
      </c>
      <c r="AL1508" s="58"/>
      <c r="AO1508" s="58"/>
      <c r="AP1508" s="58"/>
      <c r="AR1508" t="s">
        <v>14</v>
      </c>
      <c r="AU1508" s="10" t="s">
        <v>2</v>
      </c>
      <c r="AV1508" s="10" t="s">
        <v>3</v>
      </c>
    </row>
    <row r="1509" spans="1:49" x14ac:dyDescent="0.3">
      <c r="A1509" s="6" t="s">
        <v>2446</v>
      </c>
      <c r="B1509" t="s">
        <v>499</v>
      </c>
      <c r="C1509" t="s">
        <v>500</v>
      </c>
      <c r="D1509" t="s">
        <v>2447</v>
      </c>
      <c r="E1509">
        <v>1990</v>
      </c>
      <c r="F1509" t="s">
        <v>2661</v>
      </c>
      <c r="G1509" s="4" t="s">
        <v>34</v>
      </c>
      <c r="H1509" s="10" t="s">
        <v>17</v>
      </c>
      <c r="I1509" s="4" t="s">
        <v>2450</v>
      </c>
      <c r="J1509" s="10" t="s">
        <v>2448</v>
      </c>
      <c r="K1509" s="26">
        <v>4</v>
      </c>
      <c r="L1509" s="26">
        <v>4</v>
      </c>
      <c r="N1509">
        <v>830</v>
      </c>
      <c r="P1509">
        <v>2890</v>
      </c>
      <c r="W1509">
        <v>610</v>
      </c>
      <c r="Y1509">
        <v>1150</v>
      </c>
      <c r="AD1509" s="3">
        <f t="shared" si="198"/>
        <v>0.73493975903614461</v>
      </c>
      <c r="AE1509" s="3">
        <f t="shared" si="196"/>
        <v>0.39792387543252594</v>
      </c>
      <c r="AI1509" s="3">
        <f t="shared" si="197"/>
        <v>1.1328636344686704</v>
      </c>
      <c r="AL1509" s="58"/>
      <c r="AO1509" s="58"/>
      <c r="AP1509" s="58"/>
      <c r="AR1509" t="s">
        <v>14</v>
      </c>
      <c r="AU1509" s="10" t="s">
        <v>2</v>
      </c>
      <c r="AV1509" s="10" t="s">
        <v>3</v>
      </c>
    </row>
    <row r="1510" spans="1:49" x14ac:dyDescent="0.3">
      <c r="A1510" s="6" t="s">
        <v>2446</v>
      </c>
      <c r="B1510" t="s">
        <v>499</v>
      </c>
      <c r="C1510" t="s">
        <v>500</v>
      </c>
      <c r="D1510" t="s">
        <v>2447</v>
      </c>
      <c r="E1510">
        <v>1990</v>
      </c>
      <c r="F1510" t="s">
        <v>2661</v>
      </c>
      <c r="G1510" s="4" t="s">
        <v>34</v>
      </c>
      <c r="H1510" s="10" t="s">
        <v>17</v>
      </c>
      <c r="I1510" s="4" t="s">
        <v>2449</v>
      </c>
      <c r="J1510" s="10" t="s">
        <v>2451</v>
      </c>
      <c r="K1510" s="26">
        <v>4</v>
      </c>
      <c r="L1510" s="26">
        <v>4</v>
      </c>
      <c r="N1510">
        <v>830</v>
      </c>
      <c r="P1510">
        <v>3940</v>
      </c>
      <c r="W1510">
        <v>220</v>
      </c>
      <c r="Y1510">
        <v>3060</v>
      </c>
      <c r="AD1510" s="3">
        <f t="shared" si="198"/>
        <v>0.26506024096385544</v>
      </c>
      <c r="AE1510" s="3">
        <f t="shared" si="196"/>
        <v>0.7766497461928934</v>
      </c>
      <c r="AI1510" s="3">
        <f t="shared" si="197"/>
        <v>1.0417099871567488</v>
      </c>
      <c r="AL1510" s="58"/>
      <c r="AO1510" s="58"/>
      <c r="AP1510" s="58"/>
      <c r="AR1510" t="s">
        <v>14</v>
      </c>
      <c r="AU1510" s="10" t="s">
        <v>2</v>
      </c>
      <c r="AV1510" s="10" t="s">
        <v>3</v>
      </c>
    </row>
    <row r="1511" spans="1:49" x14ac:dyDescent="0.3">
      <c r="A1511" s="6" t="s">
        <v>2446</v>
      </c>
      <c r="B1511" t="s">
        <v>499</v>
      </c>
      <c r="C1511" t="s">
        <v>500</v>
      </c>
      <c r="D1511" t="s">
        <v>2447</v>
      </c>
      <c r="E1511">
        <v>1990</v>
      </c>
      <c r="F1511" t="s">
        <v>2661</v>
      </c>
      <c r="G1511" s="4" t="s">
        <v>34</v>
      </c>
      <c r="H1511" s="10" t="s">
        <v>17</v>
      </c>
      <c r="I1511" s="4" t="s">
        <v>2450</v>
      </c>
      <c r="J1511" s="10" t="s">
        <v>2451</v>
      </c>
      <c r="K1511" s="26">
        <v>4</v>
      </c>
      <c r="L1511" s="26">
        <v>4</v>
      </c>
      <c r="N1511">
        <v>830</v>
      </c>
      <c r="P1511">
        <v>3940</v>
      </c>
      <c r="W1511">
        <v>440</v>
      </c>
      <c r="Y1511">
        <v>2270</v>
      </c>
      <c r="AD1511" s="3">
        <f t="shared" si="198"/>
        <v>0.53012048192771088</v>
      </c>
      <c r="AE1511" s="3">
        <f t="shared" si="196"/>
        <v>0.57614213197969544</v>
      </c>
      <c r="AI1511" s="3">
        <f t="shared" si="197"/>
        <v>1.1062626139074063</v>
      </c>
      <c r="AL1511" s="58"/>
      <c r="AO1511" s="58"/>
      <c r="AP1511" s="58"/>
      <c r="AR1511" t="s">
        <v>14</v>
      </c>
      <c r="AU1511" s="10" t="s">
        <v>2</v>
      </c>
      <c r="AV1511" s="10" t="s">
        <v>3</v>
      </c>
    </row>
    <row r="1512" spans="1:49" x14ac:dyDescent="0.3">
      <c r="A1512" s="6" t="s">
        <v>2457</v>
      </c>
      <c r="B1512" t="s">
        <v>232</v>
      </c>
      <c r="C1512" t="s">
        <v>2460</v>
      </c>
      <c r="D1512" t="s">
        <v>2459</v>
      </c>
      <c r="E1512" t="s">
        <v>2464</v>
      </c>
      <c r="F1512" t="s">
        <v>2661</v>
      </c>
      <c r="G1512" s="4" t="s">
        <v>34</v>
      </c>
      <c r="H1512" s="10" t="s">
        <v>17</v>
      </c>
      <c r="I1512" s="4" t="s">
        <v>2473</v>
      </c>
      <c r="J1512" s="10" t="s">
        <v>134</v>
      </c>
      <c r="K1512" s="26">
        <v>3</v>
      </c>
      <c r="L1512" s="26">
        <v>3</v>
      </c>
      <c r="N1512">
        <v>2.27</v>
      </c>
      <c r="P1512">
        <v>2.93</v>
      </c>
      <c r="W1512">
        <v>4.6399999999999997</v>
      </c>
      <c r="AD1512" s="3">
        <f>W1512/N1512</f>
        <v>2.0440528634361232</v>
      </c>
      <c r="AI1512" s="3">
        <f>AD1512</f>
        <v>2.0440528634361232</v>
      </c>
      <c r="AL1512" s="58"/>
      <c r="AO1512" s="58"/>
      <c r="AP1512" s="58"/>
      <c r="AQ1512">
        <f>250*0.08+60</f>
        <v>80</v>
      </c>
      <c r="AR1512" t="s">
        <v>14</v>
      </c>
      <c r="AU1512" t="s">
        <v>2</v>
      </c>
      <c r="AV1512" s="10" t="s">
        <v>2023</v>
      </c>
    </row>
    <row r="1513" spans="1:49" x14ac:dyDescent="0.3">
      <c r="A1513" s="6" t="s">
        <v>2457</v>
      </c>
      <c r="B1513" t="s">
        <v>232</v>
      </c>
      <c r="C1513" t="s">
        <v>2460</v>
      </c>
      <c r="D1513" t="s">
        <v>2459</v>
      </c>
      <c r="E1513" t="s">
        <v>2465</v>
      </c>
      <c r="F1513" t="s">
        <v>2661</v>
      </c>
      <c r="G1513" s="4" t="s">
        <v>34</v>
      </c>
      <c r="H1513" s="10" t="s">
        <v>17</v>
      </c>
      <c r="I1513" s="4" t="s">
        <v>2473</v>
      </c>
      <c r="J1513" s="10" t="s">
        <v>2462</v>
      </c>
      <c r="K1513" s="26">
        <v>3</v>
      </c>
      <c r="L1513" s="26">
        <v>3</v>
      </c>
      <c r="N1513">
        <v>2.27</v>
      </c>
      <c r="P1513">
        <v>3.09</v>
      </c>
      <c r="W1513">
        <v>4.42</v>
      </c>
      <c r="AD1513" s="3">
        <f t="shared" si="198"/>
        <v>1.947136563876652</v>
      </c>
      <c r="AI1513" s="3">
        <f t="shared" ref="AI1513:AI1522" si="199">AD1513</f>
        <v>1.947136563876652</v>
      </c>
      <c r="AL1513" s="58"/>
      <c r="AO1513" s="58"/>
      <c r="AP1513" s="58"/>
      <c r="AQ1513">
        <f t="shared" ref="AQ1513:AQ1520" si="200">250*0.08+60</f>
        <v>80</v>
      </c>
      <c r="AR1513" t="s">
        <v>14</v>
      </c>
      <c r="AU1513" t="s">
        <v>2</v>
      </c>
      <c r="AV1513" s="10" t="s">
        <v>2023</v>
      </c>
    </row>
    <row r="1514" spans="1:49" x14ac:dyDescent="0.3">
      <c r="A1514" s="6" t="s">
        <v>2457</v>
      </c>
      <c r="B1514" t="s">
        <v>232</v>
      </c>
      <c r="C1514" t="s">
        <v>2460</v>
      </c>
      <c r="D1514" t="s">
        <v>2459</v>
      </c>
      <c r="E1514" t="s">
        <v>2466</v>
      </c>
      <c r="F1514" t="s">
        <v>2661</v>
      </c>
      <c r="G1514" s="4" t="s">
        <v>34</v>
      </c>
      <c r="H1514" s="10" t="s">
        <v>17</v>
      </c>
      <c r="I1514" s="4" t="s">
        <v>2473</v>
      </c>
      <c r="J1514" s="10" t="s">
        <v>2463</v>
      </c>
      <c r="K1514" s="26">
        <v>3</v>
      </c>
      <c r="L1514" s="26">
        <v>3</v>
      </c>
      <c r="N1514">
        <v>2.27</v>
      </c>
      <c r="P1514">
        <v>4.3</v>
      </c>
      <c r="W1514">
        <v>3.93</v>
      </c>
      <c r="AD1514" s="3">
        <f t="shared" si="198"/>
        <v>1.7312775330396477</v>
      </c>
      <c r="AI1514" s="3">
        <f t="shared" si="199"/>
        <v>1.7312775330396477</v>
      </c>
      <c r="AL1514" s="58"/>
      <c r="AO1514" s="58"/>
      <c r="AP1514" s="58"/>
      <c r="AQ1514">
        <f t="shared" si="200"/>
        <v>80</v>
      </c>
      <c r="AR1514" t="s">
        <v>14</v>
      </c>
      <c r="AU1514" t="s">
        <v>2</v>
      </c>
      <c r="AV1514" s="10" t="s">
        <v>2023</v>
      </c>
    </row>
    <row r="1515" spans="1:49" x14ac:dyDescent="0.3">
      <c r="A1515" s="6" t="s">
        <v>2457</v>
      </c>
      <c r="B1515" t="s">
        <v>232</v>
      </c>
      <c r="C1515" t="s">
        <v>2460</v>
      </c>
      <c r="D1515" t="s">
        <v>2459</v>
      </c>
      <c r="E1515" t="s">
        <v>2467</v>
      </c>
      <c r="F1515" t="s">
        <v>2661</v>
      </c>
      <c r="G1515" s="4" t="s">
        <v>34</v>
      </c>
      <c r="H1515" s="10" t="s">
        <v>17</v>
      </c>
      <c r="I1515" s="4" t="s">
        <v>2474</v>
      </c>
      <c r="J1515" s="10" t="s">
        <v>134</v>
      </c>
      <c r="K1515" s="26">
        <v>3</v>
      </c>
      <c r="L1515" s="26">
        <v>3</v>
      </c>
      <c r="N1515">
        <v>1.5</v>
      </c>
      <c r="P1515">
        <v>2.6</v>
      </c>
      <c r="W1515">
        <v>1.65</v>
      </c>
      <c r="AD1515" s="3">
        <f t="shared" si="198"/>
        <v>1.0999999999999999</v>
      </c>
      <c r="AI1515" s="3">
        <f t="shared" si="199"/>
        <v>1.0999999999999999</v>
      </c>
      <c r="AL1515" s="58"/>
      <c r="AO1515" s="58"/>
      <c r="AP1515" s="58"/>
      <c r="AQ1515">
        <f t="shared" si="200"/>
        <v>80</v>
      </c>
      <c r="AR1515" t="s">
        <v>14</v>
      </c>
      <c r="AU1515" t="s">
        <v>2</v>
      </c>
      <c r="AV1515" s="10" t="s">
        <v>2023</v>
      </c>
    </row>
    <row r="1516" spans="1:49" x14ac:dyDescent="0.3">
      <c r="A1516" s="6" t="s">
        <v>2457</v>
      </c>
      <c r="B1516" t="s">
        <v>232</v>
      </c>
      <c r="C1516" t="s">
        <v>2460</v>
      </c>
      <c r="D1516" t="s">
        <v>2459</v>
      </c>
      <c r="E1516" t="s">
        <v>2468</v>
      </c>
      <c r="F1516" t="s">
        <v>2661</v>
      </c>
      <c r="G1516" s="4" t="s">
        <v>34</v>
      </c>
      <c r="H1516" s="10" t="s">
        <v>17</v>
      </c>
      <c r="I1516" s="4" t="s">
        <v>2474</v>
      </c>
      <c r="J1516" s="10" t="s">
        <v>2462</v>
      </c>
      <c r="K1516" s="26">
        <v>3</v>
      </c>
      <c r="L1516" s="26">
        <v>3</v>
      </c>
      <c r="N1516">
        <v>1.5</v>
      </c>
      <c r="P1516">
        <v>1.94</v>
      </c>
      <c r="W1516">
        <v>2.4</v>
      </c>
      <c r="AD1516" s="3">
        <f t="shared" si="198"/>
        <v>1.5999999999999999</v>
      </c>
      <c r="AI1516" s="3">
        <f t="shared" si="199"/>
        <v>1.5999999999999999</v>
      </c>
      <c r="AL1516" s="58"/>
      <c r="AO1516" s="58"/>
      <c r="AP1516" s="58"/>
      <c r="AQ1516">
        <f t="shared" si="200"/>
        <v>80</v>
      </c>
      <c r="AR1516" t="s">
        <v>14</v>
      </c>
      <c r="AU1516" t="s">
        <v>2</v>
      </c>
      <c r="AV1516" s="10" t="s">
        <v>2023</v>
      </c>
    </row>
    <row r="1517" spans="1:49" x14ac:dyDescent="0.3">
      <c r="A1517" s="6" t="s">
        <v>2457</v>
      </c>
      <c r="B1517" t="s">
        <v>232</v>
      </c>
      <c r="C1517" t="s">
        <v>2460</v>
      </c>
      <c r="D1517" t="s">
        <v>2459</v>
      </c>
      <c r="E1517" t="s">
        <v>2469</v>
      </c>
      <c r="F1517" t="s">
        <v>2661</v>
      </c>
      <c r="G1517" s="4" t="s">
        <v>34</v>
      </c>
      <c r="H1517" s="10" t="s">
        <v>17</v>
      </c>
      <c r="I1517" s="4" t="s">
        <v>2474</v>
      </c>
      <c r="J1517" s="10" t="s">
        <v>2463</v>
      </c>
      <c r="K1517" s="26">
        <v>3</v>
      </c>
      <c r="L1517" s="26">
        <v>3</v>
      </c>
      <c r="N1517">
        <v>1.5</v>
      </c>
      <c r="P1517">
        <v>1.49</v>
      </c>
      <c r="W1517">
        <v>1.89</v>
      </c>
      <c r="AD1517" s="3">
        <f t="shared" si="198"/>
        <v>1.26</v>
      </c>
      <c r="AI1517" s="3">
        <f t="shared" si="199"/>
        <v>1.26</v>
      </c>
      <c r="AL1517" s="58"/>
      <c r="AO1517" s="58"/>
      <c r="AP1517" s="58"/>
      <c r="AQ1517">
        <f>250*0.08+60</f>
        <v>80</v>
      </c>
      <c r="AR1517" t="s">
        <v>14</v>
      </c>
      <c r="AU1517" t="s">
        <v>2</v>
      </c>
      <c r="AV1517" s="10" t="s">
        <v>2023</v>
      </c>
    </row>
    <row r="1518" spans="1:49" x14ac:dyDescent="0.3">
      <c r="A1518" s="6" t="s">
        <v>2457</v>
      </c>
      <c r="B1518" t="s">
        <v>232</v>
      </c>
      <c r="C1518" t="s">
        <v>2461</v>
      </c>
      <c r="D1518" t="s">
        <v>2458</v>
      </c>
      <c r="E1518" t="s">
        <v>2470</v>
      </c>
      <c r="F1518" t="s">
        <v>2661</v>
      </c>
      <c r="G1518" s="4" t="s">
        <v>34</v>
      </c>
      <c r="H1518" s="10" t="s">
        <v>17</v>
      </c>
      <c r="I1518" s="4" t="s">
        <v>2475</v>
      </c>
      <c r="J1518" s="10" t="s">
        <v>134</v>
      </c>
      <c r="K1518" s="26">
        <v>3</v>
      </c>
      <c r="L1518" s="26">
        <v>3</v>
      </c>
      <c r="N1518">
        <v>0.67</v>
      </c>
      <c r="P1518">
        <v>0.81</v>
      </c>
      <c r="W1518">
        <v>1.75</v>
      </c>
      <c r="AD1518" s="3">
        <f t="shared" si="198"/>
        <v>2.6119402985074625</v>
      </c>
      <c r="AI1518" s="3">
        <f t="shared" si="199"/>
        <v>2.6119402985074625</v>
      </c>
      <c r="AL1518" s="58"/>
      <c r="AO1518" s="58"/>
      <c r="AP1518" s="58"/>
      <c r="AQ1518">
        <f t="shared" si="200"/>
        <v>80</v>
      </c>
      <c r="AR1518" t="s">
        <v>14</v>
      </c>
      <c r="AU1518" t="s">
        <v>2</v>
      </c>
      <c r="AV1518" s="10" t="s">
        <v>2023</v>
      </c>
    </row>
    <row r="1519" spans="1:49" x14ac:dyDescent="0.3">
      <c r="A1519" s="6" t="s">
        <v>2457</v>
      </c>
      <c r="B1519" t="s">
        <v>232</v>
      </c>
      <c r="C1519" t="s">
        <v>2461</v>
      </c>
      <c r="D1519" t="s">
        <v>2458</v>
      </c>
      <c r="E1519" t="s">
        <v>2471</v>
      </c>
      <c r="F1519" t="s">
        <v>2661</v>
      </c>
      <c r="G1519" s="4" t="s">
        <v>34</v>
      </c>
      <c r="H1519" s="10" t="s">
        <v>17</v>
      </c>
      <c r="I1519" s="4" t="s">
        <v>2475</v>
      </c>
      <c r="J1519" s="10" t="s">
        <v>2462</v>
      </c>
      <c r="K1519" s="26">
        <v>3</v>
      </c>
      <c r="L1519" s="26">
        <v>3</v>
      </c>
      <c r="N1519">
        <v>0.67</v>
      </c>
      <c r="P1519">
        <v>0.8</v>
      </c>
      <c r="W1519">
        <v>0.88</v>
      </c>
      <c r="AD1519" s="3">
        <f t="shared" si="198"/>
        <v>1.3134328358208955</v>
      </c>
      <c r="AI1519" s="3">
        <f t="shared" si="199"/>
        <v>1.3134328358208955</v>
      </c>
      <c r="AL1519" s="58"/>
      <c r="AO1519" s="58"/>
      <c r="AP1519" s="58"/>
      <c r="AQ1519">
        <f t="shared" si="200"/>
        <v>80</v>
      </c>
      <c r="AR1519" t="s">
        <v>14</v>
      </c>
      <c r="AU1519" t="s">
        <v>2</v>
      </c>
      <c r="AV1519" s="10" t="s">
        <v>2023</v>
      </c>
    </row>
    <row r="1520" spans="1:49" x14ac:dyDescent="0.3">
      <c r="A1520" s="6" t="s">
        <v>2457</v>
      </c>
      <c r="B1520" t="s">
        <v>232</v>
      </c>
      <c r="C1520" t="s">
        <v>2461</v>
      </c>
      <c r="D1520" t="s">
        <v>2458</v>
      </c>
      <c r="E1520" t="s">
        <v>2472</v>
      </c>
      <c r="F1520" t="s">
        <v>2661</v>
      </c>
      <c r="G1520" s="4" t="s">
        <v>34</v>
      </c>
      <c r="H1520" s="10" t="s">
        <v>17</v>
      </c>
      <c r="I1520" s="4" t="s">
        <v>2475</v>
      </c>
      <c r="J1520" s="10" t="s">
        <v>2463</v>
      </c>
      <c r="K1520" s="26">
        <v>3</v>
      </c>
      <c r="L1520" s="26">
        <v>3</v>
      </c>
      <c r="N1520">
        <v>0.67</v>
      </c>
      <c r="P1520">
        <v>1.03</v>
      </c>
      <c r="W1520">
        <v>0.83</v>
      </c>
      <c r="AD1520" s="3">
        <f t="shared" si="198"/>
        <v>1.2388059701492535</v>
      </c>
      <c r="AI1520" s="3">
        <f t="shared" si="199"/>
        <v>1.2388059701492535</v>
      </c>
      <c r="AL1520" s="58"/>
      <c r="AO1520" s="58"/>
      <c r="AP1520" s="58"/>
      <c r="AQ1520">
        <f t="shared" si="200"/>
        <v>80</v>
      </c>
      <c r="AR1520" t="s">
        <v>14</v>
      </c>
      <c r="AU1520" t="s">
        <v>2</v>
      </c>
      <c r="AV1520" s="10" t="s">
        <v>2023</v>
      </c>
      <c r="AW1520" t="s">
        <v>2492</v>
      </c>
    </row>
    <row r="1521" spans="1:49" x14ac:dyDescent="0.3">
      <c r="A1521" s="6" t="s">
        <v>2481</v>
      </c>
      <c r="B1521" t="s">
        <v>131</v>
      </c>
      <c r="C1521" t="s">
        <v>2482</v>
      </c>
      <c r="D1521" t="s">
        <v>215</v>
      </c>
      <c r="E1521">
        <v>2002</v>
      </c>
      <c r="F1521" t="s">
        <v>2661</v>
      </c>
      <c r="G1521" s="4" t="s">
        <v>34</v>
      </c>
      <c r="H1521" s="10" t="s">
        <v>17</v>
      </c>
      <c r="I1521" s="4" t="s">
        <v>2485</v>
      </c>
      <c r="J1521" s="10" t="s">
        <v>2483</v>
      </c>
      <c r="K1521" s="26">
        <v>3</v>
      </c>
      <c r="L1521" s="26">
        <v>3</v>
      </c>
      <c r="N1521">
        <v>1715</v>
      </c>
      <c r="W1521">
        <v>1255</v>
      </c>
      <c r="Y1521">
        <v>155</v>
      </c>
      <c r="AD1521" s="3">
        <f t="shared" si="198"/>
        <v>0.73177842565597673</v>
      </c>
      <c r="AI1521" s="3">
        <f t="shared" si="199"/>
        <v>0.73177842565597673</v>
      </c>
      <c r="AL1521" s="58"/>
      <c r="AO1521" s="58"/>
      <c r="AP1521" s="58"/>
      <c r="AR1521" t="s">
        <v>14</v>
      </c>
      <c r="AS1521" t="s">
        <v>2</v>
      </c>
      <c r="AU1521" t="s">
        <v>2</v>
      </c>
      <c r="AV1521" s="10" t="s">
        <v>2023</v>
      </c>
      <c r="AW1521" t="s">
        <v>2492</v>
      </c>
    </row>
    <row r="1522" spans="1:49" x14ac:dyDescent="0.3">
      <c r="A1522" s="6" t="s">
        <v>2481</v>
      </c>
      <c r="B1522" t="s">
        <v>131</v>
      </c>
      <c r="C1522" t="s">
        <v>2482</v>
      </c>
      <c r="D1522" t="s">
        <v>215</v>
      </c>
      <c r="E1522">
        <v>2002</v>
      </c>
      <c r="F1522" t="s">
        <v>2661</v>
      </c>
      <c r="G1522" s="4" t="s">
        <v>34</v>
      </c>
      <c r="H1522" s="10" t="s">
        <v>17</v>
      </c>
      <c r="I1522" s="4" t="s">
        <v>2485</v>
      </c>
      <c r="J1522" s="10" t="s">
        <v>2484</v>
      </c>
      <c r="K1522" s="26">
        <v>3</v>
      </c>
      <c r="L1522" s="26">
        <v>3</v>
      </c>
      <c r="N1522">
        <v>1715</v>
      </c>
      <c r="W1522">
        <v>1608</v>
      </c>
      <c r="Y1522">
        <v>174</v>
      </c>
      <c r="AD1522" s="3">
        <f t="shared" si="198"/>
        <v>0.93760932944606412</v>
      </c>
      <c r="AI1522" s="3">
        <f t="shared" si="199"/>
        <v>0.93760932944606412</v>
      </c>
      <c r="AL1522" s="58"/>
      <c r="AO1522" s="58"/>
      <c r="AP1522" s="58"/>
      <c r="AR1522" t="s">
        <v>14</v>
      </c>
      <c r="AS1522" t="s">
        <v>2</v>
      </c>
      <c r="AU1522" t="s">
        <v>2</v>
      </c>
      <c r="AV1522" s="10" t="s">
        <v>2023</v>
      </c>
      <c r="AW1522" t="s">
        <v>2492</v>
      </c>
    </row>
    <row r="1523" spans="1:49" x14ac:dyDescent="0.3">
      <c r="A1523" s="6" t="s">
        <v>2481</v>
      </c>
      <c r="B1523" t="s">
        <v>131</v>
      </c>
      <c r="C1523" t="s">
        <v>2482</v>
      </c>
      <c r="D1523" t="s">
        <v>215</v>
      </c>
      <c r="E1523">
        <v>2002</v>
      </c>
      <c r="F1523" t="s">
        <v>2661</v>
      </c>
      <c r="G1523" s="4" t="s">
        <v>34</v>
      </c>
      <c r="H1523" s="10" t="s">
        <v>17</v>
      </c>
      <c r="I1523" s="4" t="s">
        <v>833</v>
      </c>
      <c r="J1523" s="10" t="s">
        <v>2483</v>
      </c>
      <c r="K1523" s="26">
        <v>3</v>
      </c>
      <c r="L1523" s="26">
        <v>3</v>
      </c>
      <c r="N1523">
        <v>4352</v>
      </c>
      <c r="W1523">
        <v>3635</v>
      </c>
      <c r="Y1523">
        <v>629</v>
      </c>
      <c r="AD1523" s="3">
        <f t="shared" ref="AD1523:AD1526" si="201">W1523/N1523</f>
        <v>0.83524816176470584</v>
      </c>
      <c r="AI1523" s="3">
        <f t="shared" ref="AI1523:AI1526" si="202">AD1523</f>
        <v>0.83524816176470584</v>
      </c>
      <c r="AL1523" s="58"/>
      <c r="AO1523" s="58"/>
      <c r="AP1523" s="58"/>
      <c r="AR1523" t="s">
        <v>14</v>
      </c>
      <c r="AS1523" t="s">
        <v>2</v>
      </c>
      <c r="AU1523" t="s">
        <v>2</v>
      </c>
      <c r="AV1523" s="10" t="s">
        <v>2023</v>
      </c>
      <c r="AW1523" t="s">
        <v>2492</v>
      </c>
    </row>
    <row r="1524" spans="1:49" x14ac:dyDescent="0.3">
      <c r="A1524" s="6" t="s">
        <v>2481</v>
      </c>
      <c r="B1524" t="s">
        <v>131</v>
      </c>
      <c r="C1524" t="s">
        <v>2482</v>
      </c>
      <c r="D1524" t="s">
        <v>215</v>
      </c>
      <c r="E1524">
        <v>2002</v>
      </c>
      <c r="F1524" t="s">
        <v>2661</v>
      </c>
      <c r="G1524" s="4" t="s">
        <v>34</v>
      </c>
      <c r="H1524" s="10" t="s">
        <v>17</v>
      </c>
      <c r="I1524" s="4" t="s">
        <v>833</v>
      </c>
      <c r="J1524" s="10" t="s">
        <v>2484</v>
      </c>
      <c r="K1524" s="26">
        <v>3</v>
      </c>
      <c r="L1524" s="26">
        <v>3</v>
      </c>
      <c r="N1524">
        <v>4352</v>
      </c>
      <c r="W1524">
        <v>3949</v>
      </c>
      <c r="Y1524">
        <v>197</v>
      </c>
      <c r="AD1524" s="3">
        <f t="shared" si="201"/>
        <v>0.90739889705882348</v>
      </c>
      <c r="AI1524" s="3">
        <f t="shared" si="202"/>
        <v>0.90739889705882348</v>
      </c>
      <c r="AL1524" s="58"/>
      <c r="AO1524" s="58"/>
      <c r="AP1524" s="58"/>
      <c r="AR1524" t="s">
        <v>14</v>
      </c>
      <c r="AS1524" t="s">
        <v>2</v>
      </c>
      <c r="AU1524" t="s">
        <v>2</v>
      </c>
      <c r="AV1524" s="10" t="s">
        <v>2023</v>
      </c>
      <c r="AW1524" t="s">
        <v>2492</v>
      </c>
    </row>
    <row r="1525" spans="1:49" x14ac:dyDescent="0.3">
      <c r="A1525" s="6" t="s">
        <v>2481</v>
      </c>
      <c r="B1525" t="s">
        <v>131</v>
      </c>
      <c r="C1525" t="s">
        <v>2482</v>
      </c>
      <c r="D1525" t="s">
        <v>215</v>
      </c>
      <c r="E1525">
        <v>2003</v>
      </c>
      <c r="F1525" t="s">
        <v>2661</v>
      </c>
      <c r="G1525" s="4" t="s">
        <v>34</v>
      </c>
      <c r="H1525" s="10" t="s">
        <v>17</v>
      </c>
      <c r="I1525" s="4" t="s">
        <v>834</v>
      </c>
      <c r="J1525" s="10" t="s">
        <v>2483</v>
      </c>
      <c r="K1525" s="26">
        <v>3</v>
      </c>
      <c r="L1525" s="26">
        <v>3</v>
      </c>
      <c r="N1525">
        <v>2239</v>
      </c>
      <c r="W1525">
        <v>2598</v>
      </c>
      <c r="Y1525">
        <v>454</v>
      </c>
      <c r="AD1525" s="3">
        <f t="shared" si="201"/>
        <v>1.1603394372487719</v>
      </c>
      <c r="AI1525" s="3">
        <f t="shared" si="202"/>
        <v>1.1603394372487719</v>
      </c>
      <c r="AL1525" s="58"/>
      <c r="AO1525" s="58"/>
      <c r="AP1525" s="58"/>
      <c r="AR1525" t="s">
        <v>14</v>
      </c>
      <c r="AS1525" t="s">
        <v>2</v>
      </c>
      <c r="AU1525" t="s">
        <v>2</v>
      </c>
      <c r="AV1525" s="10" t="s">
        <v>2023</v>
      </c>
      <c r="AW1525" t="s">
        <v>2492</v>
      </c>
    </row>
    <row r="1526" spans="1:49" x14ac:dyDescent="0.3">
      <c r="A1526" s="6" t="s">
        <v>2481</v>
      </c>
      <c r="B1526" t="s">
        <v>131</v>
      </c>
      <c r="C1526" t="s">
        <v>2482</v>
      </c>
      <c r="D1526" t="s">
        <v>215</v>
      </c>
      <c r="E1526">
        <v>2003</v>
      </c>
      <c r="F1526" t="s">
        <v>2661</v>
      </c>
      <c r="G1526" s="4" t="s">
        <v>34</v>
      </c>
      <c r="H1526" s="10" t="s">
        <v>17</v>
      </c>
      <c r="I1526" s="4" t="s">
        <v>834</v>
      </c>
      <c r="J1526" s="10" t="s">
        <v>2484</v>
      </c>
      <c r="K1526" s="26">
        <v>3</v>
      </c>
      <c r="L1526" s="26">
        <v>3</v>
      </c>
      <c r="N1526">
        <v>2239</v>
      </c>
      <c r="W1526">
        <v>2812</v>
      </c>
      <c r="Y1526">
        <v>93</v>
      </c>
      <c r="AD1526" s="3">
        <f t="shared" si="201"/>
        <v>1.2559178204555606</v>
      </c>
      <c r="AI1526" s="3">
        <f t="shared" si="202"/>
        <v>1.2559178204555606</v>
      </c>
      <c r="AL1526" s="58"/>
      <c r="AO1526" s="58"/>
      <c r="AP1526" s="58"/>
      <c r="AR1526" t="s">
        <v>14</v>
      </c>
      <c r="AS1526" t="s">
        <v>2</v>
      </c>
      <c r="AU1526" t="s">
        <v>2</v>
      </c>
      <c r="AV1526" s="10" t="s">
        <v>2023</v>
      </c>
      <c r="AW1526" t="s">
        <v>2492</v>
      </c>
    </row>
    <row r="1527" spans="1:49" x14ac:dyDescent="0.3">
      <c r="A1527" s="6" t="s">
        <v>2481</v>
      </c>
      <c r="B1527" t="s">
        <v>131</v>
      </c>
      <c r="C1527" t="s">
        <v>2482</v>
      </c>
      <c r="D1527" t="s">
        <v>215</v>
      </c>
      <c r="E1527">
        <v>2003</v>
      </c>
      <c r="F1527" t="s">
        <v>2661</v>
      </c>
      <c r="G1527" s="4" t="s">
        <v>34</v>
      </c>
      <c r="H1527" s="10" t="s">
        <v>17</v>
      </c>
      <c r="I1527" s="4" t="s">
        <v>2486</v>
      </c>
      <c r="J1527" s="10" t="s">
        <v>2483</v>
      </c>
      <c r="K1527" s="26">
        <v>3</v>
      </c>
      <c r="L1527" s="26">
        <v>3</v>
      </c>
      <c r="N1527">
        <v>682</v>
      </c>
      <c r="W1527">
        <v>634</v>
      </c>
      <c r="Y1527">
        <v>173</v>
      </c>
      <c r="AD1527" s="3">
        <f t="shared" ref="AD1527:AD1551" si="203">W1527/N1527</f>
        <v>0.9296187683284457</v>
      </c>
      <c r="AI1527" s="3">
        <f t="shared" ref="AI1527:AI1551" si="204">AD1527</f>
        <v>0.9296187683284457</v>
      </c>
      <c r="AL1527" s="58"/>
      <c r="AO1527" s="58"/>
      <c r="AP1527" s="58"/>
      <c r="AR1527" t="s">
        <v>14</v>
      </c>
      <c r="AS1527" t="s">
        <v>2</v>
      </c>
      <c r="AU1527" t="s">
        <v>2</v>
      </c>
      <c r="AV1527" s="10" t="s">
        <v>2023</v>
      </c>
      <c r="AW1527" t="s">
        <v>2492</v>
      </c>
    </row>
    <row r="1528" spans="1:49" x14ac:dyDescent="0.3">
      <c r="A1528" s="6" t="s">
        <v>2481</v>
      </c>
      <c r="B1528" t="s">
        <v>131</v>
      </c>
      <c r="C1528" t="s">
        <v>2482</v>
      </c>
      <c r="D1528" t="s">
        <v>215</v>
      </c>
      <c r="E1528">
        <v>2003</v>
      </c>
      <c r="F1528" t="s">
        <v>2661</v>
      </c>
      <c r="G1528" s="4" t="s">
        <v>34</v>
      </c>
      <c r="H1528" s="10" t="s">
        <v>17</v>
      </c>
      <c r="I1528" s="4" t="s">
        <v>2486</v>
      </c>
      <c r="J1528" s="10" t="s">
        <v>2484</v>
      </c>
      <c r="K1528" s="26">
        <v>3</v>
      </c>
      <c r="L1528" s="26">
        <v>3</v>
      </c>
      <c r="N1528">
        <v>682</v>
      </c>
      <c r="W1528">
        <v>574</v>
      </c>
      <c r="Y1528">
        <v>0</v>
      </c>
      <c r="AD1528" s="3">
        <f t="shared" si="203"/>
        <v>0.84164222873900296</v>
      </c>
      <c r="AI1528" s="3">
        <f t="shared" si="204"/>
        <v>0.84164222873900296</v>
      </c>
      <c r="AL1528" s="58"/>
      <c r="AO1528" s="58"/>
      <c r="AP1528" s="58"/>
      <c r="AR1528" t="s">
        <v>14</v>
      </c>
      <c r="AS1528" t="s">
        <v>2</v>
      </c>
      <c r="AU1528" t="s">
        <v>2</v>
      </c>
      <c r="AV1528" s="10" t="s">
        <v>2023</v>
      </c>
      <c r="AW1528" t="s">
        <v>2492</v>
      </c>
    </row>
    <row r="1529" spans="1:49" x14ac:dyDescent="0.3">
      <c r="A1529" s="6" t="s">
        <v>2481</v>
      </c>
      <c r="B1529" t="s">
        <v>131</v>
      </c>
      <c r="C1529" t="s">
        <v>2482</v>
      </c>
      <c r="D1529" t="s">
        <v>215</v>
      </c>
      <c r="E1529">
        <v>2003</v>
      </c>
      <c r="F1529" t="s">
        <v>2661</v>
      </c>
      <c r="G1529" s="4" t="s">
        <v>34</v>
      </c>
      <c r="H1529" s="10" t="s">
        <v>17</v>
      </c>
      <c r="I1529" s="4" t="s">
        <v>833</v>
      </c>
      <c r="J1529" s="10" t="s">
        <v>2483</v>
      </c>
      <c r="K1529" s="26">
        <v>3</v>
      </c>
      <c r="L1529" s="26">
        <v>3</v>
      </c>
      <c r="N1529">
        <v>1238</v>
      </c>
      <c r="W1529">
        <v>1276</v>
      </c>
      <c r="Y1529">
        <v>284</v>
      </c>
      <c r="AD1529" s="3">
        <f t="shared" si="203"/>
        <v>1.0306946688206786</v>
      </c>
      <c r="AI1529" s="3">
        <f t="shared" si="204"/>
        <v>1.0306946688206786</v>
      </c>
      <c r="AL1529" s="58"/>
      <c r="AO1529" s="58"/>
      <c r="AP1529" s="58"/>
      <c r="AR1529" t="s">
        <v>14</v>
      </c>
      <c r="AS1529" t="s">
        <v>2</v>
      </c>
      <c r="AU1529" t="s">
        <v>2</v>
      </c>
      <c r="AV1529" s="10" t="s">
        <v>2023</v>
      </c>
      <c r="AW1529" t="s">
        <v>2492</v>
      </c>
    </row>
    <row r="1530" spans="1:49" x14ac:dyDescent="0.3">
      <c r="A1530" s="6" t="s">
        <v>2481</v>
      </c>
      <c r="B1530" t="s">
        <v>131</v>
      </c>
      <c r="C1530" t="s">
        <v>2482</v>
      </c>
      <c r="D1530" t="s">
        <v>215</v>
      </c>
      <c r="E1530">
        <v>2003</v>
      </c>
      <c r="F1530" t="s">
        <v>2661</v>
      </c>
      <c r="G1530" s="4" t="s">
        <v>34</v>
      </c>
      <c r="H1530" s="10" t="s">
        <v>17</v>
      </c>
      <c r="I1530" s="4" t="s">
        <v>833</v>
      </c>
      <c r="J1530" s="10" t="s">
        <v>2484</v>
      </c>
      <c r="K1530" s="26">
        <v>3</v>
      </c>
      <c r="L1530" s="26">
        <v>3</v>
      </c>
      <c r="N1530">
        <v>1238</v>
      </c>
      <c r="W1530">
        <v>1239</v>
      </c>
      <c r="Y1530">
        <v>11</v>
      </c>
      <c r="AD1530" s="3">
        <f t="shared" si="203"/>
        <v>1.0008077544426495</v>
      </c>
      <c r="AI1530" s="3">
        <f t="shared" si="204"/>
        <v>1.0008077544426495</v>
      </c>
      <c r="AL1530" s="58"/>
      <c r="AO1530" s="58"/>
      <c r="AP1530" s="58"/>
      <c r="AR1530" t="s">
        <v>14</v>
      </c>
      <c r="AS1530" t="s">
        <v>2</v>
      </c>
      <c r="AU1530" t="s">
        <v>2</v>
      </c>
      <c r="AV1530" s="10" t="s">
        <v>2023</v>
      </c>
      <c r="AW1530" t="s">
        <v>2492</v>
      </c>
    </row>
    <row r="1531" spans="1:49" x14ac:dyDescent="0.3">
      <c r="A1531" s="6" t="s">
        <v>2481</v>
      </c>
      <c r="B1531" t="s">
        <v>131</v>
      </c>
      <c r="C1531" t="s">
        <v>2482</v>
      </c>
      <c r="D1531" t="s">
        <v>215</v>
      </c>
      <c r="E1531">
        <v>2004</v>
      </c>
      <c r="F1531" t="s">
        <v>2661</v>
      </c>
      <c r="G1531" s="4" t="s">
        <v>34</v>
      </c>
      <c r="H1531" s="10" t="s">
        <v>17</v>
      </c>
      <c r="I1531" s="4" t="s">
        <v>834</v>
      </c>
      <c r="J1531" s="10" t="s">
        <v>2483</v>
      </c>
      <c r="K1531" s="26">
        <v>3</v>
      </c>
      <c r="L1531" s="26">
        <v>3</v>
      </c>
      <c r="N1531">
        <v>1352</v>
      </c>
      <c r="W1531">
        <v>1366</v>
      </c>
      <c r="Y1531">
        <v>625</v>
      </c>
      <c r="AD1531" s="3">
        <f t="shared" si="203"/>
        <v>1.0103550295857988</v>
      </c>
      <c r="AI1531" s="3">
        <f t="shared" si="204"/>
        <v>1.0103550295857988</v>
      </c>
      <c r="AL1531" s="58"/>
      <c r="AO1531" s="58"/>
      <c r="AP1531" s="58"/>
      <c r="AR1531" t="s">
        <v>14</v>
      </c>
      <c r="AS1531" t="s">
        <v>2</v>
      </c>
      <c r="AU1531" t="s">
        <v>2</v>
      </c>
      <c r="AV1531" s="10" t="s">
        <v>2023</v>
      </c>
      <c r="AW1531" t="s">
        <v>2492</v>
      </c>
    </row>
    <row r="1532" spans="1:49" x14ac:dyDescent="0.3">
      <c r="A1532" s="6" t="s">
        <v>2481</v>
      </c>
      <c r="B1532" t="s">
        <v>131</v>
      </c>
      <c r="C1532" t="s">
        <v>2482</v>
      </c>
      <c r="D1532" t="s">
        <v>215</v>
      </c>
      <c r="E1532">
        <v>2004</v>
      </c>
      <c r="F1532" t="s">
        <v>2661</v>
      </c>
      <c r="G1532" s="4" t="s">
        <v>34</v>
      </c>
      <c r="H1532" s="10" t="s">
        <v>17</v>
      </c>
      <c r="I1532" s="4" t="s">
        <v>834</v>
      </c>
      <c r="J1532" s="10" t="s">
        <v>2484</v>
      </c>
      <c r="K1532" s="26">
        <v>3</v>
      </c>
      <c r="L1532" s="26">
        <v>3</v>
      </c>
      <c r="N1532">
        <v>1352</v>
      </c>
      <c r="W1532">
        <v>1950</v>
      </c>
      <c r="Y1532">
        <v>51</v>
      </c>
      <c r="AD1532" s="3">
        <f t="shared" si="203"/>
        <v>1.4423076923076923</v>
      </c>
      <c r="AI1532" s="3">
        <f t="shared" si="204"/>
        <v>1.4423076923076923</v>
      </c>
      <c r="AL1532" s="58"/>
      <c r="AO1532" s="58"/>
      <c r="AP1532" s="58"/>
      <c r="AR1532" t="s">
        <v>14</v>
      </c>
      <c r="AS1532" t="s">
        <v>2</v>
      </c>
      <c r="AU1532" t="s">
        <v>2</v>
      </c>
      <c r="AV1532" s="10" t="s">
        <v>2023</v>
      </c>
      <c r="AW1532" t="s">
        <v>2492</v>
      </c>
    </row>
    <row r="1533" spans="1:49" x14ac:dyDescent="0.3">
      <c r="A1533" s="6" t="s">
        <v>2481</v>
      </c>
      <c r="B1533" t="s">
        <v>131</v>
      </c>
      <c r="C1533" t="s">
        <v>2482</v>
      </c>
      <c r="D1533" t="s">
        <v>215</v>
      </c>
      <c r="E1533">
        <v>2004</v>
      </c>
      <c r="F1533" t="s">
        <v>2661</v>
      </c>
      <c r="G1533" s="4" t="s">
        <v>34</v>
      </c>
      <c r="H1533" s="10" t="s">
        <v>17</v>
      </c>
      <c r="I1533" s="4" t="s">
        <v>2486</v>
      </c>
      <c r="J1533" s="10" t="s">
        <v>2483</v>
      </c>
      <c r="K1533" s="26">
        <v>3</v>
      </c>
      <c r="L1533" s="26">
        <v>3</v>
      </c>
      <c r="N1533">
        <v>254</v>
      </c>
      <c r="W1533">
        <v>271</v>
      </c>
      <c r="Y1533">
        <v>0</v>
      </c>
      <c r="AD1533" s="3">
        <f t="shared" si="203"/>
        <v>1.0669291338582678</v>
      </c>
      <c r="AI1533" s="3">
        <f t="shared" si="204"/>
        <v>1.0669291338582678</v>
      </c>
      <c r="AL1533" s="58"/>
      <c r="AO1533" s="58"/>
      <c r="AP1533" s="58"/>
      <c r="AR1533" t="s">
        <v>14</v>
      </c>
      <c r="AS1533" t="s">
        <v>2</v>
      </c>
      <c r="AU1533" t="s">
        <v>2</v>
      </c>
      <c r="AV1533" s="10" t="s">
        <v>2023</v>
      </c>
      <c r="AW1533" t="s">
        <v>2492</v>
      </c>
    </row>
    <row r="1534" spans="1:49" x14ac:dyDescent="0.3">
      <c r="A1534" s="6" t="s">
        <v>2481</v>
      </c>
      <c r="B1534" t="s">
        <v>131</v>
      </c>
      <c r="C1534" t="s">
        <v>2482</v>
      </c>
      <c r="D1534" t="s">
        <v>215</v>
      </c>
      <c r="E1534">
        <v>2004</v>
      </c>
      <c r="F1534" t="s">
        <v>2661</v>
      </c>
      <c r="G1534" s="4" t="s">
        <v>34</v>
      </c>
      <c r="H1534" s="10" t="s">
        <v>17</v>
      </c>
      <c r="I1534" s="4" t="s">
        <v>2486</v>
      </c>
      <c r="J1534" s="10" t="s">
        <v>2484</v>
      </c>
      <c r="K1534" s="26">
        <v>3</v>
      </c>
      <c r="L1534" s="26">
        <v>3</v>
      </c>
      <c r="N1534">
        <v>254</v>
      </c>
      <c r="W1534">
        <v>217</v>
      </c>
      <c r="Y1534">
        <v>0</v>
      </c>
      <c r="AD1534" s="3">
        <f t="shared" si="203"/>
        <v>0.85433070866141736</v>
      </c>
      <c r="AI1534" s="3">
        <f t="shared" si="204"/>
        <v>0.85433070866141736</v>
      </c>
      <c r="AL1534" s="58"/>
      <c r="AO1534" s="58"/>
      <c r="AP1534" s="58"/>
      <c r="AR1534" t="s">
        <v>14</v>
      </c>
      <c r="AS1534" t="s">
        <v>2</v>
      </c>
      <c r="AU1534" t="s">
        <v>2</v>
      </c>
      <c r="AV1534" s="10" t="s">
        <v>2023</v>
      </c>
      <c r="AW1534" t="s">
        <v>2492</v>
      </c>
    </row>
    <row r="1535" spans="1:49" x14ac:dyDescent="0.3">
      <c r="A1535" s="6" t="s">
        <v>2487</v>
      </c>
      <c r="B1535" t="s">
        <v>149</v>
      </c>
      <c r="D1535" t="s">
        <v>2488</v>
      </c>
      <c r="F1535" t="s">
        <v>2661</v>
      </c>
      <c r="G1535" s="4" t="s">
        <v>34</v>
      </c>
      <c r="H1535" s="10" t="s">
        <v>17</v>
      </c>
      <c r="J1535" s="10" t="s">
        <v>2489</v>
      </c>
      <c r="K1535" s="26">
        <v>5</v>
      </c>
      <c r="L1535" s="26">
        <v>5</v>
      </c>
      <c r="N1535">
        <v>1792</v>
      </c>
      <c r="O1535">
        <v>221</v>
      </c>
      <c r="W1535">
        <v>6918</v>
      </c>
      <c r="X1535">
        <v>116</v>
      </c>
      <c r="Y1535">
        <v>3316</v>
      </c>
      <c r="Z1535">
        <v>96</v>
      </c>
      <c r="AD1535" s="3">
        <f t="shared" si="203"/>
        <v>3.8604910714285716</v>
      </c>
      <c r="AI1535" s="3">
        <f t="shared" si="204"/>
        <v>3.8604910714285716</v>
      </c>
      <c r="AL1535" s="58">
        <f>(((X1535*SQRT(L1535))^2)/(N1535^2))+((O1535*SQRT(K1535))^2)*(W1535^2)/(N1535^4)</f>
        <v>1.1543001993883191</v>
      </c>
      <c r="AO1535" s="58">
        <f t="shared" ref="AO1535:AO1537" si="205">AL1535+AM1535+AN1535</f>
        <v>1.1543001993883191</v>
      </c>
      <c r="AP1535" s="58">
        <f t="shared" ref="AP1535:AP1537" si="206">SQRT(AO1535)/AI1535</f>
        <v>0.27830232400256844</v>
      </c>
      <c r="AU1535" t="s">
        <v>2</v>
      </c>
      <c r="AV1535" s="10" t="s">
        <v>2023</v>
      </c>
      <c r="AW1535" t="s">
        <v>2492</v>
      </c>
    </row>
    <row r="1536" spans="1:49" x14ac:dyDescent="0.3">
      <c r="A1536" s="6" t="s">
        <v>2487</v>
      </c>
      <c r="B1536" t="s">
        <v>149</v>
      </c>
      <c r="D1536" t="s">
        <v>2488</v>
      </c>
      <c r="F1536" t="s">
        <v>2661</v>
      </c>
      <c r="G1536" s="4" t="s">
        <v>34</v>
      </c>
      <c r="H1536" s="10" t="s">
        <v>17</v>
      </c>
      <c r="J1536" s="10" t="s">
        <v>2490</v>
      </c>
      <c r="K1536" s="26">
        <v>5</v>
      </c>
      <c r="L1536" s="26">
        <v>5</v>
      </c>
      <c r="N1536">
        <v>1792</v>
      </c>
      <c r="O1536">
        <v>221</v>
      </c>
      <c r="W1536">
        <v>8426</v>
      </c>
      <c r="X1536">
        <v>894</v>
      </c>
      <c r="Y1536">
        <v>2764</v>
      </c>
      <c r="Z1536">
        <v>265</v>
      </c>
      <c r="AD1536" s="3">
        <f t="shared" si="203"/>
        <v>4.7020089285714288</v>
      </c>
      <c r="AI1536" s="3">
        <f t="shared" si="204"/>
        <v>4.7020089285714288</v>
      </c>
      <c r="AL1536" s="58">
        <f>(((X1536*SQRT(L1536))^2)/(N1536^2))+((O1536*SQRT(K1536))^2)*(W1536^2)/(N1536^4)</f>
        <v>2.9257267497589305</v>
      </c>
      <c r="AO1536" s="58">
        <f t="shared" si="205"/>
        <v>2.9257267497589305</v>
      </c>
      <c r="AP1536" s="58">
        <f t="shared" si="206"/>
        <v>0.36377548781202457</v>
      </c>
      <c r="AU1536" t="s">
        <v>2</v>
      </c>
      <c r="AV1536" s="10" t="s">
        <v>2023</v>
      </c>
      <c r="AW1536" t="s">
        <v>2492</v>
      </c>
    </row>
    <row r="1537" spans="1:49" x14ac:dyDescent="0.3">
      <c r="A1537" s="6" t="s">
        <v>2487</v>
      </c>
      <c r="B1537" t="s">
        <v>149</v>
      </c>
      <c r="D1537" t="s">
        <v>2488</v>
      </c>
      <c r="F1537" t="s">
        <v>2661</v>
      </c>
      <c r="G1537" s="4" t="s">
        <v>34</v>
      </c>
      <c r="H1537" s="10" t="s">
        <v>17</v>
      </c>
      <c r="J1537" s="10" t="s">
        <v>2491</v>
      </c>
      <c r="K1537" s="26">
        <v>5</v>
      </c>
      <c r="L1537" s="26">
        <v>5</v>
      </c>
      <c r="N1537">
        <v>1792</v>
      </c>
      <c r="O1537">
        <v>221</v>
      </c>
      <c r="W1537">
        <v>5373</v>
      </c>
      <c r="X1537">
        <v>769</v>
      </c>
      <c r="Y1537">
        <v>3365</v>
      </c>
      <c r="Z1537">
        <v>315</v>
      </c>
      <c r="AD1537" s="3">
        <f t="shared" si="203"/>
        <v>2.9983258928571428</v>
      </c>
      <c r="AI1537" s="3">
        <f t="shared" si="204"/>
        <v>2.9983258928571428</v>
      </c>
      <c r="AL1537" s="58">
        <f>(((X1537*SQRT(L1537))^2)/(N1537^2))+((O1537*SQRT(K1537))^2)*(W1537^2)/(N1537^4)</f>
        <v>1.604414253206365</v>
      </c>
      <c r="AO1537" s="58">
        <f t="shared" si="205"/>
        <v>1.604414253206365</v>
      </c>
      <c r="AP1537" s="58">
        <f t="shared" si="206"/>
        <v>0.42245399408855183</v>
      </c>
      <c r="AU1537" t="s">
        <v>2</v>
      </c>
      <c r="AV1537" s="10" t="s">
        <v>2023</v>
      </c>
      <c r="AW1537" t="s">
        <v>2492</v>
      </c>
    </row>
    <row r="1538" spans="1:49" x14ac:dyDescent="0.3">
      <c r="A1538" s="6" t="s">
        <v>2493</v>
      </c>
      <c r="B1538" t="s">
        <v>100</v>
      </c>
      <c r="C1538" t="s">
        <v>2494</v>
      </c>
      <c r="D1538" t="s">
        <v>167</v>
      </c>
      <c r="F1538" t="s">
        <v>2661</v>
      </c>
      <c r="G1538" s="4" t="s">
        <v>34</v>
      </c>
      <c r="H1538" s="10" t="s">
        <v>17</v>
      </c>
      <c r="I1538" t="s">
        <v>2496</v>
      </c>
      <c r="J1538" s="10" t="s">
        <v>2495</v>
      </c>
      <c r="K1538" s="26">
        <v>3</v>
      </c>
      <c r="L1538" s="26">
        <v>3</v>
      </c>
      <c r="N1538">
        <v>13588</v>
      </c>
      <c r="W1538">
        <v>14334</v>
      </c>
      <c r="AD1538" s="3">
        <f t="shared" si="203"/>
        <v>1.0549013835737415</v>
      </c>
      <c r="AI1538" s="3">
        <f t="shared" si="204"/>
        <v>1.0549013835737415</v>
      </c>
      <c r="AQ1538">
        <f>200*0.15</f>
        <v>30</v>
      </c>
      <c r="AR1538" t="s">
        <v>14</v>
      </c>
      <c r="AU1538" t="s">
        <v>2</v>
      </c>
      <c r="AV1538" s="10" t="s">
        <v>2023</v>
      </c>
      <c r="AW1538" t="s">
        <v>2500</v>
      </c>
    </row>
    <row r="1539" spans="1:49" x14ac:dyDescent="0.3">
      <c r="A1539" s="6" t="s">
        <v>2493</v>
      </c>
      <c r="B1539" t="s">
        <v>100</v>
      </c>
      <c r="C1539" t="s">
        <v>2494</v>
      </c>
      <c r="D1539" t="s">
        <v>167</v>
      </c>
      <c r="F1539" t="s">
        <v>2661</v>
      </c>
      <c r="G1539" s="4" t="s">
        <v>34</v>
      </c>
      <c r="H1539" s="10" t="s">
        <v>17</v>
      </c>
      <c r="I1539" t="s">
        <v>2497</v>
      </c>
      <c r="J1539" s="10" t="s">
        <v>2495</v>
      </c>
      <c r="K1539" s="26">
        <v>3</v>
      </c>
      <c r="L1539" s="26">
        <v>3</v>
      </c>
      <c r="N1539">
        <v>14209</v>
      </c>
      <c r="W1539">
        <v>14955</v>
      </c>
      <c r="AD1539" s="3">
        <f t="shared" si="203"/>
        <v>1.0525019353930607</v>
      </c>
      <c r="AI1539" s="3">
        <f t="shared" si="204"/>
        <v>1.0525019353930607</v>
      </c>
      <c r="AQ1539">
        <f t="shared" ref="AQ1539:AQ1541" si="207">200*0.15</f>
        <v>30</v>
      </c>
      <c r="AR1539" t="s">
        <v>14</v>
      </c>
      <c r="AU1539" t="s">
        <v>2</v>
      </c>
      <c r="AV1539" s="10" t="s">
        <v>2023</v>
      </c>
      <c r="AW1539" t="s">
        <v>2500</v>
      </c>
    </row>
    <row r="1540" spans="1:49" x14ac:dyDescent="0.3">
      <c r="A1540" s="6" t="s">
        <v>2493</v>
      </c>
      <c r="B1540" t="s">
        <v>100</v>
      </c>
      <c r="C1540" t="s">
        <v>2494</v>
      </c>
      <c r="D1540" t="s">
        <v>167</v>
      </c>
      <c r="F1540" t="s">
        <v>2661</v>
      </c>
      <c r="G1540" s="4" t="s">
        <v>34</v>
      </c>
      <c r="H1540" s="10" t="s">
        <v>17</v>
      </c>
      <c r="I1540" t="s">
        <v>2498</v>
      </c>
      <c r="J1540" s="10" t="s">
        <v>2495</v>
      </c>
      <c r="K1540" s="26">
        <v>3</v>
      </c>
      <c r="L1540" s="26">
        <v>3</v>
      </c>
      <c r="N1540">
        <v>14831</v>
      </c>
      <c r="W1540">
        <v>16136</v>
      </c>
      <c r="AD1540" s="3">
        <f t="shared" si="203"/>
        <v>1.087991369428899</v>
      </c>
      <c r="AI1540" s="3">
        <f t="shared" si="204"/>
        <v>1.087991369428899</v>
      </c>
      <c r="AQ1540">
        <f t="shared" si="207"/>
        <v>30</v>
      </c>
      <c r="AR1540" t="s">
        <v>14</v>
      </c>
      <c r="AU1540" t="s">
        <v>2</v>
      </c>
      <c r="AV1540" s="10" t="s">
        <v>2023</v>
      </c>
      <c r="AW1540" t="s">
        <v>2500</v>
      </c>
    </row>
    <row r="1541" spans="1:49" x14ac:dyDescent="0.3">
      <c r="A1541" s="6" t="s">
        <v>2493</v>
      </c>
      <c r="B1541" t="s">
        <v>100</v>
      </c>
      <c r="C1541" t="s">
        <v>2494</v>
      </c>
      <c r="D1541" t="s">
        <v>167</v>
      </c>
      <c r="F1541" t="s">
        <v>2661</v>
      </c>
      <c r="G1541" s="4" t="s">
        <v>34</v>
      </c>
      <c r="H1541" s="10" t="s">
        <v>17</v>
      </c>
      <c r="I1541" t="s">
        <v>2499</v>
      </c>
      <c r="J1541" s="10" t="s">
        <v>2495</v>
      </c>
      <c r="K1541" s="26">
        <v>3</v>
      </c>
      <c r="L1541" s="26">
        <v>3</v>
      </c>
      <c r="N1541">
        <v>15763</v>
      </c>
      <c r="W1541">
        <v>16964</v>
      </c>
      <c r="AD1541" s="3">
        <f t="shared" si="203"/>
        <v>1.0761910803781005</v>
      </c>
      <c r="AI1541" s="3">
        <f t="shared" si="204"/>
        <v>1.0761910803781005</v>
      </c>
      <c r="AQ1541">
        <f t="shared" si="207"/>
        <v>30</v>
      </c>
      <c r="AR1541" t="s">
        <v>14</v>
      </c>
      <c r="AU1541" t="s">
        <v>2</v>
      </c>
      <c r="AV1541" s="10" t="s">
        <v>2023</v>
      </c>
      <c r="AW1541" t="s">
        <v>2500</v>
      </c>
    </row>
    <row r="1542" spans="1:49" x14ac:dyDescent="0.3">
      <c r="A1542" s="10" t="s">
        <v>2501</v>
      </c>
      <c r="B1542" s="10" t="s">
        <v>131</v>
      </c>
      <c r="C1542" s="10" t="s">
        <v>422</v>
      </c>
      <c r="D1542" s="10" t="s">
        <v>2502</v>
      </c>
      <c r="E1542" s="10">
        <v>1993</v>
      </c>
      <c r="F1542" t="s">
        <v>2661</v>
      </c>
      <c r="G1542" s="16" t="s">
        <v>34</v>
      </c>
      <c r="H1542" s="10" t="s">
        <v>17</v>
      </c>
      <c r="I1542" s="10" t="s">
        <v>834</v>
      </c>
      <c r="J1542" s="10" t="s">
        <v>2507</v>
      </c>
      <c r="K1542" s="10">
        <v>2</v>
      </c>
      <c r="L1542" s="10">
        <v>2</v>
      </c>
      <c r="N1542" s="10">
        <v>3.99</v>
      </c>
      <c r="W1542">
        <v>4.17</v>
      </c>
      <c r="AD1542" s="3">
        <f t="shared" si="203"/>
        <v>1.0451127819548871</v>
      </c>
      <c r="AI1542" s="3">
        <f t="shared" si="204"/>
        <v>1.0451127819548871</v>
      </c>
      <c r="AQ1542">
        <v>50</v>
      </c>
      <c r="AR1542" s="10" t="s">
        <v>14</v>
      </c>
      <c r="AU1542" s="10" t="s">
        <v>2</v>
      </c>
      <c r="AV1542" s="10" t="s">
        <v>2</v>
      </c>
    </row>
    <row r="1543" spans="1:49" x14ac:dyDescent="0.3">
      <c r="A1543" s="10" t="s">
        <v>2501</v>
      </c>
      <c r="B1543" s="10" t="s">
        <v>131</v>
      </c>
      <c r="C1543" s="10" t="s">
        <v>422</v>
      </c>
      <c r="D1543" s="10" t="s">
        <v>2502</v>
      </c>
      <c r="E1543" s="10">
        <v>1993</v>
      </c>
      <c r="F1543" t="s">
        <v>2661</v>
      </c>
      <c r="G1543" s="16" t="s">
        <v>34</v>
      </c>
      <c r="H1543" s="10" t="s">
        <v>17</v>
      </c>
      <c r="I1543" t="s">
        <v>833</v>
      </c>
      <c r="J1543" s="10" t="s">
        <v>2507</v>
      </c>
      <c r="K1543" s="10">
        <v>2</v>
      </c>
      <c r="L1543" s="10">
        <v>2</v>
      </c>
      <c r="N1543" s="10">
        <v>0.83</v>
      </c>
      <c r="W1543">
        <v>0.77</v>
      </c>
      <c r="AD1543" s="3">
        <f t="shared" si="203"/>
        <v>0.92771084337349408</v>
      </c>
      <c r="AI1543" s="3">
        <f t="shared" si="204"/>
        <v>0.92771084337349408</v>
      </c>
      <c r="AQ1543">
        <v>50</v>
      </c>
      <c r="AR1543" s="10" t="s">
        <v>14</v>
      </c>
      <c r="AU1543" s="10" t="s">
        <v>2</v>
      </c>
      <c r="AV1543" s="10" t="s">
        <v>2</v>
      </c>
    </row>
    <row r="1544" spans="1:49" x14ac:dyDescent="0.3">
      <c r="A1544" s="10" t="s">
        <v>2501</v>
      </c>
      <c r="B1544" s="10" t="s">
        <v>131</v>
      </c>
      <c r="C1544" s="10" t="s">
        <v>422</v>
      </c>
      <c r="D1544" s="10" t="s">
        <v>2502</v>
      </c>
      <c r="E1544" s="10">
        <v>1994</v>
      </c>
      <c r="F1544" t="s">
        <v>2661</v>
      </c>
      <c r="G1544" s="16" t="s">
        <v>34</v>
      </c>
      <c r="H1544" s="10" t="s">
        <v>17</v>
      </c>
      <c r="I1544" s="10" t="s">
        <v>834</v>
      </c>
      <c r="J1544" s="10" t="s">
        <v>2507</v>
      </c>
      <c r="K1544" s="10">
        <v>2</v>
      </c>
      <c r="L1544" s="10">
        <v>2</v>
      </c>
      <c r="N1544" s="10">
        <v>6.7</v>
      </c>
      <c r="W1544">
        <v>6.71</v>
      </c>
      <c r="AD1544" s="3">
        <f t="shared" si="203"/>
        <v>1.0014925373134329</v>
      </c>
      <c r="AI1544" s="3">
        <f t="shared" si="204"/>
        <v>1.0014925373134329</v>
      </c>
      <c r="AQ1544">
        <v>50</v>
      </c>
      <c r="AR1544" s="10" t="s">
        <v>14</v>
      </c>
      <c r="AU1544" s="10" t="s">
        <v>2</v>
      </c>
      <c r="AV1544" s="10" t="s">
        <v>2</v>
      </c>
    </row>
    <row r="1545" spans="1:49" x14ac:dyDescent="0.3">
      <c r="A1545" s="10" t="s">
        <v>2501</v>
      </c>
      <c r="B1545" s="10" t="s">
        <v>131</v>
      </c>
      <c r="C1545" s="10" t="s">
        <v>422</v>
      </c>
      <c r="D1545" s="10" t="s">
        <v>2502</v>
      </c>
      <c r="E1545" s="10">
        <v>1994</v>
      </c>
      <c r="F1545" t="s">
        <v>2661</v>
      </c>
      <c r="G1545" s="16" t="s">
        <v>34</v>
      </c>
      <c r="H1545" s="10" t="s">
        <v>17</v>
      </c>
      <c r="I1545" t="s">
        <v>833</v>
      </c>
      <c r="J1545" s="10" t="s">
        <v>2507</v>
      </c>
      <c r="K1545" s="10">
        <v>2</v>
      </c>
      <c r="L1545" s="10">
        <v>2</v>
      </c>
      <c r="N1545" s="10">
        <v>4.8600000000000003</v>
      </c>
      <c r="W1545">
        <v>3.49</v>
      </c>
      <c r="AD1545" s="3">
        <f t="shared" si="203"/>
        <v>0.71810699588477367</v>
      </c>
      <c r="AI1545" s="3">
        <f t="shared" si="204"/>
        <v>0.71810699588477367</v>
      </c>
      <c r="AQ1545">
        <v>50</v>
      </c>
      <c r="AR1545" s="10" t="s">
        <v>14</v>
      </c>
      <c r="AU1545" s="10" t="s">
        <v>2</v>
      </c>
      <c r="AV1545" s="10" t="s">
        <v>2</v>
      </c>
    </row>
    <row r="1546" spans="1:49" x14ac:dyDescent="0.3">
      <c r="A1546" s="10" t="s">
        <v>2501</v>
      </c>
      <c r="B1546" s="10" t="s">
        <v>131</v>
      </c>
      <c r="C1546" s="10" t="s">
        <v>422</v>
      </c>
      <c r="D1546" s="10" t="s">
        <v>2502</v>
      </c>
      <c r="E1546" s="10">
        <v>1995</v>
      </c>
      <c r="F1546" t="s">
        <v>2661</v>
      </c>
      <c r="G1546" s="16" t="s">
        <v>34</v>
      </c>
      <c r="H1546" s="10" t="s">
        <v>17</v>
      </c>
      <c r="I1546" s="10" t="s">
        <v>834</v>
      </c>
      <c r="J1546" s="10" t="s">
        <v>2507</v>
      </c>
      <c r="K1546" s="10">
        <v>2</v>
      </c>
      <c r="L1546" s="10">
        <v>2</v>
      </c>
      <c r="N1546" s="10">
        <v>4.05</v>
      </c>
      <c r="W1546">
        <v>3.43</v>
      </c>
      <c r="AD1546" s="3">
        <f t="shared" si="203"/>
        <v>0.84691358024691366</v>
      </c>
      <c r="AI1546" s="3">
        <f t="shared" si="204"/>
        <v>0.84691358024691366</v>
      </c>
      <c r="AQ1546">
        <v>50</v>
      </c>
      <c r="AR1546" s="10" t="s">
        <v>14</v>
      </c>
      <c r="AU1546" s="10" t="s">
        <v>2</v>
      </c>
      <c r="AV1546" s="10" t="s">
        <v>2</v>
      </c>
    </row>
    <row r="1547" spans="1:49" x14ac:dyDescent="0.3">
      <c r="A1547" s="10" t="s">
        <v>2501</v>
      </c>
      <c r="B1547" s="10" t="s">
        <v>131</v>
      </c>
      <c r="C1547" s="10" t="s">
        <v>422</v>
      </c>
      <c r="D1547" s="10" t="s">
        <v>2502</v>
      </c>
      <c r="E1547" s="10">
        <v>1995</v>
      </c>
      <c r="F1547" t="s">
        <v>2661</v>
      </c>
      <c r="G1547" s="16" t="s">
        <v>34</v>
      </c>
      <c r="H1547" s="10" t="s">
        <v>17</v>
      </c>
      <c r="I1547" t="s">
        <v>833</v>
      </c>
      <c r="J1547" s="10" t="s">
        <v>2507</v>
      </c>
      <c r="K1547" s="10">
        <v>2</v>
      </c>
      <c r="L1547" s="10">
        <v>2</v>
      </c>
      <c r="N1547" s="10">
        <v>8.0500000000000007</v>
      </c>
      <c r="W1547">
        <v>5.5</v>
      </c>
      <c r="AD1547" s="3">
        <f t="shared" si="203"/>
        <v>0.68322981366459623</v>
      </c>
      <c r="AI1547" s="3">
        <f t="shared" si="204"/>
        <v>0.68322981366459623</v>
      </c>
      <c r="AQ1547">
        <v>50</v>
      </c>
      <c r="AR1547" s="10" t="s">
        <v>14</v>
      </c>
      <c r="AU1547" s="10" t="s">
        <v>2</v>
      </c>
      <c r="AV1547" s="10" t="s">
        <v>2</v>
      </c>
    </row>
    <row r="1548" spans="1:49" x14ac:dyDescent="0.3">
      <c r="A1548" s="10" t="s">
        <v>2501</v>
      </c>
      <c r="B1548" s="10" t="s">
        <v>131</v>
      </c>
      <c r="C1548" s="10" t="s">
        <v>422</v>
      </c>
      <c r="D1548" s="10" t="s">
        <v>2502</v>
      </c>
      <c r="E1548" s="10">
        <v>1996</v>
      </c>
      <c r="F1548" t="s">
        <v>2661</v>
      </c>
      <c r="G1548" s="16" t="s">
        <v>34</v>
      </c>
      <c r="H1548" s="10" t="s">
        <v>17</v>
      </c>
      <c r="I1548" s="10" t="s">
        <v>834</v>
      </c>
      <c r="J1548" s="10" t="s">
        <v>2507</v>
      </c>
      <c r="K1548" s="10">
        <v>2</v>
      </c>
      <c r="L1548" s="10">
        <v>2</v>
      </c>
      <c r="N1548" s="10">
        <v>4.67</v>
      </c>
      <c r="W1548">
        <v>4.4000000000000004</v>
      </c>
      <c r="AD1548" s="3">
        <f t="shared" si="203"/>
        <v>0.94218415417558898</v>
      </c>
      <c r="AI1548" s="3">
        <f t="shared" si="204"/>
        <v>0.94218415417558898</v>
      </c>
      <c r="AQ1548">
        <v>50</v>
      </c>
      <c r="AR1548" s="10" t="s">
        <v>14</v>
      </c>
      <c r="AU1548" s="10" t="s">
        <v>2</v>
      </c>
      <c r="AV1548" s="10" t="s">
        <v>2</v>
      </c>
    </row>
    <row r="1549" spans="1:49" x14ac:dyDescent="0.3">
      <c r="A1549" s="10" t="s">
        <v>2501</v>
      </c>
      <c r="B1549" s="10" t="s">
        <v>131</v>
      </c>
      <c r="C1549" s="10" t="s">
        <v>422</v>
      </c>
      <c r="D1549" s="10" t="s">
        <v>2502</v>
      </c>
      <c r="E1549" s="10">
        <v>1996</v>
      </c>
      <c r="F1549" t="s">
        <v>2661</v>
      </c>
      <c r="G1549" s="16" t="s">
        <v>34</v>
      </c>
      <c r="H1549" s="10" t="s">
        <v>17</v>
      </c>
      <c r="I1549" t="s">
        <v>833</v>
      </c>
      <c r="J1549" s="10" t="s">
        <v>2507</v>
      </c>
      <c r="K1549" s="10">
        <v>2</v>
      </c>
      <c r="L1549" s="10">
        <v>2</v>
      </c>
      <c r="N1549" s="10">
        <v>0.64</v>
      </c>
      <c r="W1549">
        <v>0.59</v>
      </c>
      <c r="AD1549" s="3">
        <f t="shared" si="203"/>
        <v>0.92187499999999989</v>
      </c>
      <c r="AI1549" s="3">
        <f t="shared" si="204"/>
        <v>0.92187499999999989</v>
      </c>
      <c r="AQ1549">
        <v>50</v>
      </c>
      <c r="AR1549" s="10" t="s">
        <v>14</v>
      </c>
      <c r="AU1549" s="10" t="s">
        <v>2</v>
      </c>
      <c r="AV1549" s="10" t="s">
        <v>2</v>
      </c>
    </row>
    <row r="1550" spans="1:49" x14ac:dyDescent="0.3">
      <c r="A1550" s="10" t="s">
        <v>2501</v>
      </c>
      <c r="B1550" s="10" t="s">
        <v>131</v>
      </c>
      <c r="C1550" s="10" t="s">
        <v>422</v>
      </c>
      <c r="D1550" s="10" t="s">
        <v>2502</v>
      </c>
      <c r="E1550" s="10">
        <v>1997</v>
      </c>
      <c r="F1550" t="s">
        <v>2661</v>
      </c>
      <c r="G1550" s="16" t="s">
        <v>34</v>
      </c>
      <c r="H1550" s="10" t="s">
        <v>17</v>
      </c>
      <c r="I1550" s="10" t="s">
        <v>834</v>
      </c>
      <c r="J1550" s="10" t="s">
        <v>2507</v>
      </c>
      <c r="K1550" s="10">
        <v>2</v>
      </c>
      <c r="L1550" s="10">
        <v>2</v>
      </c>
      <c r="N1550" s="10">
        <v>2.23</v>
      </c>
      <c r="W1550">
        <v>2.65</v>
      </c>
      <c r="AD1550" s="3">
        <f t="shared" si="203"/>
        <v>1.1883408071748878</v>
      </c>
      <c r="AI1550" s="3">
        <f t="shared" si="204"/>
        <v>1.1883408071748878</v>
      </c>
      <c r="AQ1550">
        <v>50</v>
      </c>
      <c r="AR1550" s="10" t="s">
        <v>14</v>
      </c>
      <c r="AU1550" s="10" t="s">
        <v>2</v>
      </c>
      <c r="AV1550" s="10" t="s">
        <v>2</v>
      </c>
    </row>
    <row r="1551" spans="1:49" x14ac:dyDescent="0.3">
      <c r="A1551" s="10" t="s">
        <v>2501</v>
      </c>
      <c r="B1551" s="10" t="s">
        <v>131</v>
      </c>
      <c r="C1551" s="10" t="s">
        <v>422</v>
      </c>
      <c r="D1551" s="10" t="s">
        <v>2502</v>
      </c>
      <c r="E1551" s="10">
        <v>1997</v>
      </c>
      <c r="F1551" t="s">
        <v>2661</v>
      </c>
      <c r="G1551" s="16" t="s">
        <v>34</v>
      </c>
      <c r="H1551" s="10" t="s">
        <v>17</v>
      </c>
      <c r="I1551" t="s">
        <v>833</v>
      </c>
      <c r="J1551" s="10" t="s">
        <v>2507</v>
      </c>
      <c r="K1551" s="10">
        <v>2</v>
      </c>
      <c r="L1551" s="10">
        <v>2</v>
      </c>
      <c r="N1551" s="10">
        <v>8.06</v>
      </c>
      <c r="W1551">
        <v>6.88</v>
      </c>
      <c r="AD1551" s="3">
        <f t="shared" si="203"/>
        <v>0.85359801488833742</v>
      </c>
      <c r="AI1551" s="3">
        <f t="shared" si="204"/>
        <v>0.85359801488833742</v>
      </c>
      <c r="AQ1551">
        <v>50</v>
      </c>
      <c r="AR1551" s="10" t="s">
        <v>14</v>
      </c>
      <c r="AU1551" s="10" t="s">
        <v>2</v>
      </c>
      <c r="AV1551" s="10" t="s">
        <v>2</v>
      </c>
    </row>
    <row r="1552" spans="1:49" x14ac:dyDescent="0.3">
      <c r="A1552" s="10" t="s">
        <v>2513</v>
      </c>
      <c r="B1552" s="10" t="s">
        <v>2511</v>
      </c>
      <c r="C1552" t="s">
        <v>2510</v>
      </c>
      <c r="D1552" s="10" t="s">
        <v>2509</v>
      </c>
      <c r="E1552" t="s">
        <v>2508</v>
      </c>
      <c r="F1552" t="s">
        <v>2661</v>
      </c>
      <c r="G1552" s="16" t="s">
        <v>34</v>
      </c>
      <c r="H1552" s="10" t="s">
        <v>217</v>
      </c>
      <c r="J1552" s="10" t="s">
        <v>2512</v>
      </c>
      <c r="K1552" s="26">
        <v>3</v>
      </c>
      <c r="L1552" s="26">
        <v>3</v>
      </c>
      <c r="N1552" s="10">
        <v>15.64</v>
      </c>
      <c r="P1552">
        <v>6.11</v>
      </c>
      <c r="V1552">
        <v>20.350000000000001</v>
      </c>
      <c r="AI1552" s="3">
        <f>MIN((V1552/N1552),(V1552/P1552))</f>
        <v>1.301150895140665</v>
      </c>
      <c r="AQ1552" t="s">
        <v>2514</v>
      </c>
      <c r="AR1552" s="10" t="s">
        <v>1</v>
      </c>
      <c r="AU1552" s="10" t="s">
        <v>2</v>
      </c>
      <c r="AV1552" s="10" t="s">
        <v>3</v>
      </c>
      <c r="AW1552" s="10" t="s">
        <v>1199</v>
      </c>
    </row>
    <row r="1553" spans="1:49" x14ac:dyDescent="0.3">
      <c r="A1553" s="10" t="s">
        <v>2513</v>
      </c>
      <c r="B1553" s="10" t="s">
        <v>2511</v>
      </c>
      <c r="C1553" t="s">
        <v>2510</v>
      </c>
      <c r="D1553" s="10" t="s">
        <v>2509</v>
      </c>
      <c r="E1553" t="s">
        <v>2516</v>
      </c>
      <c r="F1553" t="s">
        <v>2661</v>
      </c>
      <c r="G1553" s="16" t="s">
        <v>34</v>
      </c>
      <c r="H1553" s="10" t="s">
        <v>217</v>
      </c>
      <c r="J1553" s="10" t="s">
        <v>2512</v>
      </c>
      <c r="K1553" s="26">
        <v>3</v>
      </c>
      <c r="L1553" s="26">
        <v>3</v>
      </c>
      <c r="N1553" s="10">
        <v>18.07</v>
      </c>
      <c r="P1553">
        <v>5.7</v>
      </c>
      <c r="V1553">
        <v>16.38</v>
      </c>
      <c r="AI1553" s="3">
        <f t="shared" ref="AI1553:AI1554" si="208">MIN((V1553/N1553),(V1553/P1553))</f>
        <v>0.90647482014388481</v>
      </c>
      <c r="AQ1553" t="s">
        <v>2514</v>
      </c>
      <c r="AR1553" s="10" t="s">
        <v>1</v>
      </c>
      <c r="AU1553" s="10" t="s">
        <v>2</v>
      </c>
      <c r="AV1553" s="10" t="s">
        <v>3</v>
      </c>
      <c r="AW1553" s="10" t="s">
        <v>1199</v>
      </c>
    </row>
    <row r="1554" spans="1:49" x14ac:dyDescent="0.3">
      <c r="A1554" s="10" t="s">
        <v>2513</v>
      </c>
      <c r="B1554" s="10" t="s">
        <v>2511</v>
      </c>
      <c r="C1554" t="s">
        <v>2510</v>
      </c>
      <c r="D1554" s="10" t="s">
        <v>2509</v>
      </c>
      <c r="E1554" t="s">
        <v>2517</v>
      </c>
      <c r="F1554" t="s">
        <v>2661</v>
      </c>
      <c r="G1554" s="16" t="s">
        <v>34</v>
      </c>
      <c r="H1554" s="10" t="s">
        <v>217</v>
      </c>
      <c r="J1554" s="10" t="s">
        <v>2512</v>
      </c>
      <c r="K1554" s="26">
        <v>3</v>
      </c>
      <c r="L1554" s="26">
        <v>3</v>
      </c>
      <c r="N1554" s="10">
        <v>12.87</v>
      </c>
      <c r="P1554">
        <v>5.38</v>
      </c>
      <c r="V1554">
        <v>14.2</v>
      </c>
      <c r="AI1554" s="3">
        <f t="shared" si="208"/>
        <v>1.1033411033411034</v>
      </c>
      <c r="AQ1554" t="s">
        <v>2514</v>
      </c>
      <c r="AR1554" s="10" t="s">
        <v>1</v>
      </c>
      <c r="AU1554" s="10" t="s">
        <v>2</v>
      </c>
      <c r="AV1554" s="10" t="s">
        <v>3</v>
      </c>
      <c r="AW1554" s="10" t="s">
        <v>1199</v>
      </c>
    </row>
    <row r="1555" spans="1:49" x14ac:dyDescent="0.3">
      <c r="AU1555" s="10"/>
    </row>
    <row r="1556" spans="1:49" x14ac:dyDescent="0.3">
      <c r="AR1556" s="10"/>
      <c r="AU1556" s="10"/>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B096-6166-4D7B-9BA5-F0FCAF3504DA}">
  <dimension ref="A1:BI75"/>
  <sheetViews>
    <sheetView zoomScale="90" zoomScaleNormal="90" workbookViewId="0">
      <pane ySplit="1" topLeftCell="A49" activePane="bottomLeft" state="frozen"/>
      <selection pane="bottomLeft" activeCell="D64" sqref="D64"/>
    </sheetView>
  </sheetViews>
  <sheetFormatPr defaultRowHeight="14.4" x14ac:dyDescent="0.3"/>
  <cols>
    <col min="3" max="3" width="8.88671875" customWidth="1"/>
    <col min="4" max="4" width="15.6640625" customWidth="1"/>
    <col min="5" max="6" width="8.88671875" customWidth="1"/>
    <col min="7" max="7" width="47.5546875" bestFit="1" customWidth="1"/>
    <col min="8" max="8" width="17" customWidth="1"/>
    <col min="9" max="52" width="8.88671875" customWidth="1"/>
    <col min="53" max="53" width="16.33203125" bestFit="1" customWidth="1"/>
    <col min="54" max="54" width="15.5546875" customWidth="1"/>
  </cols>
  <sheetData>
    <row r="1" spans="1:61" x14ac:dyDescent="0.3">
      <c r="A1" s="77" t="s">
        <v>9</v>
      </c>
      <c r="B1" s="77" t="s">
        <v>26</v>
      </c>
      <c r="C1" s="77" t="s">
        <v>25</v>
      </c>
      <c r="D1" s="77" t="s">
        <v>27</v>
      </c>
      <c r="E1" s="77" t="s">
        <v>832</v>
      </c>
      <c r="F1" s="77" t="s">
        <v>2659</v>
      </c>
      <c r="G1" s="77" t="s">
        <v>15</v>
      </c>
      <c r="H1" s="77" t="s">
        <v>16</v>
      </c>
      <c r="I1" s="77" t="s">
        <v>2629</v>
      </c>
      <c r="J1" s="77" t="s">
        <v>10</v>
      </c>
      <c r="K1" s="77" t="s">
        <v>8</v>
      </c>
      <c r="L1" s="77" t="s">
        <v>1671</v>
      </c>
      <c r="M1" s="77" t="s">
        <v>1672</v>
      </c>
      <c r="N1" s="77" t="s">
        <v>2395</v>
      </c>
      <c r="O1" s="77" t="s">
        <v>2675</v>
      </c>
      <c r="P1" s="77" t="s">
        <v>2683</v>
      </c>
      <c r="Q1" s="77" t="s">
        <v>2694</v>
      </c>
      <c r="R1" s="77" t="s">
        <v>2712</v>
      </c>
      <c r="S1" s="77" t="s">
        <v>2274</v>
      </c>
      <c r="T1" s="77" t="s">
        <v>2275</v>
      </c>
      <c r="U1" s="77" t="s">
        <v>2729</v>
      </c>
      <c r="V1" s="77" t="s">
        <v>2714</v>
      </c>
      <c r="W1" s="77" t="s">
        <v>2012</v>
      </c>
      <c r="X1" s="77" t="s">
        <v>2011</v>
      </c>
      <c r="Y1" s="77" t="s">
        <v>1124</v>
      </c>
      <c r="Z1" s="77" t="s">
        <v>1126</v>
      </c>
      <c r="AA1" s="77" t="s">
        <v>1125</v>
      </c>
      <c r="AB1" s="77" t="s">
        <v>1127</v>
      </c>
      <c r="AC1" s="77" t="s">
        <v>2530</v>
      </c>
      <c r="AD1" s="77" t="s">
        <v>2526</v>
      </c>
      <c r="AE1" s="77" t="s">
        <v>2249</v>
      </c>
      <c r="AF1" s="77" t="s">
        <v>2741</v>
      </c>
      <c r="AG1" s="77" t="s">
        <v>233</v>
      </c>
      <c r="AH1" s="77" t="s">
        <v>1113</v>
      </c>
      <c r="AI1" s="77" t="s">
        <v>2013</v>
      </c>
      <c r="AJ1" s="77" t="s">
        <v>2014</v>
      </c>
      <c r="AK1" s="77" t="s">
        <v>2419</v>
      </c>
      <c r="AL1" s="77" t="s">
        <v>2015</v>
      </c>
      <c r="AM1" s="77" t="s">
        <v>2304</v>
      </c>
      <c r="AN1" s="77" t="s">
        <v>2305</v>
      </c>
      <c r="AO1" s="77" t="s">
        <v>21</v>
      </c>
      <c r="AP1" s="77" t="s">
        <v>2255</v>
      </c>
      <c r="AQ1" s="77" t="s">
        <v>2256</v>
      </c>
      <c r="AR1" s="77" t="s">
        <v>2306</v>
      </c>
      <c r="AS1" s="77" t="s">
        <v>2307</v>
      </c>
      <c r="AT1" s="77" t="s">
        <v>2308</v>
      </c>
      <c r="AU1" s="77" t="s">
        <v>2002</v>
      </c>
      <c r="AV1" s="77" t="s">
        <v>2033</v>
      </c>
      <c r="AW1" s="77" t="s">
        <v>2032</v>
      </c>
      <c r="AX1" s="77" t="s">
        <v>2034</v>
      </c>
      <c r="AY1" s="77" t="s">
        <v>12</v>
      </c>
      <c r="AZ1" s="77" t="s">
        <v>1991</v>
      </c>
      <c r="BA1" s="77" t="s">
        <v>2414</v>
      </c>
      <c r="BB1" s="77" t="s">
        <v>2392</v>
      </c>
    </row>
    <row r="2" spans="1:61" x14ac:dyDescent="0.3">
      <c r="A2" t="s">
        <v>2250</v>
      </c>
      <c r="B2" t="s">
        <v>50</v>
      </c>
      <c r="C2" t="s">
        <v>2268</v>
      </c>
      <c r="D2" t="s">
        <v>2269</v>
      </c>
      <c r="E2">
        <v>2005</v>
      </c>
      <c r="F2" t="s">
        <v>2662</v>
      </c>
      <c r="G2" t="s">
        <v>2270</v>
      </c>
      <c r="H2" t="s">
        <v>2271</v>
      </c>
      <c r="I2" t="s">
        <v>2272</v>
      </c>
      <c r="J2" t="s">
        <v>554</v>
      </c>
      <c r="L2">
        <v>3</v>
      </c>
      <c r="M2">
        <v>3</v>
      </c>
      <c r="O2">
        <v>3930</v>
      </c>
      <c r="P2">
        <v>150</v>
      </c>
      <c r="Q2">
        <v>4470</v>
      </c>
      <c r="R2">
        <v>250</v>
      </c>
      <c r="S2">
        <v>12400</v>
      </c>
      <c r="T2">
        <v>170</v>
      </c>
      <c r="U2">
        <v>13400</v>
      </c>
      <c r="V2">
        <v>620</v>
      </c>
      <c r="AD2">
        <v>444</v>
      </c>
      <c r="AE2" t="s">
        <v>2527</v>
      </c>
      <c r="AI2" s="35">
        <f t="shared" ref="AI2:AI46" si="0">Q2/O2</f>
        <v>1.1374045801526718</v>
      </c>
      <c r="AJ2" s="35"/>
      <c r="AK2" s="35"/>
      <c r="AL2" s="48" t="s">
        <v>2285</v>
      </c>
      <c r="AM2" s="6"/>
      <c r="AN2" s="6"/>
      <c r="AO2" s="35">
        <f>AI2</f>
        <v>1.1374045801526718</v>
      </c>
      <c r="AP2" s="6"/>
      <c r="AQ2" s="6"/>
      <c r="AR2" s="49">
        <f t="shared" ref="AR2:AR11" si="1">(R2^2)/(O2^2)+(P2^2)*((Q2^2)/(O2^4))</f>
        <v>5.9312787085980621E-3</v>
      </c>
      <c r="AS2" s="6"/>
      <c r="AT2" s="6"/>
      <c r="AU2" s="3">
        <f t="shared" ref="AU2:AU21" si="2">AR2</f>
        <v>5.9312787085980621E-3</v>
      </c>
      <c r="AV2">
        <v>40</v>
      </c>
      <c r="AW2" t="s">
        <v>14</v>
      </c>
      <c r="AX2" t="s">
        <v>2</v>
      </c>
      <c r="AY2" t="s">
        <v>2</v>
      </c>
      <c r="AZ2" t="s">
        <v>2</v>
      </c>
      <c r="BA2" t="s">
        <v>3</v>
      </c>
      <c r="BB2" t="s">
        <v>2286</v>
      </c>
      <c r="BD2" s="6"/>
      <c r="BF2" s="6"/>
      <c r="BG2" s="6"/>
      <c r="BH2" s="6"/>
      <c r="BI2" s="6"/>
    </row>
    <row r="3" spans="1:61" x14ac:dyDescent="0.3">
      <c r="A3" t="s">
        <v>2250</v>
      </c>
      <c r="B3" t="s">
        <v>50</v>
      </c>
      <c r="C3" t="s">
        <v>2268</v>
      </c>
      <c r="D3" t="s">
        <v>2269</v>
      </c>
      <c r="E3">
        <v>2005</v>
      </c>
      <c r="F3" t="s">
        <v>2662</v>
      </c>
      <c r="G3" t="s">
        <v>2270</v>
      </c>
      <c r="H3" t="s">
        <v>2271</v>
      </c>
      <c r="I3" t="s">
        <v>2273</v>
      </c>
      <c r="J3" t="s">
        <v>554</v>
      </c>
      <c r="L3">
        <v>3</v>
      </c>
      <c r="M3">
        <v>3</v>
      </c>
      <c r="O3">
        <v>3000</v>
      </c>
      <c r="P3">
        <v>100</v>
      </c>
      <c r="Q3">
        <v>3330</v>
      </c>
      <c r="R3">
        <v>290</v>
      </c>
      <c r="S3">
        <v>5900</v>
      </c>
      <c r="T3">
        <v>360</v>
      </c>
      <c r="U3">
        <v>6530</v>
      </c>
      <c r="V3">
        <v>150</v>
      </c>
      <c r="AD3">
        <v>444</v>
      </c>
      <c r="AE3" t="s">
        <v>2527</v>
      </c>
      <c r="AI3" s="35">
        <f t="shared" si="0"/>
        <v>1.1100000000000001</v>
      </c>
      <c r="AJ3" s="35"/>
      <c r="AK3" s="35"/>
      <c r="AL3" s="48" t="s">
        <v>2285</v>
      </c>
      <c r="AM3" s="6"/>
      <c r="AN3" s="6"/>
      <c r="AO3" s="35">
        <f t="shared" ref="AO3:AO8" si="3">AI3</f>
        <v>1.1100000000000001</v>
      </c>
      <c r="AP3" s="6"/>
      <c r="AQ3" s="6"/>
      <c r="AR3" s="49">
        <f t="shared" si="1"/>
        <v>1.0713444444444446E-2</v>
      </c>
      <c r="AS3" s="6"/>
      <c r="AT3" s="6"/>
      <c r="AU3" s="3">
        <f t="shared" si="2"/>
        <v>1.0713444444444446E-2</v>
      </c>
      <c r="AV3">
        <v>40</v>
      </c>
      <c r="AW3" t="s">
        <v>14</v>
      </c>
      <c r="AX3" t="s">
        <v>2</v>
      </c>
      <c r="AY3" t="s">
        <v>2</v>
      </c>
      <c r="AZ3" t="s">
        <v>2</v>
      </c>
      <c r="BA3" t="s">
        <v>3</v>
      </c>
      <c r="BB3" t="s">
        <v>2286</v>
      </c>
      <c r="BD3" s="6"/>
      <c r="BF3" s="6"/>
      <c r="BG3" s="6"/>
      <c r="BH3" s="6"/>
      <c r="BI3" s="6"/>
    </row>
    <row r="4" spans="1:61" x14ac:dyDescent="0.3">
      <c r="A4" t="s">
        <v>2251</v>
      </c>
      <c r="B4" t="s">
        <v>504</v>
      </c>
      <c r="D4" t="s">
        <v>2276</v>
      </c>
      <c r="E4">
        <v>2003</v>
      </c>
      <c r="F4" t="s">
        <v>2662</v>
      </c>
      <c r="G4" t="s">
        <v>2270</v>
      </c>
      <c r="H4" t="s">
        <v>2271</v>
      </c>
      <c r="I4" t="s">
        <v>2277</v>
      </c>
      <c r="J4" t="s">
        <v>554</v>
      </c>
      <c r="L4">
        <v>3</v>
      </c>
      <c r="M4">
        <v>3</v>
      </c>
      <c r="O4">
        <f>181*10000/1000</f>
        <v>1810</v>
      </c>
      <c r="P4">
        <f>6*10000/1000</f>
        <v>60</v>
      </c>
      <c r="Q4">
        <f>198*10000/1000</f>
        <v>1980</v>
      </c>
      <c r="R4">
        <f>13*10000/1000</f>
        <v>130</v>
      </c>
      <c r="S4">
        <f>206*10000/1000</f>
        <v>2060</v>
      </c>
      <c r="T4">
        <f>11*10000/1000</f>
        <v>110</v>
      </c>
      <c r="U4">
        <f>215*10000/1000</f>
        <v>2150</v>
      </c>
      <c r="V4">
        <f>9*10000/1000</f>
        <v>90</v>
      </c>
      <c r="AD4">
        <f>139*10000/(1000*2*2)</f>
        <v>347.5</v>
      </c>
      <c r="AE4" t="s">
        <v>2527</v>
      </c>
      <c r="AI4" s="35">
        <f t="shared" si="0"/>
        <v>1.0939226519337018</v>
      </c>
      <c r="AJ4" s="35"/>
      <c r="AK4" s="35"/>
      <c r="AL4" s="48" t="s">
        <v>2285</v>
      </c>
      <c r="AM4" s="6"/>
      <c r="AN4" s="6"/>
      <c r="AO4" s="35">
        <f t="shared" si="3"/>
        <v>1.0939226519337018</v>
      </c>
      <c r="AP4" s="6"/>
      <c r="AQ4" s="6"/>
      <c r="AR4" s="49">
        <f t="shared" si="1"/>
        <v>6.4735509802170826E-3</v>
      </c>
      <c r="AS4" s="6"/>
      <c r="AT4" s="6"/>
      <c r="AU4" s="3">
        <f t="shared" si="2"/>
        <v>6.4735509802170826E-3</v>
      </c>
      <c r="AV4" s="5">
        <f>0.46*(4.5+6.4)*10000/(2*2*1000)</f>
        <v>12.535</v>
      </c>
      <c r="AW4" t="s">
        <v>14</v>
      </c>
      <c r="AY4" t="s">
        <v>3</v>
      </c>
      <c r="AZ4" t="s">
        <v>2</v>
      </c>
      <c r="BA4" t="s">
        <v>3</v>
      </c>
      <c r="BB4" t="s">
        <v>2287</v>
      </c>
      <c r="BD4" s="6"/>
      <c r="BF4" s="6"/>
      <c r="BG4" s="6"/>
      <c r="BH4" s="6"/>
      <c r="BI4" s="6"/>
    </row>
    <row r="5" spans="1:61" x14ac:dyDescent="0.3">
      <c r="A5" t="s">
        <v>2251</v>
      </c>
      <c r="B5" t="s">
        <v>504</v>
      </c>
      <c r="D5" t="s">
        <v>2276</v>
      </c>
      <c r="E5">
        <v>2003</v>
      </c>
      <c r="F5" t="s">
        <v>2662</v>
      </c>
      <c r="G5" t="s">
        <v>2270</v>
      </c>
      <c r="H5" t="s">
        <v>2271</v>
      </c>
      <c r="I5" t="s">
        <v>2278</v>
      </c>
      <c r="J5" t="s">
        <v>554</v>
      </c>
      <c r="L5">
        <v>3</v>
      </c>
      <c r="M5">
        <v>3</v>
      </c>
      <c r="O5">
        <f>181*10000/1000</f>
        <v>1810</v>
      </c>
      <c r="P5">
        <f>6*10000/1000</f>
        <v>60</v>
      </c>
      <c r="Q5">
        <f>173*10000/1000</f>
        <v>1730</v>
      </c>
      <c r="R5">
        <f>16*10000/1000</f>
        <v>160</v>
      </c>
      <c r="S5">
        <f>206*10000/1000</f>
        <v>2060</v>
      </c>
      <c r="T5">
        <f>11*10000/1000</f>
        <v>110</v>
      </c>
      <c r="U5">
        <f>173*10000/1000</f>
        <v>1730</v>
      </c>
      <c r="V5">
        <f>27*10000/1000</f>
        <v>270</v>
      </c>
      <c r="AD5">
        <f>173*10000/(1000*2*2)</f>
        <v>432.5</v>
      </c>
      <c r="AE5" t="s">
        <v>2527</v>
      </c>
      <c r="AI5" s="35">
        <f t="shared" si="0"/>
        <v>0.95580110497237569</v>
      </c>
      <c r="AJ5" s="35"/>
      <c r="AK5" s="35"/>
      <c r="AL5" s="48" t="s">
        <v>2285</v>
      </c>
      <c r="AM5" s="6"/>
      <c r="AN5" s="6"/>
      <c r="AO5" s="35">
        <f t="shared" si="3"/>
        <v>0.95580110497237569</v>
      </c>
      <c r="AP5" s="6"/>
      <c r="AQ5" s="6"/>
      <c r="AR5" s="49">
        <f t="shared" si="1"/>
        <v>8.8180460633555408E-3</v>
      </c>
      <c r="AS5" s="6"/>
      <c r="AT5" s="6"/>
      <c r="AU5" s="3">
        <f t="shared" si="2"/>
        <v>8.8180460633555408E-3</v>
      </c>
      <c r="AV5" s="5">
        <f>0.46*(4.5+6.4)*10000/(2*2*1000)</f>
        <v>12.535</v>
      </c>
      <c r="AW5" t="s">
        <v>14</v>
      </c>
      <c r="AY5" t="s">
        <v>3</v>
      </c>
      <c r="AZ5" t="s">
        <v>2</v>
      </c>
      <c r="BA5" t="s">
        <v>3</v>
      </c>
      <c r="BB5" t="s">
        <v>2287</v>
      </c>
      <c r="BD5" s="6"/>
      <c r="BF5" s="6"/>
      <c r="BG5" s="6"/>
      <c r="BH5" s="6"/>
      <c r="BI5" s="6"/>
    </row>
    <row r="6" spans="1:61" x14ac:dyDescent="0.3">
      <c r="A6" t="s">
        <v>2280</v>
      </c>
      <c r="B6" t="s">
        <v>1722</v>
      </c>
      <c r="C6" t="s">
        <v>1730</v>
      </c>
      <c r="D6" s="4" t="s">
        <v>1729</v>
      </c>
      <c r="E6">
        <v>2005</v>
      </c>
      <c r="F6" t="s">
        <v>2662</v>
      </c>
      <c r="G6" t="s">
        <v>2270</v>
      </c>
      <c r="H6" t="s">
        <v>2271</v>
      </c>
      <c r="I6" t="s">
        <v>2277</v>
      </c>
      <c r="J6" t="s">
        <v>554</v>
      </c>
      <c r="L6">
        <v>3</v>
      </c>
      <c r="M6">
        <v>3</v>
      </c>
      <c r="O6">
        <v>3600</v>
      </c>
      <c r="P6">
        <v>500</v>
      </c>
      <c r="Q6">
        <v>3600</v>
      </c>
      <c r="R6">
        <v>400</v>
      </c>
      <c r="S6">
        <v>5700</v>
      </c>
      <c r="T6">
        <v>1000</v>
      </c>
      <c r="U6">
        <v>6200</v>
      </c>
      <c r="V6">
        <v>200</v>
      </c>
      <c r="AD6">
        <v>143</v>
      </c>
      <c r="AE6" t="s">
        <v>2527</v>
      </c>
      <c r="AI6" s="35">
        <f t="shared" si="0"/>
        <v>1</v>
      </c>
      <c r="AJ6" s="35"/>
      <c r="AK6" s="35"/>
      <c r="AL6" s="55" t="s">
        <v>2285</v>
      </c>
      <c r="AM6" s="26"/>
      <c r="AN6" s="26"/>
      <c r="AO6" s="20">
        <f t="shared" si="3"/>
        <v>1</v>
      </c>
      <c r="AP6" s="26"/>
      <c r="AQ6" s="26"/>
      <c r="AR6" s="56">
        <f t="shared" si="1"/>
        <v>3.1635802469135804E-2</v>
      </c>
      <c r="AS6" s="6"/>
      <c r="AT6" s="6"/>
      <c r="AU6" s="3">
        <f t="shared" si="2"/>
        <v>3.1635802469135804E-2</v>
      </c>
      <c r="AV6">
        <v>0</v>
      </c>
      <c r="AW6" t="s">
        <v>14</v>
      </c>
      <c r="AX6" t="s">
        <v>2</v>
      </c>
      <c r="AY6" t="s">
        <v>2</v>
      </c>
      <c r="AZ6" t="s">
        <v>2</v>
      </c>
      <c r="BA6" t="s">
        <v>2</v>
      </c>
      <c r="BB6" t="s">
        <v>2417</v>
      </c>
      <c r="BD6" s="6"/>
      <c r="BF6" s="6"/>
      <c r="BG6" s="6"/>
      <c r="BH6" s="6"/>
      <c r="BI6" s="6"/>
    </row>
    <row r="7" spans="1:61" x14ac:dyDescent="0.3">
      <c r="A7" t="s">
        <v>2280</v>
      </c>
      <c r="B7" t="s">
        <v>1722</v>
      </c>
      <c r="C7" t="s">
        <v>1730</v>
      </c>
      <c r="D7" s="4" t="s">
        <v>1729</v>
      </c>
      <c r="E7">
        <v>2005</v>
      </c>
      <c r="F7" t="s">
        <v>2662</v>
      </c>
      <c r="G7" t="s">
        <v>2270</v>
      </c>
      <c r="H7" t="s">
        <v>2271</v>
      </c>
      <c r="I7" t="s">
        <v>2281</v>
      </c>
      <c r="J7" t="s">
        <v>554</v>
      </c>
      <c r="L7">
        <v>3</v>
      </c>
      <c r="M7">
        <v>3</v>
      </c>
      <c r="O7">
        <v>3600</v>
      </c>
      <c r="P7">
        <v>500</v>
      </c>
      <c r="Q7">
        <v>3800</v>
      </c>
      <c r="R7">
        <v>200</v>
      </c>
      <c r="S7">
        <v>5700</v>
      </c>
      <c r="T7">
        <v>1000</v>
      </c>
      <c r="U7">
        <v>5700</v>
      </c>
      <c r="V7">
        <v>600</v>
      </c>
      <c r="AD7">
        <v>425</v>
      </c>
      <c r="AE7" t="s">
        <v>2527</v>
      </c>
      <c r="AI7" s="35">
        <f t="shared" si="0"/>
        <v>1.0555555555555556</v>
      </c>
      <c r="AJ7" s="35"/>
      <c r="AK7" s="35"/>
      <c r="AL7" s="55" t="s">
        <v>2285</v>
      </c>
      <c r="AM7" s="26"/>
      <c r="AN7" s="26"/>
      <c r="AO7" s="20">
        <f t="shared" si="3"/>
        <v>1.0555555555555556</v>
      </c>
      <c r="AP7" s="26"/>
      <c r="AQ7" s="26"/>
      <c r="AR7" s="56">
        <f t="shared" si="1"/>
        <v>2.4579427678707515E-2</v>
      </c>
      <c r="AS7" s="6"/>
      <c r="AT7" s="6"/>
      <c r="AU7" s="3">
        <f t="shared" si="2"/>
        <v>2.4579427678707515E-2</v>
      </c>
      <c r="AV7">
        <v>0</v>
      </c>
      <c r="AW7" t="s">
        <v>14</v>
      </c>
      <c r="AX7" t="s">
        <v>2</v>
      </c>
      <c r="AY7" t="s">
        <v>2</v>
      </c>
      <c r="AZ7" t="s">
        <v>2</v>
      </c>
      <c r="BA7" t="s">
        <v>2</v>
      </c>
      <c r="BB7" t="s">
        <v>2417</v>
      </c>
      <c r="BD7" s="6"/>
      <c r="BF7" s="6"/>
      <c r="BG7" s="6"/>
      <c r="BH7" s="6"/>
      <c r="BI7" s="6"/>
    </row>
    <row r="8" spans="1:61" x14ac:dyDescent="0.3">
      <c r="A8" t="s">
        <v>2280</v>
      </c>
      <c r="B8" t="s">
        <v>1722</v>
      </c>
      <c r="C8" t="s">
        <v>1730</v>
      </c>
      <c r="D8" s="4" t="s">
        <v>1729</v>
      </c>
      <c r="E8">
        <v>2005</v>
      </c>
      <c r="F8" t="s">
        <v>2662</v>
      </c>
      <c r="G8" t="s">
        <v>2270</v>
      </c>
      <c r="H8" t="s">
        <v>2271</v>
      </c>
      <c r="I8" t="s">
        <v>2278</v>
      </c>
      <c r="J8" t="s">
        <v>554</v>
      </c>
      <c r="L8">
        <v>3</v>
      </c>
      <c r="M8">
        <v>3</v>
      </c>
      <c r="O8">
        <v>3600</v>
      </c>
      <c r="P8">
        <v>500</v>
      </c>
      <c r="Q8">
        <v>3700</v>
      </c>
      <c r="R8">
        <v>200</v>
      </c>
      <c r="S8">
        <v>5700</v>
      </c>
      <c r="T8">
        <v>1000</v>
      </c>
      <c r="U8">
        <v>5800</v>
      </c>
      <c r="V8">
        <v>400</v>
      </c>
      <c r="AD8">
        <v>460</v>
      </c>
      <c r="AE8" t="s">
        <v>2527</v>
      </c>
      <c r="AI8" s="35">
        <f t="shared" si="0"/>
        <v>1.0277777777777777</v>
      </c>
      <c r="AJ8" s="35"/>
      <c r="AK8" s="35"/>
      <c r="AL8" s="55" t="s">
        <v>2285</v>
      </c>
      <c r="AM8" s="26"/>
      <c r="AN8" s="26"/>
      <c r="AO8" s="20">
        <f t="shared" si="3"/>
        <v>1.0277777777777777</v>
      </c>
      <c r="AP8" s="26"/>
      <c r="AQ8" s="26"/>
      <c r="AR8" s="56">
        <f t="shared" si="1"/>
        <v>2.3463101089772898E-2</v>
      </c>
      <c r="AS8" s="6"/>
      <c r="AT8" s="6"/>
      <c r="AU8" s="3">
        <f t="shared" si="2"/>
        <v>2.3463101089772898E-2</v>
      </c>
      <c r="AV8">
        <v>0</v>
      </c>
      <c r="AW8" t="s">
        <v>14</v>
      </c>
      <c r="AX8" t="s">
        <v>2</v>
      </c>
      <c r="AY8" t="s">
        <v>2</v>
      </c>
      <c r="AZ8" t="s">
        <v>2</v>
      </c>
      <c r="BA8" t="s">
        <v>2</v>
      </c>
      <c r="BB8" t="s">
        <v>2417</v>
      </c>
      <c r="BD8" s="6"/>
      <c r="BF8" s="6"/>
      <c r="BG8" s="6"/>
      <c r="BH8" s="6"/>
      <c r="BI8" s="6"/>
    </row>
    <row r="9" spans="1:61" x14ac:dyDescent="0.3">
      <c r="A9" t="s">
        <v>2280</v>
      </c>
      <c r="B9" t="s">
        <v>1722</v>
      </c>
      <c r="C9" t="s">
        <v>1730</v>
      </c>
      <c r="D9" s="4" t="s">
        <v>1729</v>
      </c>
      <c r="E9">
        <v>2006</v>
      </c>
      <c r="F9" t="s">
        <v>2662</v>
      </c>
      <c r="G9" t="s">
        <v>2270</v>
      </c>
      <c r="H9" t="s">
        <v>2271</v>
      </c>
      <c r="I9" t="s">
        <v>2282</v>
      </c>
      <c r="J9" t="s">
        <v>554</v>
      </c>
      <c r="L9">
        <v>3</v>
      </c>
      <c r="M9">
        <v>3</v>
      </c>
      <c r="O9">
        <v>3800</v>
      </c>
      <c r="P9">
        <v>100</v>
      </c>
      <c r="Q9">
        <v>4200</v>
      </c>
      <c r="R9">
        <v>100</v>
      </c>
      <c r="S9">
        <v>3600</v>
      </c>
      <c r="T9">
        <v>200</v>
      </c>
      <c r="U9">
        <v>4000</v>
      </c>
      <c r="V9">
        <v>200</v>
      </c>
      <c r="AD9">
        <v>250</v>
      </c>
      <c r="AE9" t="s">
        <v>2527</v>
      </c>
      <c r="AF9" s="3">
        <f>47*SQRT(L9)</f>
        <v>81.40638795573723</v>
      </c>
      <c r="AI9" s="35">
        <f t="shared" si="0"/>
        <v>1.1052631578947369</v>
      </c>
      <c r="AJ9" s="35"/>
      <c r="AK9" s="35"/>
      <c r="AL9" s="26">
        <f>AD9*0.4*1*(4/10000)</f>
        <v>0.04</v>
      </c>
      <c r="AM9" s="26">
        <f>AD9*0.4*1*(2/10000)</f>
        <v>0.02</v>
      </c>
      <c r="AN9" s="26">
        <f>AD9*0.4*1*(6/10000)</f>
        <v>0.06</v>
      </c>
      <c r="AO9" s="20">
        <f>AI9+AL9</f>
        <v>1.145263157894737</v>
      </c>
      <c r="AP9" s="26"/>
      <c r="AQ9" s="26"/>
      <c r="AR9" s="56">
        <f t="shared" si="1"/>
        <v>1.5385087591408906E-3</v>
      </c>
      <c r="AS9" s="6"/>
      <c r="AT9" s="6"/>
      <c r="AU9" s="3">
        <f t="shared" si="2"/>
        <v>1.5385087591408906E-3</v>
      </c>
      <c r="AV9">
        <f>220*0.46</f>
        <v>101.2</v>
      </c>
      <c r="AW9" t="s">
        <v>14</v>
      </c>
      <c r="AX9" t="s">
        <v>2</v>
      </c>
      <c r="AY9" t="s">
        <v>3</v>
      </c>
      <c r="AZ9" t="s">
        <v>2</v>
      </c>
      <c r="BA9" t="s">
        <v>3</v>
      </c>
      <c r="BB9" t="s">
        <v>2290</v>
      </c>
      <c r="BD9" s="6"/>
      <c r="BF9" s="6"/>
      <c r="BG9" s="6"/>
      <c r="BH9" s="6"/>
      <c r="BI9" s="6"/>
    </row>
    <row r="10" spans="1:61" x14ac:dyDescent="0.3">
      <c r="A10" t="s">
        <v>2280</v>
      </c>
      <c r="B10" t="s">
        <v>1722</v>
      </c>
      <c r="C10" t="s">
        <v>1730</v>
      </c>
      <c r="D10" s="4" t="s">
        <v>1729</v>
      </c>
      <c r="E10">
        <v>2006</v>
      </c>
      <c r="F10" t="s">
        <v>2662</v>
      </c>
      <c r="G10" t="s">
        <v>2270</v>
      </c>
      <c r="H10" t="s">
        <v>2271</v>
      </c>
      <c r="I10" t="s">
        <v>2283</v>
      </c>
      <c r="J10" t="s">
        <v>554</v>
      </c>
      <c r="L10">
        <v>3</v>
      </c>
      <c r="M10">
        <v>3</v>
      </c>
      <c r="O10">
        <v>3800</v>
      </c>
      <c r="P10">
        <v>100</v>
      </c>
      <c r="Q10">
        <v>3400</v>
      </c>
      <c r="R10">
        <v>400</v>
      </c>
      <c r="S10">
        <v>3600</v>
      </c>
      <c r="T10">
        <v>200</v>
      </c>
      <c r="U10">
        <v>3200</v>
      </c>
      <c r="V10">
        <v>300</v>
      </c>
      <c r="AD10">
        <v>467</v>
      </c>
      <c r="AE10" t="s">
        <v>2527</v>
      </c>
      <c r="AF10" s="3"/>
      <c r="AI10" s="35">
        <f t="shared" si="0"/>
        <v>0.89473684210526316</v>
      </c>
      <c r="AJ10" s="35"/>
      <c r="AK10" s="35"/>
      <c r="AL10" s="55" t="s">
        <v>2285</v>
      </c>
      <c r="AM10" s="26"/>
      <c r="AN10" s="26"/>
      <c r="AO10" s="20">
        <f>AI10</f>
        <v>0.89473684210526316</v>
      </c>
      <c r="AP10" s="26"/>
      <c r="AQ10" s="26"/>
      <c r="AR10" s="56">
        <f t="shared" si="1"/>
        <v>1.1634732698490651E-2</v>
      </c>
      <c r="AS10" s="6"/>
      <c r="AT10" s="6"/>
      <c r="AU10" s="3">
        <f t="shared" si="2"/>
        <v>1.1634732698490651E-2</v>
      </c>
      <c r="AV10">
        <v>0</v>
      </c>
      <c r="AW10" t="s">
        <v>14</v>
      </c>
      <c r="AX10" t="s">
        <v>2</v>
      </c>
      <c r="AY10" t="s">
        <v>3</v>
      </c>
      <c r="AZ10" t="s">
        <v>2</v>
      </c>
      <c r="BA10" t="s">
        <v>2</v>
      </c>
      <c r="BB10" t="s">
        <v>2288</v>
      </c>
      <c r="BD10" s="6"/>
      <c r="BF10" s="6"/>
      <c r="BG10" s="6"/>
      <c r="BH10" s="6"/>
      <c r="BI10" s="6"/>
    </row>
    <row r="11" spans="1:61" x14ac:dyDescent="0.3">
      <c r="A11" t="s">
        <v>2280</v>
      </c>
      <c r="B11" t="s">
        <v>1722</v>
      </c>
      <c r="C11" t="s">
        <v>1730</v>
      </c>
      <c r="D11" s="4" t="s">
        <v>1729</v>
      </c>
      <c r="E11">
        <v>2006</v>
      </c>
      <c r="F11" t="s">
        <v>2662</v>
      </c>
      <c r="G11" t="s">
        <v>2270</v>
      </c>
      <c r="H11" t="s">
        <v>2271</v>
      </c>
      <c r="I11" t="s">
        <v>2284</v>
      </c>
      <c r="J11" t="s">
        <v>554</v>
      </c>
      <c r="L11">
        <v>3</v>
      </c>
      <c r="M11">
        <v>3</v>
      </c>
      <c r="O11">
        <v>3800</v>
      </c>
      <c r="P11">
        <v>100</v>
      </c>
      <c r="Q11">
        <v>3600</v>
      </c>
      <c r="R11">
        <v>600</v>
      </c>
      <c r="S11">
        <v>3600</v>
      </c>
      <c r="T11">
        <v>200</v>
      </c>
      <c r="U11">
        <v>3600</v>
      </c>
      <c r="V11">
        <v>300</v>
      </c>
      <c r="AD11">
        <v>673</v>
      </c>
      <c r="AE11" t="s">
        <v>2527</v>
      </c>
      <c r="AF11" s="3"/>
      <c r="AI11" s="35">
        <f t="shared" si="0"/>
        <v>0.94736842105263153</v>
      </c>
      <c r="AJ11" s="35"/>
      <c r="AK11" s="35"/>
      <c r="AL11" s="55" t="s">
        <v>2285</v>
      </c>
      <c r="AM11" s="26"/>
      <c r="AN11" s="26"/>
      <c r="AO11" s="20">
        <f t="shared" ref="AO11:AO20" si="4">AI11</f>
        <v>0.94736842105263153</v>
      </c>
      <c r="AP11" s="26"/>
      <c r="AQ11" s="26"/>
      <c r="AR11" s="56">
        <f t="shared" si="1"/>
        <v>2.5552290114409806E-2</v>
      </c>
      <c r="AS11" s="6"/>
      <c r="AT11" s="6"/>
      <c r="AU11" s="3">
        <f t="shared" si="2"/>
        <v>2.5552290114409806E-2</v>
      </c>
      <c r="AV11">
        <v>0</v>
      </c>
      <c r="AW11" t="s">
        <v>14</v>
      </c>
      <c r="AX11" t="s">
        <v>2</v>
      </c>
      <c r="AY11" t="s">
        <v>3</v>
      </c>
      <c r="AZ11" t="s">
        <v>2</v>
      </c>
      <c r="BA11" t="s">
        <v>2</v>
      </c>
      <c r="BB11" t="s">
        <v>2289</v>
      </c>
      <c r="BD11" s="6"/>
      <c r="BF11" s="6"/>
      <c r="BG11" s="6"/>
      <c r="BH11" s="6"/>
      <c r="BI11" s="6"/>
    </row>
    <row r="12" spans="1:61" x14ac:dyDescent="0.3">
      <c r="A12" t="s">
        <v>2252</v>
      </c>
      <c r="B12" t="s">
        <v>50</v>
      </c>
      <c r="C12" t="s">
        <v>2291</v>
      </c>
      <c r="D12" s="4" t="s">
        <v>2292</v>
      </c>
      <c r="E12">
        <v>1999</v>
      </c>
      <c r="F12" t="s">
        <v>2662</v>
      </c>
      <c r="G12" t="s">
        <v>2270</v>
      </c>
      <c r="H12" t="s">
        <v>2271</v>
      </c>
      <c r="I12" t="s">
        <v>2293</v>
      </c>
      <c r="J12" t="s">
        <v>554</v>
      </c>
      <c r="L12">
        <v>3</v>
      </c>
      <c r="M12">
        <v>3</v>
      </c>
      <c r="O12">
        <v>2756</v>
      </c>
      <c r="Q12">
        <v>2988</v>
      </c>
      <c r="AD12">
        <v>1026</v>
      </c>
      <c r="AE12" t="s">
        <v>2527</v>
      </c>
      <c r="AF12" s="3"/>
      <c r="AI12" s="35">
        <f t="shared" si="0"/>
        <v>1.0841799709724238</v>
      </c>
      <c r="AJ12" s="6"/>
      <c r="AK12" s="6"/>
      <c r="AL12" s="55" t="s">
        <v>2285</v>
      </c>
      <c r="AM12" s="26"/>
      <c r="AN12" s="26"/>
      <c r="AO12" s="20">
        <f t="shared" si="4"/>
        <v>1.0841799709724238</v>
      </c>
      <c r="AP12" s="26"/>
      <c r="AQ12" s="26"/>
      <c r="AR12" s="56"/>
      <c r="AS12" s="6"/>
      <c r="AT12" s="6"/>
      <c r="AU12" s="3"/>
      <c r="AW12" t="s">
        <v>1</v>
      </c>
      <c r="AX12" t="s">
        <v>2</v>
      </c>
      <c r="AY12" t="s">
        <v>2</v>
      </c>
      <c r="AZ12" t="s">
        <v>2</v>
      </c>
      <c r="BA12" t="s">
        <v>2</v>
      </c>
      <c r="BB12" t="s">
        <v>2296</v>
      </c>
      <c r="BD12" s="6"/>
      <c r="BF12" s="6"/>
      <c r="BG12" s="6"/>
      <c r="BH12" s="6"/>
      <c r="BI12" s="6"/>
    </row>
    <row r="13" spans="1:61" x14ac:dyDescent="0.3">
      <c r="A13" t="s">
        <v>2252</v>
      </c>
      <c r="B13" t="s">
        <v>50</v>
      </c>
      <c r="C13" t="s">
        <v>2291</v>
      </c>
      <c r="D13" s="4" t="s">
        <v>2292</v>
      </c>
      <c r="E13">
        <v>1999</v>
      </c>
      <c r="F13" t="s">
        <v>2662</v>
      </c>
      <c r="G13" t="s">
        <v>2270</v>
      </c>
      <c r="H13" t="s">
        <v>2271</v>
      </c>
      <c r="I13" t="s">
        <v>2294</v>
      </c>
      <c r="J13" t="s">
        <v>554</v>
      </c>
      <c r="L13">
        <v>3</v>
      </c>
      <c r="M13">
        <v>3</v>
      </c>
      <c r="O13">
        <v>3309</v>
      </c>
      <c r="Q13">
        <v>3595</v>
      </c>
      <c r="AD13">
        <v>962</v>
      </c>
      <c r="AE13" t="s">
        <v>2527</v>
      </c>
      <c r="AF13" s="3"/>
      <c r="AI13" s="35">
        <f t="shared" si="0"/>
        <v>1.0864309459051074</v>
      </c>
      <c r="AJ13" s="6"/>
      <c r="AK13" s="6"/>
      <c r="AL13" s="55" t="s">
        <v>2285</v>
      </c>
      <c r="AM13" s="26"/>
      <c r="AN13" s="26"/>
      <c r="AO13" s="20">
        <f t="shared" si="4"/>
        <v>1.0864309459051074</v>
      </c>
      <c r="AP13" s="26"/>
      <c r="AQ13" s="26"/>
      <c r="AR13" s="56"/>
      <c r="AS13" s="6"/>
      <c r="AT13" s="6"/>
      <c r="AU13" s="3"/>
      <c r="AW13" t="s">
        <v>1</v>
      </c>
      <c r="AX13" t="s">
        <v>2</v>
      </c>
      <c r="AY13" t="s">
        <v>2</v>
      </c>
      <c r="AZ13" t="s">
        <v>2</v>
      </c>
      <c r="BA13" t="s">
        <v>2</v>
      </c>
      <c r="BB13" t="s">
        <v>2296</v>
      </c>
      <c r="BD13" s="6"/>
      <c r="BF13" s="6"/>
      <c r="BG13" s="6"/>
      <c r="BH13" s="6"/>
      <c r="BI13" s="6"/>
    </row>
    <row r="14" spans="1:61" x14ac:dyDescent="0.3">
      <c r="A14" t="s">
        <v>2252</v>
      </c>
      <c r="B14" t="s">
        <v>50</v>
      </c>
      <c r="C14" t="s">
        <v>2291</v>
      </c>
      <c r="D14" s="4" t="s">
        <v>2292</v>
      </c>
      <c r="E14">
        <v>1999</v>
      </c>
      <c r="F14" t="s">
        <v>2662</v>
      </c>
      <c r="G14" t="s">
        <v>2270</v>
      </c>
      <c r="H14" t="s">
        <v>2271</v>
      </c>
      <c r="I14" t="s">
        <v>2295</v>
      </c>
      <c r="J14" t="s">
        <v>554</v>
      </c>
      <c r="L14">
        <v>3</v>
      </c>
      <c r="M14">
        <v>3</v>
      </c>
      <c r="O14">
        <v>3362</v>
      </c>
      <c r="Q14">
        <v>3629</v>
      </c>
      <c r="AD14">
        <v>906</v>
      </c>
      <c r="AE14" t="s">
        <v>2527</v>
      </c>
      <c r="AF14" s="3"/>
      <c r="AI14" s="35">
        <f t="shared" si="0"/>
        <v>1.079417013682332</v>
      </c>
      <c r="AJ14" s="6"/>
      <c r="AK14" s="6"/>
      <c r="AL14" s="55" t="s">
        <v>2285</v>
      </c>
      <c r="AM14" s="26"/>
      <c r="AN14" s="26"/>
      <c r="AO14" s="20">
        <f t="shared" si="4"/>
        <v>1.079417013682332</v>
      </c>
      <c r="AP14" s="26"/>
      <c r="AQ14" s="26"/>
      <c r="AR14" s="56"/>
      <c r="AS14" s="6"/>
      <c r="AT14" s="6"/>
      <c r="AU14" s="3"/>
      <c r="AW14" t="s">
        <v>1</v>
      </c>
      <c r="AX14" t="s">
        <v>2</v>
      </c>
      <c r="AY14" t="s">
        <v>2</v>
      </c>
      <c r="AZ14" t="s">
        <v>2</v>
      </c>
      <c r="BA14" t="s">
        <v>2</v>
      </c>
      <c r="BB14" t="s">
        <v>2296</v>
      </c>
      <c r="BD14" s="6"/>
      <c r="BF14" s="6"/>
      <c r="BG14" s="6"/>
      <c r="BH14" s="6"/>
      <c r="BI14" s="6"/>
    </row>
    <row r="15" spans="1:61" x14ac:dyDescent="0.3">
      <c r="A15" t="s">
        <v>2252</v>
      </c>
      <c r="B15" t="s">
        <v>50</v>
      </c>
      <c r="C15" t="s">
        <v>2291</v>
      </c>
      <c r="D15" s="4" t="s">
        <v>2292</v>
      </c>
      <c r="E15">
        <v>2000</v>
      </c>
      <c r="F15" t="s">
        <v>2662</v>
      </c>
      <c r="G15" t="s">
        <v>2270</v>
      </c>
      <c r="H15" t="s">
        <v>2271</v>
      </c>
      <c r="I15" t="s">
        <v>2293</v>
      </c>
      <c r="J15" t="s">
        <v>554</v>
      </c>
      <c r="L15">
        <v>3</v>
      </c>
      <c r="M15">
        <v>3</v>
      </c>
      <c r="O15">
        <v>2756</v>
      </c>
      <c r="Q15">
        <v>2988</v>
      </c>
      <c r="AD15">
        <v>1243</v>
      </c>
      <c r="AE15" t="s">
        <v>2527</v>
      </c>
      <c r="AF15" s="3"/>
      <c r="AI15" s="35">
        <f t="shared" si="0"/>
        <v>1.0841799709724238</v>
      </c>
      <c r="AJ15" s="6"/>
      <c r="AK15" s="6"/>
      <c r="AL15" s="55" t="s">
        <v>2285</v>
      </c>
      <c r="AM15" s="26"/>
      <c r="AN15" s="26"/>
      <c r="AO15" s="20">
        <f t="shared" si="4"/>
        <v>1.0841799709724238</v>
      </c>
      <c r="AP15" s="26"/>
      <c r="AQ15" s="26"/>
      <c r="AR15" s="56"/>
      <c r="AS15" s="6"/>
      <c r="AT15" s="6"/>
      <c r="AU15" s="3"/>
      <c r="AW15" t="s">
        <v>1</v>
      </c>
      <c r="AX15" t="s">
        <v>2</v>
      </c>
      <c r="AY15" t="s">
        <v>2</v>
      </c>
      <c r="AZ15" t="s">
        <v>2</v>
      </c>
      <c r="BA15" t="s">
        <v>2</v>
      </c>
      <c r="BB15" t="s">
        <v>2296</v>
      </c>
      <c r="BD15" s="6"/>
      <c r="BF15" s="6"/>
      <c r="BG15" s="6"/>
      <c r="BH15" s="6"/>
      <c r="BI15" s="6"/>
    </row>
    <row r="16" spans="1:61" x14ac:dyDescent="0.3">
      <c r="A16" t="s">
        <v>2252</v>
      </c>
      <c r="B16" t="s">
        <v>50</v>
      </c>
      <c r="C16" t="s">
        <v>2291</v>
      </c>
      <c r="D16" s="4" t="s">
        <v>2292</v>
      </c>
      <c r="E16">
        <v>2000</v>
      </c>
      <c r="F16" t="s">
        <v>2662</v>
      </c>
      <c r="G16" t="s">
        <v>2270</v>
      </c>
      <c r="H16" t="s">
        <v>2271</v>
      </c>
      <c r="I16" t="s">
        <v>2294</v>
      </c>
      <c r="J16" t="s">
        <v>554</v>
      </c>
      <c r="L16">
        <v>3</v>
      </c>
      <c r="M16">
        <v>3</v>
      </c>
      <c r="O16">
        <v>3309</v>
      </c>
      <c r="Q16">
        <v>3595</v>
      </c>
      <c r="AD16">
        <v>1156</v>
      </c>
      <c r="AE16" t="s">
        <v>2527</v>
      </c>
      <c r="AF16" s="3"/>
      <c r="AI16" s="35">
        <f t="shared" si="0"/>
        <v>1.0864309459051074</v>
      </c>
      <c r="AJ16" s="6"/>
      <c r="AK16" s="6"/>
      <c r="AL16" s="55" t="s">
        <v>2285</v>
      </c>
      <c r="AM16" s="26"/>
      <c r="AN16" s="26"/>
      <c r="AO16" s="20">
        <f t="shared" si="4"/>
        <v>1.0864309459051074</v>
      </c>
      <c r="AP16" s="26"/>
      <c r="AQ16" s="26"/>
      <c r="AR16" s="56"/>
      <c r="AS16" s="6"/>
      <c r="AT16" s="6"/>
      <c r="AU16" s="3"/>
      <c r="AW16" t="s">
        <v>1</v>
      </c>
      <c r="AX16" t="s">
        <v>2</v>
      </c>
      <c r="AY16" t="s">
        <v>2</v>
      </c>
      <c r="AZ16" t="s">
        <v>2</v>
      </c>
      <c r="BA16" t="s">
        <v>2</v>
      </c>
      <c r="BB16" t="s">
        <v>2296</v>
      </c>
      <c r="BD16" s="6"/>
      <c r="BF16" s="6"/>
      <c r="BG16" s="6"/>
      <c r="BH16" s="6"/>
      <c r="BI16" s="6"/>
    </row>
    <row r="17" spans="1:61" x14ac:dyDescent="0.3">
      <c r="A17" t="s">
        <v>2252</v>
      </c>
      <c r="B17" t="s">
        <v>50</v>
      </c>
      <c r="C17" t="s">
        <v>2291</v>
      </c>
      <c r="D17" s="4" t="s">
        <v>2292</v>
      </c>
      <c r="E17">
        <v>2000</v>
      </c>
      <c r="F17" t="s">
        <v>2662</v>
      </c>
      <c r="G17" t="s">
        <v>2270</v>
      </c>
      <c r="H17" t="s">
        <v>2271</v>
      </c>
      <c r="I17" t="s">
        <v>2295</v>
      </c>
      <c r="J17" t="s">
        <v>554</v>
      </c>
      <c r="L17">
        <v>3</v>
      </c>
      <c r="M17">
        <v>3</v>
      </c>
      <c r="O17">
        <v>3362</v>
      </c>
      <c r="Q17">
        <v>3629</v>
      </c>
      <c r="AD17">
        <v>1036</v>
      </c>
      <c r="AE17" t="s">
        <v>2527</v>
      </c>
      <c r="AF17" s="3"/>
      <c r="AI17" s="35">
        <f t="shared" si="0"/>
        <v>1.079417013682332</v>
      </c>
      <c r="AJ17" s="6"/>
      <c r="AK17" s="6"/>
      <c r="AL17" s="55" t="s">
        <v>2285</v>
      </c>
      <c r="AM17" s="26"/>
      <c r="AN17" s="26"/>
      <c r="AO17" s="20">
        <f t="shared" si="4"/>
        <v>1.079417013682332</v>
      </c>
      <c r="AP17" s="26"/>
      <c r="AQ17" s="26"/>
      <c r="AR17" s="56"/>
      <c r="AS17" s="6"/>
      <c r="AT17" s="6"/>
      <c r="AU17" s="3"/>
      <c r="AW17" t="s">
        <v>1</v>
      </c>
      <c r="AX17" t="s">
        <v>2</v>
      </c>
      <c r="AY17" t="s">
        <v>2</v>
      </c>
      <c r="AZ17" t="s">
        <v>2</v>
      </c>
      <c r="BA17" t="s">
        <v>2</v>
      </c>
      <c r="BB17" t="s">
        <v>2296</v>
      </c>
      <c r="BD17" s="6"/>
      <c r="BF17" s="6"/>
      <c r="BG17" s="6"/>
      <c r="BH17" s="6"/>
      <c r="BI17" s="6"/>
    </row>
    <row r="18" spans="1:61" x14ac:dyDescent="0.3">
      <c r="A18" t="s">
        <v>2252</v>
      </c>
      <c r="B18" t="s">
        <v>50</v>
      </c>
      <c r="C18" t="s">
        <v>2291</v>
      </c>
      <c r="D18" s="4" t="s">
        <v>2292</v>
      </c>
      <c r="E18">
        <v>2001</v>
      </c>
      <c r="F18" t="s">
        <v>2662</v>
      </c>
      <c r="G18" t="s">
        <v>2270</v>
      </c>
      <c r="H18" t="s">
        <v>2271</v>
      </c>
      <c r="I18" t="s">
        <v>2293</v>
      </c>
      <c r="J18" t="s">
        <v>554</v>
      </c>
      <c r="L18">
        <v>3</v>
      </c>
      <c r="M18">
        <v>3</v>
      </c>
      <c r="O18">
        <v>2756</v>
      </c>
      <c r="Q18">
        <v>2988</v>
      </c>
      <c r="AD18">
        <v>1245</v>
      </c>
      <c r="AE18" t="s">
        <v>2527</v>
      </c>
      <c r="AF18" s="3"/>
      <c r="AI18" s="35">
        <f t="shared" si="0"/>
        <v>1.0841799709724238</v>
      </c>
      <c r="AJ18" s="6"/>
      <c r="AK18" s="6"/>
      <c r="AL18" s="55" t="s">
        <v>2285</v>
      </c>
      <c r="AM18" s="26"/>
      <c r="AN18" s="26"/>
      <c r="AO18" s="20">
        <f t="shared" si="4"/>
        <v>1.0841799709724238</v>
      </c>
      <c r="AP18" s="26"/>
      <c r="AQ18" s="26"/>
      <c r="AR18" s="56"/>
      <c r="AS18" s="6"/>
      <c r="AT18" s="6"/>
      <c r="AU18" s="3"/>
      <c r="AW18" t="s">
        <v>1</v>
      </c>
      <c r="AX18" t="s">
        <v>2</v>
      </c>
      <c r="AY18" t="s">
        <v>2</v>
      </c>
      <c r="AZ18" t="s">
        <v>2</v>
      </c>
      <c r="BA18" t="s">
        <v>2</v>
      </c>
      <c r="BB18" t="s">
        <v>2296</v>
      </c>
      <c r="BD18" s="6"/>
      <c r="BF18" s="6"/>
      <c r="BG18" s="6"/>
      <c r="BH18" s="6"/>
      <c r="BI18" s="6"/>
    </row>
    <row r="19" spans="1:61" x14ac:dyDescent="0.3">
      <c r="A19" t="s">
        <v>2252</v>
      </c>
      <c r="B19" t="s">
        <v>50</v>
      </c>
      <c r="C19" t="s">
        <v>2291</v>
      </c>
      <c r="D19" s="4" t="s">
        <v>2292</v>
      </c>
      <c r="E19">
        <v>2001</v>
      </c>
      <c r="F19" t="s">
        <v>2662</v>
      </c>
      <c r="G19" t="s">
        <v>2270</v>
      </c>
      <c r="H19" t="s">
        <v>2271</v>
      </c>
      <c r="I19" t="s">
        <v>2294</v>
      </c>
      <c r="J19" t="s">
        <v>554</v>
      </c>
      <c r="L19">
        <v>3</v>
      </c>
      <c r="M19">
        <v>3</v>
      </c>
      <c r="O19">
        <v>3309</v>
      </c>
      <c r="Q19">
        <v>3595</v>
      </c>
      <c r="AD19">
        <v>1282</v>
      </c>
      <c r="AE19" t="s">
        <v>2527</v>
      </c>
      <c r="AF19" s="3"/>
      <c r="AI19" s="35">
        <f t="shared" si="0"/>
        <v>1.0864309459051074</v>
      </c>
      <c r="AJ19" s="6"/>
      <c r="AK19" s="6"/>
      <c r="AL19" s="55" t="s">
        <v>2285</v>
      </c>
      <c r="AM19" s="26"/>
      <c r="AN19" s="26"/>
      <c r="AO19" s="20">
        <f t="shared" si="4"/>
        <v>1.0864309459051074</v>
      </c>
      <c r="AP19" s="26"/>
      <c r="AQ19" s="26"/>
      <c r="AR19" s="56"/>
      <c r="AS19" s="6"/>
      <c r="AT19" s="6"/>
      <c r="AU19" s="3"/>
      <c r="AW19" t="s">
        <v>1</v>
      </c>
      <c r="AX19" t="s">
        <v>2</v>
      </c>
      <c r="AY19" t="s">
        <v>2</v>
      </c>
      <c r="AZ19" t="s">
        <v>2</v>
      </c>
      <c r="BA19" t="s">
        <v>2</v>
      </c>
      <c r="BB19" t="s">
        <v>2296</v>
      </c>
      <c r="BD19" s="6"/>
      <c r="BF19" s="6"/>
      <c r="BG19" s="6"/>
      <c r="BH19" s="6"/>
      <c r="BI19" s="6"/>
    </row>
    <row r="20" spans="1:61" x14ac:dyDescent="0.3">
      <c r="A20" t="s">
        <v>2252</v>
      </c>
      <c r="B20" t="s">
        <v>50</v>
      </c>
      <c r="C20" t="s">
        <v>2291</v>
      </c>
      <c r="D20" s="4" t="s">
        <v>2292</v>
      </c>
      <c r="E20">
        <v>2001</v>
      </c>
      <c r="F20" t="s">
        <v>2662</v>
      </c>
      <c r="G20" t="s">
        <v>2270</v>
      </c>
      <c r="H20" t="s">
        <v>2271</v>
      </c>
      <c r="I20" t="s">
        <v>2295</v>
      </c>
      <c r="J20" t="s">
        <v>554</v>
      </c>
      <c r="L20">
        <v>3</v>
      </c>
      <c r="M20">
        <v>3</v>
      </c>
      <c r="O20">
        <v>3362</v>
      </c>
      <c r="Q20">
        <v>3629</v>
      </c>
      <c r="AD20">
        <v>984</v>
      </c>
      <c r="AE20" t="s">
        <v>2527</v>
      </c>
      <c r="AF20" s="3"/>
      <c r="AI20" s="35">
        <f t="shared" si="0"/>
        <v>1.079417013682332</v>
      </c>
      <c r="AJ20" s="6"/>
      <c r="AK20" s="6"/>
      <c r="AL20" s="55" t="s">
        <v>2285</v>
      </c>
      <c r="AM20" s="26"/>
      <c r="AN20" s="26"/>
      <c r="AO20" s="20">
        <f t="shared" si="4"/>
        <v>1.079417013682332</v>
      </c>
      <c r="AP20" s="26"/>
      <c r="AQ20" s="26"/>
      <c r="AR20" s="56"/>
      <c r="AS20" s="6"/>
      <c r="AT20" s="6"/>
      <c r="AU20" s="3"/>
      <c r="AW20" t="s">
        <v>1</v>
      </c>
      <c r="AX20" t="s">
        <v>2</v>
      </c>
      <c r="AY20" t="s">
        <v>2</v>
      </c>
      <c r="AZ20" t="s">
        <v>2</v>
      </c>
      <c r="BA20" t="s">
        <v>2</v>
      </c>
      <c r="BB20" t="s">
        <v>2296</v>
      </c>
      <c r="BD20" s="6"/>
      <c r="BF20" s="6"/>
      <c r="BG20" s="6"/>
      <c r="BH20" s="6"/>
      <c r="BI20" s="6"/>
    </row>
    <row r="21" spans="1:61" x14ac:dyDescent="0.3">
      <c r="A21" t="s">
        <v>2253</v>
      </c>
      <c r="B21" t="s">
        <v>529</v>
      </c>
      <c r="C21" t="s">
        <v>2297</v>
      </c>
      <c r="D21" s="4" t="s">
        <v>2298</v>
      </c>
      <c r="E21">
        <v>2006</v>
      </c>
      <c r="F21" t="s">
        <v>2662</v>
      </c>
      <c r="G21" t="s">
        <v>2270</v>
      </c>
      <c r="H21" t="s">
        <v>2271</v>
      </c>
      <c r="J21" t="s">
        <v>554</v>
      </c>
      <c r="L21">
        <v>8</v>
      </c>
      <c r="M21">
        <v>8</v>
      </c>
      <c r="O21">
        <v>4061.1</v>
      </c>
      <c r="P21">
        <v>868.3</v>
      </c>
      <c r="Q21">
        <v>4871</v>
      </c>
      <c r="R21">
        <v>586.29999999999995</v>
      </c>
      <c r="AD21">
        <v>345</v>
      </c>
      <c r="AE21" t="s">
        <v>2527</v>
      </c>
      <c r="AF21" s="3">
        <f>92*SQRT(L21)</f>
        <v>260.21529547664949</v>
      </c>
      <c r="AI21" s="35">
        <f t="shared" si="0"/>
        <v>1.1994287262071852</v>
      </c>
      <c r="AJ21" s="6"/>
      <c r="AK21" s="6"/>
      <c r="AL21" s="20">
        <f>AD21*0.4*1*(4/10000)</f>
        <v>5.5200000000000006E-2</v>
      </c>
      <c r="AM21" s="20">
        <f>AD21*0.4*1*(2/10000)</f>
        <v>2.7600000000000003E-2</v>
      </c>
      <c r="AN21" s="20">
        <f>AD21*0.4*1*(6/10000)</f>
        <v>8.2799999999999999E-2</v>
      </c>
      <c r="AO21" s="20">
        <f>AI21+AL21</f>
        <v>1.2546287262071851</v>
      </c>
      <c r="AP21" s="26"/>
      <c r="AQ21" s="26"/>
      <c r="AR21" s="56">
        <f>(R21^2)/(O21^2)+(P21^2)*((Q21^2)/(O21^4))</f>
        <v>8.6608579650464659E-2</v>
      </c>
      <c r="AS21" s="6"/>
      <c r="AT21" s="6"/>
      <c r="AU21" s="3">
        <f t="shared" si="2"/>
        <v>8.6608579650464659E-2</v>
      </c>
      <c r="AV21">
        <f>47+36.4+40.4</f>
        <v>123.80000000000001</v>
      </c>
      <c r="AW21" t="s">
        <v>1</v>
      </c>
      <c r="AX21" t="s">
        <v>2</v>
      </c>
      <c r="AY21" t="s">
        <v>3</v>
      </c>
      <c r="AZ21" t="s">
        <v>2</v>
      </c>
      <c r="BA21" t="s">
        <v>3</v>
      </c>
      <c r="BB21" t="s">
        <v>2290</v>
      </c>
      <c r="BD21" s="6"/>
      <c r="BF21" s="6"/>
      <c r="BG21" s="6"/>
      <c r="BH21" s="6"/>
      <c r="BI21" s="6"/>
    </row>
    <row r="22" spans="1:61" x14ac:dyDescent="0.3">
      <c r="A22" t="s">
        <v>2254</v>
      </c>
      <c r="B22" t="s">
        <v>81</v>
      </c>
      <c r="C22" t="s">
        <v>2299</v>
      </c>
      <c r="D22" s="4" t="s">
        <v>2300</v>
      </c>
      <c r="E22">
        <v>2001</v>
      </c>
      <c r="F22" t="s">
        <v>2662</v>
      </c>
      <c r="G22" t="s">
        <v>2270</v>
      </c>
      <c r="H22" t="s">
        <v>2271</v>
      </c>
      <c r="I22" t="s">
        <v>2301</v>
      </c>
      <c r="J22" t="s">
        <v>554</v>
      </c>
      <c r="L22">
        <v>3</v>
      </c>
      <c r="M22">
        <v>3</v>
      </c>
      <c r="O22">
        <v>9100</v>
      </c>
      <c r="Q22">
        <v>7650</v>
      </c>
      <c r="AE22" t="s">
        <v>2527</v>
      </c>
      <c r="AI22" s="35">
        <f t="shared" si="0"/>
        <v>0.84065934065934067</v>
      </c>
      <c r="AJ22" s="6"/>
      <c r="AK22" s="6"/>
      <c r="AL22" s="55"/>
      <c r="AM22" s="26"/>
      <c r="AN22" s="26"/>
      <c r="AO22" s="20">
        <f>AI22</f>
        <v>0.84065934065934067</v>
      </c>
      <c r="AP22" s="26"/>
      <c r="AQ22" s="26"/>
      <c r="AR22" s="26"/>
      <c r="AS22" s="6"/>
      <c r="AT22" s="6"/>
      <c r="AU22" s="6"/>
      <c r="AV22">
        <f>1050*0.15+0.46*73.5</f>
        <v>191.31</v>
      </c>
      <c r="AW22" t="s">
        <v>14</v>
      </c>
      <c r="AY22" t="s">
        <v>3</v>
      </c>
      <c r="AZ22" t="s">
        <v>2</v>
      </c>
      <c r="BA22" t="s">
        <v>2</v>
      </c>
      <c r="BD22" s="6"/>
      <c r="BF22" s="6"/>
      <c r="BG22" s="6"/>
      <c r="BH22" s="6"/>
      <c r="BI22" s="6"/>
    </row>
    <row r="23" spans="1:61" x14ac:dyDescent="0.3">
      <c r="A23" t="s">
        <v>2254</v>
      </c>
      <c r="B23" t="s">
        <v>81</v>
      </c>
      <c r="C23" t="s">
        <v>2299</v>
      </c>
      <c r="D23" s="4" t="s">
        <v>2300</v>
      </c>
      <c r="E23">
        <v>2002</v>
      </c>
      <c r="F23" t="s">
        <v>2662</v>
      </c>
      <c r="G23" t="s">
        <v>2270</v>
      </c>
      <c r="H23" t="s">
        <v>2271</v>
      </c>
      <c r="I23" t="s">
        <v>2302</v>
      </c>
      <c r="J23" t="s">
        <v>554</v>
      </c>
      <c r="L23">
        <v>3</v>
      </c>
      <c r="M23">
        <v>3</v>
      </c>
      <c r="O23">
        <v>8220</v>
      </c>
      <c r="Q23">
        <v>7630</v>
      </c>
      <c r="AE23" t="s">
        <v>2527</v>
      </c>
      <c r="AI23" s="35">
        <f t="shared" si="0"/>
        <v>0.92822384428223847</v>
      </c>
      <c r="AJ23" s="6"/>
      <c r="AK23" s="6"/>
      <c r="AL23" s="55"/>
      <c r="AM23" s="26"/>
      <c r="AN23" s="26"/>
      <c r="AO23" s="20">
        <f t="shared" ref="AO23:AO24" si="5">AI23</f>
        <v>0.92822384428223847</v>
      </c>
      <c r="AP23" s="26"/>
      <c r="AQ23" s="26"/>
      <c r="AR23" s="26"/>
      <c r="AS23" s="6"/>
      <c r="AT23" s="6"/>
      <c r="AU23" s="6"/>
      <c r="AV23">
        <f t="shared" ref="AV23:AV24" si="6">1050*0.15+0.46*73.5</f>
        <v>191.31</v>
      </c>
      <c r="AW23" t="s">
        <v>14</v>
      </c>
      <c r="AY23" t="s">
        <v>3</v>
      </c>
      <c r="AZ23" t="s">
        <v>2</v>
      </c>
      <c r="BA23" t="s">
        <v>2</v>
      </c>
      <c r="BD23" s="6"/>
      <c r="BF23" s="6"/>
      <c r="BG23" s="6"/>
      <c r="BH23" s="6"/>
      <c r="BI23" s="6"/>
    </row>
    <row r="24" spans="1:61" x14ac:dyDescent="0.3">
      <c r="A24" t="s">
        <v>2254</v>
      </c>
      <c r="B24" t="s">
        <v>81</v>
      </c>
      <c r="C24" t="s">
        <v>2299</v>
      </c>
      <c r="D24" s="4" t="s">
        <v>2300</v>
      </c>
      <c r="E24">
        <v>2002</v>
      </c>
      <c r="F24" t="s">
        <v>2662</v>
      </c>
      <c r="G24" t="s">
        <v>2270</v>
      </c>
      <c r="H24" t="s">
        <v>2271</v>
      </c>
      <c r="I24" t="s">
        <v>2303</v>
      </c>
      <c r="J24" t="s">
        <v>554</v>
      </c>
      <c r="L24">
        <v>3</v>
      </c>
      <c r="M24">
        <v>3</v>
      </c>
      <c r="O24">
        <v>8010</v>
      </c>
      <c r="Q24">
        <v>8740</v>
      </c>
      <c r="AE24" t="s">
        <v>2527</v>
      </c>
      <c r="AI24" s="35">
        <f t="shared" si="0"/>
        <v>1.0911360799001248</v>
      </c>
      <c r="AJ24" s="6"/>
      <c r="AK24" s="6"/>
      <c r="AL24" s="55"/>
      <c r="AM24" s="26"/>
      <c r="AN24" s="26"/>
      <c r="AO24" s="20">
        <f t="shared" si="5"/>
        <v>1.0911360799001248</v>
      </c>
      <c r="AP24" s="26"/>
      <c r="AQ24" s="26"/>
      <c r="AR24" s="26"/>
      <c r="AS24" s="6"/>
      <c r="AT24" s="6"/>
      <c r="AU24" s="6"/>
      <c r="AV24">
        <f t="shared" si="6"/>
        <v>191.31</v>
      </c>
      <c r="AW24" t="s">
        <v>14</v>
      </c>
      <c r="AY24" t="s">
        <v>3</v>
      </c>
      <c r="AZ24" t="s">
        <v>2</v>
      </c>
      <c r="BA24" t="s">
        <v>2</v>
      </c>
      <c r="BD24" s="6"/>
      <c r="BF24" s="6"/>
      <c r="BG24" s="6"/>
      <c r="BH24" s="6"/>
      <c r="BI24" s="6"/>
    </row>
    <row r="25" spans="1:61" s="12" customFormat="1" ht="15.75" customHeight="1" x14ac:dyDescent="0.3">
      <c r="A25" s="10" t="s">
        <v>1973</v>
      </c>
      <c r="B25" s="10" t="s">
        <v>637</v>
      </c>
      <c r="C25" s="10" t="s">
        <v>1976</v>
      </c>
      <c r="D25" s="10" t="s">
        <v>1975</v>
      </c>
      <c r="E25" s="10"/>
      <c r="F25" t="s">
        <v>2662</v>
      </c>
      <c r="G25" s="10" t="s">
        <v>1978</v>
      </c>
      <c r="H25" s="10" t="s">
        <v>1977</v>
      </c>
      <c r="I25" s="10" t="s">
        <v>1980</v>
      </c>
      <c r="J25" s="10" t="s">
        <v>1979</v>
      </c>
      <c r="K25" s="10"/>
      <c r="L25" s="10">
        <v>2</v>
      </c>
      <c r="M25" s="10">
        <v>2</v>
      </c>
      <c r="N25" s="10"/>
      <c r="O25" s="10">
        <v>2830</v>
      </c>
      <c r="P25" s="10"/>
      <c r="Q25" s="10">
        <v>2210</v>
      </c>
      <c r="R25" s="10"/>
      <c r="S25" s="10"/>
      <c r="T25" s="10"/>
      <c r="U25" s="10">
        <v>2080</v>
      </c>
      <c r="V25" s="10"/>
      <c r="W25" s="10"/>
      <c r="X25" s="10"/>
      <c r="Y25" s="10"/>
      <c r="Z25" s="10"/>
      <c r="AA25" s="10"/>
      <c r="AB25" s="10"/>
      <c r="AC25" s="10"/>
      <c r="AD25" s="10">
        <v>87</v>
      </c>
      <c r="AE25" s="10" t="s">
        <v>2528</v>
      </c>
      <c r="AF25" s="10"/>
      <c r="AG25" s="10">
        <v>0.7</v>
      </c>
      <c r="AH25" s="10"/>
      <c r="AI25" s="14">
        <f t="shared" si="0"/>
        <v>0.78091872791519434</v>
      </c>
      <c r="AJ25" s="10"/>
      <c r="AK25" s="10"/>
      <c r="AL25" s="14">
        <f>$AD25*0.53*0.7*213.5/10000</f>
        <v>0.68911394999999998</v>
      </c>
      <c r="AM25" s="14">
        <f>$AD25*0.53*0.7*7/10000</f>
        <v>2.2593900000000004E-2</v>
      </c>
      <c r="AN25" s="14">
        <f>$AD25*0.53*0.7*420/10000</f>
        <v>1.355634</v>
      </c>
      <c r="AO25" s="14">
        <f>AI25+AL25</f>
        <v>1.4700326779151944</v>
      </c>
      <c r="AP25" s="14">
        <f>AI25+AM25</f>
        <v>0.8035126279151944</v>
      </c>
      <c r="AQ25" s="14">
        <f>AI25+AN25</f>
        <v>2.1365527279151943</v>
      </c>
      <c r="AR25" s="14"/>
      <c r="AS25" s="14"/>
      <c r="AT25" s="14"/>
      <c r="AU25" s="14"/>
      <c r="AV25" s="10">
        <v>105</v>
      </c>
      <c r="AW25" s="10" t="s">
        <v>14</v>
      </c>
      <c r="AX25" s="10"/>
      <c r="AY25" s="10"/>
      <c r="AZ25" s="10" t="s">
        <v>2</v>
      </c>
      <c r="BA25" s="10" t="s">
        <v>3</v>
      </c>
    </row>
    <row r="26" spans="1:61" s="12" customFormat="1" x14ac:dyDescent="0.3">
      <c r="A26" s="10" t="s">
        <v>1973</v>
      </c>
      <c r="B26" s="10" t="s">
        <v>637</v>
      </c>
      <c r="C26" s="10" t="s">
        <v>1976</v>
      </c>
      <c r="D26" s="10" t="s">
        <v>1975</v>
      </c>
      <c r="E26" s="10"/>
      <c r="F26" t="s">
        <v>2662</v>
      </c>
      <c r="G26" s="10" t="s">
        <v>1978</v>
      </c>
      <c r="H26" s="10" t="s">
        <v>1977</v>
      </c>
      <c r="I26" s="10" t="s">
        <v>1981</v>
      </c>
      <c r="J26" s="10" t="s">
        <v>1979</v>
      </c>
      <c r="K26" s="10"/>
      <c r="L26" s="10">
        <v>2</v>
      </c>
      <c r="M26" s="10">
        <v>2</v>
      </c>
      <c r="N26" s="10"/>
      <c r="O26" s="10">
        <v>2830</v>
      </c>
      <c r="P26" s="10"/>
      <c r="Q26" s="10">
        <v>1880</v>
      </c>
      <c r="R26" s="10"/>
      <c r="S26" s="10"/>
      <c r="T26" s="10"/>
      <c r="U26" s="10">
        <v>2640</v>
      </c>
      <c r="V26" s="10"/>
      <c r="W26" s="10"/>
      <c r="X26" s="10"/>
      <c r="Y26" s="10"/>
      <c r="Z26" s="10"/>
      <c r="AA26" s="10"/>
      <c r="AB26" s="10"/>
      <c r="AC26" s="10"/>
      <c r="AD26" s="10">
        <v>179</v>
      </c>
      <c r="AE26" s="10" t="s">
        <v>2528</v>
      </c>
      <c r="AF26" s="10"/>
      <c r="AG26" s="10">
        <v>0.7</v>
      </c>
      <c r="AH26" s="10"/>
      <c r="AI26" s="14">
        <f t="shared" si="0"/>
        <v>0.66431095406360419</v>
      </c>
      <c r="AJ26" s="10"/>
      <c r="AK26" s="10"/>
      <c r="AL26" s="14">
        <f t="shared" ref="AL26:AL29" si="7">$AD26*0.53*0.7*213.5/10000</f>
        <v>1.4178321500000002</v>
      </c>
      <c r="AM26" s="14">
        <f t="shared" ref="AM26:AM29" si="8">$AD26*0.53*0.7*7/10000</f>
        <v>4.6486300000000008E-2</v>
      </c>
      <c r="AN26" s="14">
        <f t="shared" ref="AN26:AN29" si="9">$AD26*0.53*0.7*420/10000</f>
        <v>2.7891780000000002</v>
      </c>
      <c r="AO26" s="14">
        <f t="shared" ref="AO26:AO43" si="10">AI26+AL26</f>
        <v>2.0821431040636043</v>
      </c>
      <c r="AP26" s="14">
        <f t="shared" ref="AP26:AP43" si="11">AI26+AM26</f>
        <v>0.71079725406360417</v>
      </c>
      <c r="AQ26" s="14">
        <f t="shared" ref="AQ26:AQ43" si="12">AI26+AN26</f>
        <v>3.4534889540636042</v>
      </c>
      <c r="AR26" s="14"/>
      <c r="AS26" s="14"/>
      <c r="AT26" s="14"/>
      <c r="AU26" s="14"/>
      <c r="AV26" s="10">
        <v>105</v>
      </c>
      <c r="AW26" s="10" t="s">
        <v>14</v>
      </c>
      <c r="AX26" s="10"/>
      <c r="AY26" s="10"/>
      <c r="AZ26" s="10" t="s">
        <v>2</v>
      </c>
      <c r="BA26" s="10" t="s">
        <v>3</v>
      </c>
    </row>
    <row r="27" spans="1:61" s="12" customFormat="1" x14ac:dyDescent="0.3">
      <c r="A27" s="10" t="s">
        <v>1973</v>
      </c>
      <c r="B27" s="10" t="s">
        <v>637</v>
      </c>
      <c r="C27" s="10" t="s">
        <v>1976</v>
      </c>
      <c r="D27" s="10" t="s">
        <v>1975</v>
      </c>
      <c r="E27" s="10"/>
      <c r="F27" t="s">
        <v>2662</v>
      </c>
      <c r="G27" s="10" t="s">
        <v>1978</v>
      </c>
      <c r="H27" s="10" t="s">
        <v>1977</v>
      </c>
      <c r="I27" s="10" t="s">
        <v>1982</v>
      </c>
      <c r="J27" s="10" t="s">
        <v>1979</v>
      </c>
      <c r="K27" s="10"/>
      <c r="L27" s="10">
        <v>2</v>
      </c>
      <c r="M27" s="10">
        <v>2</v>
      </c>
      <c r="N27" s="10"/>
      <c r="O27" s="10">
        <v>2830</v>
      </c>
      <c r="P27" s="10"/>
      <c r="Q27" s="10">
        <v>750</v>
      </c>
      <c r="R27" s="10"/>
      <c r="S27" s="10"/>
      <c r="T27" s="10"/>
      <c r="U27" s="10">
        <v>3100</v>
      </c>
      <c r="V27" s="10"/>
      <c r="W27" s="10"/>
      <c r="X27" s="10"/>
      <c r="Y27" s="10"/>
      <c r="Z27" s="10"/>
      <c r="AA27" s="10"/>
      <c r="AB27" s="10"/>
      <c r="AC27" s="10"/>
      <c r="AD27" s="10">
        <v>490</v>
      </c>
      <c r="AE27" s="10" t="s">
        <v>2528</v>
      </c>
      <c r="AF27" s="10"/>
      <c r="AG27" s="10">
        <v>0.7</v>
      </c>
      <c r="AH27" s="10"/>
      <c r="AI27" s="14">
        <f t="shared" si="0"/>
        <v>0.26501766784452296</v>
      </c>
      <c r="AJ27" s="10"/>
      <c r="AK27" s="10"/>
      <c r="AL27" s="14">
        <f t="shared" si="7"/>
        <v>3.8812165000000003</v>
      </c>
      <c r="AM27" s="14">
        <f t="shared" si="8"/>
        <v>0.127253</v>
      </c>
      <c r="AN27" s="14">
        <f t="shared" si="9"/>
        <v>7.6351800000000001</v>
      </c>
      <c r="AO27" s="14">
        <f t="shared" si="10"/>
        <v>4.1462341678445229</v>
      </c>
      <c r="AP27" s="14">
        <f t="shared" si="11"/>
        <v>0.39227066784452297</v>
      </c>
      <c r="AQ27" s="14">
        <f t="shared" si="12"/>
        <v>7.9001976678445232</v>
      </c>
      <c r="AR27" s="14"/>
      <c r="AS27" s="14"/>
      <c r="AT27" s="14"/>
      <c r="AU27" s="14"/>
      <c r="AV27" s="10">
        <v>105</v>
      </c>
      <c r="AW27" s="10" t="s">
        <v>14</v>
      </c>
      <c r="AX27" s="10"/>
      <c r="AY27" s="10"/>
      <c r="AZ27" s="10" t="s">
        <v>2</v>
      </c>
      <c r="BA27" s="10" t="s">
        <v>3</v>
      </c>
    </row>
    <row r="28" spans="1:61" s="12" customFormat="1" x14ac:dyDescent="0.3">
      <c r="A28" s="10" t="s">
        <v>1973</v>
      </c>
      <c r="B28" s="10" t="s">
        <v>637</v>
      </c>
      <c r="C28" s="10" t="s">
        <v>1976</v>
      </c>
      <c r="D28" s="10" t="s">
        <v>1975</v>
      </c>
      <c r="E28" s="10"/>
      <c r="F28" t="s">
        <v>2662</v>
      </c>
      <c r="G28" s="10" t="s">
        <v>1978</v>
      </c>
      <c r="H28" s="10" t="s">
        <v>1977</v>
      </c>
      <c r="I28" s="10" t="s">
        <v>1983</v>
      </c>
      <c r="J28" s="10" t="s">
        <v>1979</v>
      </c>
      <c r="K28" s="10"/>
      <c r="L28" s="10">
        <v>2</v>
      </c>
      <c r="M28" s="10">
        <v>2</v>
      </c>
      <c r="N28" s="10"/>
      <c r="O28" s="10">
        <v>2830</v>
      </c>
      <c r="P28" s="10"/>
      <c r="Q28" s="10">
        <v>490</v>
      </c>
      <c r="R28" s="10"/>
      <c r="S28" s="10"/>
      <c r="T28" s="10"/>
      <c r="U28" s="10">
        <v>3300</v>
      </c>
      <c r="V28" s="10"/>
      <c r="W28" s="10"/>
      <c r="X28" s="10"/>
      <c r="Y28" s="10"/>
      <c r="Z28" s="10"/>
      <c r="AA28" s="10"/>
      <c r="AB28" s="10"/>
      <c r="AC28" s="10"/>
      <c r="AD28" s="10">
        <v>552</v>
      </c>
      <c r="AE28" s="10" t="s">
        <v>2528</v>
      </c>
      <c r="AF28" s="10"/>
      <c r="AG28" s="10">
        <v>0.7</v>
      </c>
      <c r="AH28" s="10"/>
      <c r="AI28" s="14">
        <f t="shared" si="0"/>
        <v>0.17314487632508835</v>
      </c>
      <c r="AJ28" s="10"/>
      <c r="AK28" s="10"/>
      <c r="AL28" s="14">
        <f t="shared" si="7"/>
        <v>4.3723092000000001</v>
      </c>
      <c r="AM28" s="14">
        <f t="shared" si="8"/>
        <v>0.14335440000000002</v>
      </c>
      <c r="AN28" s="14">
        <f t="shared" si="9"/>
        <v>8.6012640000000005</v>
      </c>
      <c r="AO28" s="14">
        <f t="shared" si="10"/>
        <v>4.5454540763250888</v>
      </c>
      <c r="AP28" s="14">
        <f t="shared" si="11"/>
        <v>0.31649927632508834</v>
      </c>
      <c r="AQ28" s="14">
        <f t="shared" si="12"/>
        <v>8.7744088763250883</v>
      </c>
      <c r="AR28" s="14"/>
      <c r="AS28" s="14"/>
      <c r="AT28" s="14"/>
      <c r="AU28" s="14"/>
      <c r="AV28" s="10">
        <v>105</v>
      </c>
      <c r="AW28" s="10" t="s">
        <v>14</v>
      </c>
      <c r="AX28" s="10"/>
      <c r="AY28" s="10"/>
      <c r="AZ28" s="10" t="s">
        <v>2</v>
      </c>
      <c r="BA28" s="10" t="s">
        <v>3</v>
      </c>
    </row>
    <row r="29" spans="1:61" s="12" customFormat="1" x14ac:dyDescent="0.3">
      <c r="A29" s="10" t="s">
        <v>1973</v>
      </c>
      <c r="B29" s="10" t="s">
        <v>637</v>
      </c>
      <c r="C29" s="10" t="s">
        <v>1976</v>
      </c>
      <c r="D29" s="10" t="s">
        <v>1975</v>
      </c>
      <c r="E29" s="10"/>
      <c r="F29" t="s">
        <v>2662</v>
      </c>
      <c r="G29" s="10" t="s">
        <v>1978</v>
      </c>
      <c r="H29" s="10" t="s">
        <v>1977</v>
      </c>
      <c r="I29" s="10" t="s">
        <v>1984</v>
      </c>
      <c r="J29" s="10" t="s">
        <v>1979</v>
      </c>
      <c r="K29" s="10"/>
      <c r="L29" s="10">
        <v>2</v>
      </c>
      <c r="M29" s="10">
        <v>2</v>
      </c>
      <c r="N29" s="10"/>
      <c r="O29" s="10">
        <v>2830</v>
      </c>
      <c r="P29" s="10"/>
      <c r="Q29" s="10">
        <v>610</v>
      </c>
      <c r="R29" s="10"/>
      <c r="S29" s="10"/>
      <c r="T29" s="10"/>
      <c r="U29" s="10">
        <v>3610</v>
      </c>
      <c r="V29" s="10"/>
      <c r="W29" s="10"/>
      <c r="X29" s="10"/>
      <c r="Y29" s="10"/>
      <c r="Z29" s="10"/>
      <c r="AA29" s="10"/>
      <c r="AB29" s="10"/>
      <c r="AC29" s="10"/>
      <c r="AD29" s="10">
        <v>448</v>
      </c>
      <c r="AE29" s="10" t="s">
        <v>2528</v>
      </c>
      <c r="AF29" s="10"/>
      <c r="AG29" s="10">
        <v>0.7</v>
      </c>
      <c r="AH29" s="10"/>
      <c r="AI29" s="14">
        <f t="shared" si="0"/>
        <v>0.21554770318021202</v>
      </c>
      <c r="AJ29" s="10"/>
      <c r="AK29" s="10"/>
      <c r="AL29" s="14">
        <f t="shared" si="7"/>
        <v>3.5485408000000005</v>
      </c>
      <c r="AM29" s="14">
        <f t="shared" si="8"/>
        <v>0.11634559999999999</v>
      </c>
      <c r="AN29" s="14">
        <f t="shared" si="9"/>
        <v>6.9807360000000003</v>
      </c>
      <c r="AO29" s="14">
        <f t="shared" si="10"/>
        <v>3.7640885031802127</v>
      </c>
      <c r="AP29" s="14">
        <f t="shared" si="11"/>
        <v>0.33189330318021204</v>
      </c>
      <c r="AQ29" s="14">
        <f t="shared" si="12"/>
        <v>7.196283703180212</v>
      </c>
      <c r="AR29" s="14"/>
      <c r="AS29" s="14"/>
      <c r="AT29" s="14"/>
      <c r="AU29" s="14"/>
      <c r="AV29" s="10">
        <v>105</v>
      </c>
      <c r="AW29" s="10" t="s">
        <v>14</v>
      </c>
      <c r="AX29" s="10"/>
      <c r="AY29" s="10"/>
      <c r="AZ29" s="10" t="s">
        <v>2</v>
      </c>
      <c r="BA29" s="10" t="s">
        <v>3</v>
      </c>
    </row>
    <row r="30" spans="1:61" x14ac:dyDescent="0.3">
      <c r="A30" s="10" t="s">
        <v>1974</v>
      </c>
      <c r="B30" s="10" t="s">
        <v>637</v>
      </c>
      <c r="C30" s="10" t="s">
        <v>1985</v>
      </c>
      <c r="D30" s="10" t="s">
        <v>1986</v>
      </c>
      <c r="E30" s="10"/>
      <c r="F30" t="s">
        <v>2662</v>
      </c>
      <c r="G30" s="10" t="s">
        <v>1987</v>
      </c>
      <c r="H30" s="10" t="s">
        <v>1988</v>
      </c>
      <c r="I30" s="10"/>
      <c r="J30" s="10" t="s">
        <v>180</v>
      </c>
      <c r="K30" s="10"/>
      <c r="L30" s="10">
        <v>6</v>
      </c>
      <c r="M30" s="10">
        <v>12</v>
      </c>
      <c r="N30" s="10"/>
      <c r="O30" s="10">
        <v>3913</v>
      </c>
      <c r="P30" s="10"/>
      <c r="Q30" s="10">
        <v>3572</v>
      </c>
      <c r="R30" s="10"/>
      <c r="S30" s="10"/>
      <c r="T30" s="10"/>
      <c r="U30" s="25">
        <f>(6468+7240+6055+6426)/4</f>
        <v>6547.25</v>
      </c>
      <c r="V30" s="25"/>
      <c r="W30" s="10"/>
      <c r="X30" s="10"/>
      <c r="Y30" s="10"/>
      <c r="Z30" s="10"/>
      <c r="AA30" s="10"/>
      <c r="AB30" s="10"/>
      <c r="AC30" s="10"/>
      <c r="AD30" s="10"/>
      <c r="AE30" s="10" t="s">
        <v>2267</v>
      </c>
      <c r="AF30" s="10"/>
      <c r="AG30" s="10">
        <v>1</v>
      </c>
      <c r="AH30" s="10"/>
      <c r="AI30" s="14">
        <f t="shared" si="0"/>
        <v>0.91285458727319191</v>
      </c>
      <c r="AJ30" s="10"/>
      <c r="AK30" s="10"/>
      <c r="AL30" s="10"/>
      <c r="AM30" s="10"/>
      <c r="AN30" s="10"/>
      <c r="AO30" s="14">
        <f t="shared" si="10"/>
        <v>0.91285458727319191</v>
      </c>
      <c r="AP30" s="14"/>
      <c r="AQ30" s="14"/>
      <c r="AR30" s="14"/>
      <c r="AS30" s="14"/>
      <c r="AT30" s="14"/>
      <c r="AU30" s="14"/>
      <c r="AV30" s="10">
        <f>12+54</f>
        <v>66</v>
      </c>
      <c r="AW30" s="10" t="s">
        <v>2037</v>
      </c>
      <c r="AX30" s="10" t="s">
        <v>3</v>
      </c>
      <c r="AY30" s="10" t="s">
        <v>2</v>
      </c>
      <c r="AZ30" s="10" t="s">
        <v>2</v>
      </c>
      <c r="BA30" s="10" t="s">
        <v>2</v>
      </c>
      <c r="BB30" s="10" t="s">
        <v>2415</v>
      </c>
    </row>
    <row r="31" spans="1:61" x14ac:dyDescent="0.3">
      <c r="A31" s="10" t="s">
        <v>1974</v>
      </c>
      <c r="B31" s="10" t="s">
        <v>637</v>
      </c>
      <c r="C31" s="10" t="s">
        <v>1985</v>
      </c>
      <c r="D31" s="10" t="s">
        <v>1986</v>
      </c>
      <c r="E31" s="10"/>
      <c r="F31" t="s">
        <v>2662</v>
      </c>
      <c r="G31" s="10" t="s">
        <v>1987</v>
      </c>
      <c r="H31" s="10" t="s">
        <v>1988</v>
      </c>
      <c r="I31" s="10"/>
      <c r="J31" s="10" t="s">
        <v>63</v>
      </c>
      <c r="K31" s="10"/>
      <c r="L31" s="10">
        <v>6</v>
      </c>
      <c r="M31" s="10">
        <v>12</v>
      </c>
      <c r="N31" s="10"/>
      <c r="O31" s="10">
        <v>6897</v>
      </c>
      <c r="P31" s="10"/>
      <c r="Q31" s="10">
        <v>7904</v>
      </c>
      <c r="R31" s="10"/>
      <c r="S31" s="10"/>
      <c r="T31" s="10"/>
      <c r="U31" s="25">
        <f>(6468+7240+6055+6426)/4</f>
        <v>6547.25</v>
      </c>
      <c r="V31" s="25"/>
      <c r="W31" s="10"/>
      <c r="X31" s="10"/>
      <c r="Y31" s="10"/>
      <c r="Z31" s="10"/>
      <c r="AA31" s="10"/>
      <c r="AB31" s="10"/>
      <c r="AC31" s="10"/>
      <c r="AD31" s="10"/>
      <c r="AE31" s="10" t="s">
        <v>2267</v>
      </c>
      <c r="AF31" s="10"/>
      <c r="AG31" s="10">
        <v>0.7</v>
      </c>
      <c r="AH31" s="10"/>
      <c r="AI31" s="14">
        <f t="shared" si="0"/>
        <v>1.1460055096418733</v>
      </c>
      <c r="AJ31" s="10"/>
      <c r="AK31" s="10"/>
      <c r="AL31" s="10"/>
      <c r="AM31" s="10"/>
      <c r="AN31" s="10"/>
      <c r="AO31" s="14">
        <f t="shared" si="10"/>
        <v>1.1460055096418733</v>
      </c>
      <c r="AP31" s="14"/>
      <c r="AQ31" s="14"/>
      <c r="AR31" s="14"/>
      <c r="AS31" s="14"/>
      <c r="AT31" s="14"/>
      <c r="AU31" s="14"/>
      <c r="AV31" s="10">
        <f>320*0.1+400*0.22+12+54</f>
        <v>186</v>
      </c>
      <c r="AW31" s="10" t="s">
        <v>2037</v>
      </c>
      <c r="AX31" s="10" t="s">
        <v>3</v>
      </c>
      <c r="AY31" s="10" t="s">
        <v>2</v>
      </c>
      <c r="AZ31" s="10" t="s">
        <v>2</v>
      </c>
      <c r="BA31" s="10" t="s">
        <v>2</v>
      </c>
      <c r="BB31" s="10" t="s">
        <v>2416</v>
      </c>
    </row>
    <row r="32" spans="1:61" s="10" customFormat="1" x14ac:dyDescent="0.3">
      <c r="A32" s="26" t="s">
        <v>2005</v>
      </c>
      <c r="B32" s="10" t="s">
        <v>29</v>
      </c>
      <c r="C32" s="10" t="s">
        <v>2007</v>
      </c>
      <c r="D32" s="10" t="s">
        <v>2006</v>
      </c>
      <c r="E32" s="10">
        <v>2003</v>
      </c>
      <c r="F32" t="s">
        <v>2662</v>
      </c>
      <c r="G32" s="10" t="s">
        <v>2008</v>
      </c>
      <c r="H32" s="10" t="s">
        <v>2009</v>
      </c>
      <c r="I32" s="10" t="s">
        <v>1624</v>
      </c>
      <c r="J32" s="10" t="s">
        <v>53</v>
      </c>
      <c r="K32" s="10" t="s">
        <v>2010</v>
      </c>
      <c r="L32" s="10">
        <v>4</v>
      </c>
      <c r="M32" s="10">
        <v>4</v>
      </c>
      <c r="O32" s="10">
        <v>4.1399999999999997</v>
      </c>
      <c r="Q32" s="10">
        <v>3.73</v>
      </c>
      <c r="W32" s="10">
        <v>7.21</v>
      </c>
      <c r="X32" s="10">
        <v>0.62</v>
      </c>
      <c r="AD32" s="10">
        <v>239</v>
      </c>
      <c r="AE32" s="10" t="s">
        <v>2529</v>
      </c>
      <c r="AG32" s="10">
        <v>0.7</v>
      </c>
      <c r="AI32" s="14">
        <f t="shared" si="0"/>
        <v>0.90096618357487934</v>
      </c>
      <c r="AJ32" s="33">
        <f t="shared" ref="AJ32:AJ43" si="13">X32/W32</f>
        <v>8.5991678224687937E-2</v>
      </c>
      <c r="AK32" s="33"/>
      <c r="AL32" s="14">
        <f>$AD32*0.53*0.7*95.5/10000</f>
        <v>0.84678894999999998</v>
      </c>
      <c r="AM32" s="14">
        <f>$AD32*0.53*0.7*33/10000</f>
        <v>0.29260769999999997</v>
      </c>
      <c r="AN32" s="14">
        <f>$AD32*0.53*0.7*158/10000</f>
        <v>1.4009701999999999</v>
      </c>
      <c r="AO32" s="14">
        <f t="shared" si="10"/>
        <v>1.7477551335748793</v>
      </c>
      <c r="AP32" s="14">
        <f t="shared" si="11"/>
        <v>1.1935738835748793</v>
      </c>
      <c r="AQ32" s="14">
        <f t="shared" si="12"/>
        <v>2.3019363835748794</v>
      </c>
      <c r="AR32" s="14"/>
      <c r="AS32" s="14"/>
      <c r="AT32" s="14"/>
      <c r="AU32" s="14"/>
      <c r="AV32" s="10">
        <f>0.35*(150+153)</f>
        <v>106.05</v>
      </c>
      <c r="AW32" s="10" t="s">
        <v>14</v>
      </c>
      <c r="AX32" s="10" t="s">
        <v>3</v>
      </c>
      <c r="AZ32" s="10" t="s">
        <v>2</v>
      </c>
      <c r="BA32" s="10" t="s">
        <v>3</v>
      </c>
      <c r="BB32" s="10" t="s">
        <v>2016</v>
      </c>
    </row>
    <row r="33" spans="1:54" s="10" customFormat="1" x14ac:dyDescent="0.3">
      <c r="A33" s="26" t="s">
        <v>2005</v>
      </c>
      <c r="B33" s="10" t="s">
        <v>29</v>
      </c>
      <c r="C33" s="10" t="s">
        <v>2007</v>
      </c>
      <c r="D33" s="10" t="s">
        <v>2006</v>
      </c>
      <c r="E33" s="10">
        <v>2003</v>
      </c>
      <c r="F33" t="s">
        <v>2662</v>
      </c>
      <c r="G33" s="10" t="s">
        <v>2008</v>
      </c>
      <c r="H33" s="10" t="s">
        <v>2009</v>
      </c>
      <c r="I33" s="10" t="s">
        <v>1931</v>
      </c>
      <c r="J33" s="10" t="s">
        <v>53</v>
      </c>
      <c r="K33" s="10" t="s">
        <v>2010</v>
      </c>
      <c r="L33" s="10">
        <v>4</v>
      </c>
      <c r="M33" s="10">
        <v>4</v>
      </c>
      <c r="O33" s="10">
        <v>4.71</v>
      </c>
      <c r="Q33" s="10">
        <v>3.77</v>
      </c>
      <c r="W33" s="10">
        <v>8.85</v>
      </c>
      <c r="X33" s="10">
        <v>0.91</v>
      </c>
      <c r="AD33" s="10">
        <v>283</v>
      </c>
      <c r="AE33" s="10" t="s">
        <v>2279</v>
      </c>
      <c r="AG33" s="10">
        <v>0.7</v>
      </c>
      <c r="AI33" s="14">
        <f t="shared" si="0"/>
        <v>0.8004246284501062</v>
      </c>
      <c r="AJ33" s="33">
        <f t="shared" si="13"/>
        <v>0.10282485875706215</v>
      </c>
      <c r="AK33" s="33"/>
      <c r="AL33" s="14">
        <f t="shared" ref="AL33:AL43" si="14">$AD33*0.53*0.7*95.5/10000</f>
        <v>1.00268315</v>
      </c>
      <c r="AM33" s="14">
        <f t="shared" ref="AM33:AM43" si="15">$AD33*0.53*0.7*33/10000</f>
        <v>0.34647689999999998</v>
      </c>
      <c r="AN33" s="14">
        <f t="shared" ref="AN33:AN43" si="16">$AD33*0.53*0.7*158/10000</f>
        <v>1.6588894000000001</v>
      </c>
      <c r="AO33" s="14">
        <f t="shared" si="10"/>
        <v>1.8031077784501062</v>
      </c>
      <c r="AP33" s="14">
        <f t="shared" si="11"/>
        <v>1.1469015284501061</v>
      </c>
      <c r="AQ33" s="14">
        <f t="shared" si="12"/>
        <v>2.4593140284501063</v>
      </c>
      <c r="AR33" s="14"/>
      <c r="AS33" s="14"/>
      <c r="AT33" s="14"/>
      <c r="AU33" s="14"/>
      <c r="AV33" s="10">
        <f>0.35*(150+153)</f>
        <v>106.05</v>
      </c>
      <c r="AW33" s="10" t="s">
        <v>14</v>
      </c>
      <c r="AX33" s="10" t="s">
        <v>3</v>
      </c>
      <c r="AZ33" s="10" t="s">
        <v>2</v>
      </c>
      <c r="BA33" s="10" t="s">
        <v>3</v>
      </c>
      <c r="BB33" s="10" t="s">
        <v>2016</v>
      </c>
    </row>
    <row r="34" spans="1:54" s="10" customFormat="1" x14ac:dyDescent="0.3">
      <c r="A34" s="26" t="s">
        <v>2005</v>
      </c>
      <c r="B34" s="10" t="s">
        <v>29</v>
      </c>
      <c r="C34" s="10" t="s">
        <v>2007</v>
      </c>
      <c r="D34" s="10" t="s">
        <v>2006</v>
      </c>
      <c r="E34" s="10">
        <v>2004</v>
      </c>
      <c r="F34" t="s">
        <v>2662</v>
      </c>
      <c r="G34" s="10" t="s">
        <v>2008</v>
      </c>
      <c r="H34" s="10" t="s">
        <v>2009</v>
      </c>
      <c r="I34" s="10" t="s">
        <v>1624</v>
      </c>
      <c r="J34" s="10" t="s">
        <v>53</v>
      </c>
      <c r="K34" s="10" t="s">
        <v>2010</v>
      </c>
      <c r="L34" s="10">
        <v>4</v>
      </c>
      <c r="M34" s="10">
        <v>4</v>
      </c>
      <c r="O34" s="10">
        <v>0.46</v>
      </c>
      <c r="Q34" s="10">
        <v>0.55000000000000004</v>
      </c>
      <c r="W34" s="10">
        <v>6.67</v>
      </c>
      <c r="X34" s="10">
        <v>0.18</v>
      </c>
      <c r="AD34" s="10">
        <v>298</v>
      </c>
      <c r="AE34" s="10" t="s">
        <v>2279</v>
      </c>
      <c r="AG34" s="10">
        <v>0.7</v>
      </c>
      <c r="AI34" s="14">
        <f t="shared" si="0"/>
        <v>1.1956521739130435</v>
      </c>
      <c r="AJ34" s="33">
        <f t="shared" si="13"/>
        <v>2.6986506746626684E-2</v>
      </c>
      <c r="AK34" s="33"/>
      <c r="AL34" s="14">
        <f t="shared" si="14"/>
        <v>1.0558288999999998</v>
      </c>
      <c r="AM34" s="14">
        <f t="shared" si="15"/>
        <v>0.36484139999999998</v>
      </c>
      <c r="AN34" s="14">
        <f t="shared" si="16"/>
        <v>1.7468163999999997</v>
      </c>
      <c r="AO34" s="14">
        <f t="shared" si="10"/>
        <v>2.2514810739130433</v>
      </c>
      <c r="AP34" s="14">
        <f t="shared" si="11"/>
        <v>1.5604935739130434</v>
      </c>
      <c r="AQ34" s="14">
        <f t="shared" si="12"/>
        <v>2.9424685739130432</v>
      </c>
      <c r="AR34" s="14"/>
      <c r="AS34" s="13"/>
      <c r="AT34" s="13"/>
      <c r="AU34" s="13"/>
      <c r="AV34" s="10">
        <f>0.35*(142+118)</f>
        <v>91</v>
      </c>
      <c r="AW34" s="10" t="s">
        <v>14</v>
      </c>
      <c r="AX34" s="10" t="s">
        <v>3</v>
      </c>
      <c r="AZ34" t="s">
        <v>2</v>
      </c>
      <c r="BA34" s="10" t="s">
        <v>3</v>
      </c>
      <c r="BB34" s="10" t="s">
        <v>2016</v>
      </c>
    </row>
    <row r="35" spans="1:54" s="10" customFormat="1" x14ac:dyDescent="0.3">
      <c r="A35" s="26" t="s">
        <v>2005</v>
      </c>
      <c r="B35" s="10" t="s">
        <v>29</v>
      </c>
      <c r="C35" s="10" t="s">
        <v>2007</v>
      </c>
      <c r="D35" s="10" t="s">
        <v>2006</v>
      </c>
      <c r="E35" s="10">
        <v>2004</v>
      </c>
      <c r="F35" t="s">
        <v>2662</v>
      </c>
      <c r="G35" s="10" t="s">
        <v>2008</v>
      </c>
      <c r="H35" s="10" t="s">
        <v>2009</v>
      </c>
      <c r="I35" s="10" t="s">
        <v>1931</v>
      </c>
      <c r="J35" s="10" t="s">
        <v>53</v>
      </c>
      <c r="K35" s="10" t="s">
        <v>2010</v>
      </c>
      <c r="L35" s="10">
        <v>4</v>
      </c>
      <c r="M35" s="10">
        <v>4</v>
      </c>
      <c r="O35" s="10">
        <v>1.2</v>
      </c>
      <c r="Q35" s="10">
        <v>0.59</v>
      </c>
      <c r="W35" s="10">
        <v>6.95</v>
      </c>
      <c r="X35" s="10">
        <v>0.6</v>
      </c>
      <c r="AD35" s="10">
        <v>604</v>
      </c>
      <c r="AE35" s="10" t="s">
        <v>2279</v>
      </c>
      <c r="AG35" s="10">
        <v>0.7</v>
      </c>
      <c r="AI35" s="14">
        <f t="shared" si="0"/>
        <v>0.49166666666666664</v>
      </c>
      <c r="AJ35" s="33">
        <f t="shared" si="13"/>
        <v>8.6330935251798552E-2</v>
      </c>
      <c r="AK35" s="33"/>
      <c r="AL35" s="14">
        <f t="shared" si="14"/>
        <v>2.1400022000000001</v>
      </c>
      <c r="AM35" s="14">
        <f t="shared" si="15"/>
        <v>0.73947719999999995</v>
      </c>
      <c r="AN35" s="14">
        <f t="shared" si="16"/>
        <v>3.5405271999999997</v>
      </c>
      <c r="AO35" s="14">
        <f t="shared" si="10"/>
        <v>2.6316688666666668</v>
      </c>
      <c r="AP35" s="14">
        <f t="shared" si="11"/>
        <v>1.2311438666666665</v>
      </c>
      <c r="AQ35" s="14">
        <f t="shared" si="12"/>
        <v>4.0321938666666659</v>
      </c>
      <c r="AR35" s="14"/>
      <c r="AS35" s="13"/>
      <c r="AT35" s="13"/>
      <c r="AU35" s="13"/>
      <c r="AV35" s="10">
        <f>0.35*(142+118)</f>
        <v>91</v>
      </c>
      <c r="AW35" s="10" t="s">
        <v>14</v>
      </c>
      <c r="AX35" s="10" t="s">
        <v>3</v>
      </c>
      <c r="AZ35" t="s">
        <v>2</v>
      </c>
      <c r="BA35" s="10" t="s">
        <v>3</v>
      </c>
      <c r="BB35" s="10" t="s">
        <v>2016</v>
      </c>
    </row>
    <row r="36" spans="1:54" s="10" customFormat="1" x14ac:dyDescent="0.3">
      <c r="A36" s="26" t="s">
        <v>2005</v>
      </c>
      <c r="B36" s="10" t="s">
        <v>29</v>
      </c>
      <c r="C36" s="10" t="s">
        <v>2007</v>
      </c>
      <c r="D36" s="10" t="s">
        <v>2006</v>
      </c>
      <c r="E36" s="10">
        <v>2005</v>
      </c>
      <c r="F36" t="s">
        <v>2662</v>
      </c>
      <c r="G36" s="10" t="s">
        <v>2008</v>
      </c>
      <c r="H36" s="10" t="s">
        <v>2009</v>
      </c>
      <c r="I36" s="10" t="s">
        <v>1624</v>
      </c>
      <c r="J36" s="10" t="s">
        <v>47</v>
      </c>
      <c r="K36" s="10" t="s">
        <v>2010</v>
      </c>
      <c r="L36" s="10">
        <v>4</v>
      </c>
      <c r="M36" s="10">
        <v>4</v>
      </c>
      <c r="O36" s="10">
        <v>6.43</v>
      </c>
      <c r="Q36" s="10">
        <v>7.46</v>
      </c>
      <c r="W36" s="10">
        <v>4.21</v>
      </c>
      <c r="X36" s="10">
        <v>0.02</v>
      </c>
      <c r="AD36" s="10">
        <v>76</v>
      </c>
      <c r="AE36" s="10" t="s">
        <v>2279</v>
      </c>
      <c r="AG36" s="10">
        <v>0.7</v>
      </c>
      <c r="AI36" s="14">
        <f t="shared" si="0"/>
        <v>1.1601866251944013</v>
      </c>
      <c r="AJ36" s="33">
        <f t="shared" si="13"/>
        <v>4.7505938242280287E-3</v>
      </c>
      <c r="AK36" s="33"/>
      <c r="AL36" s="14">
        <f t="shared" si="14"/>
        <v>0.26927180000000001</v>
      </c>
      <c r="AM36" s="14">
        <f t="shared" si="15"/>
        <v>9.3046799999999999E-2</v>
      </c>
      <c r="AN36" s="14">
        <f t="shared" si="16"/>
        <v>0.44549679999999997</v>
      </c>
      <c r="AO36" s="14">
        <f t="shared" si="10"/>
        <v>1.4294584251944014</v>
      </c>
      <c r="AP36" s="14">
        <f t="shared" si="11"/>
        <v>1.2532334251944013</v>
      </c>
      <c r="AQ36" s="14">
        <f t="shared" si="12"/>
        <v>1.6056834251944012</v>
      </c>
      <c r="AR36" s="14"/>
      <c r="AS36" s="13"/>
      <c r="AT36" s="13"/>
      <c r="AU36" s="13"/>
      <c r="AV36" s="10">
        <f>0.35*(325+147)+292*0.18</f>
        <v>217.76</v>
      </c>
      <c r="AW36" s="10" t="s">
        <v>14</v>
      </c>
      <c r="AX36" s="10" t="s">
        <v>3</v>
      </c>
      <c r="AZ36" t="s">
        <v>2</v>
      </c>
      <c r="BA36" s="10" t="s">
        <v>3</v>
      </c>
      <c r="BB36" s="10" t="s">
        <v>2016</v>
      </c>
    </row>
    <row r="37" spans="1:54" s="10" customFormat="1" x14ac:dyDescent="0.3">
      <c r="A37" s="26" t="s">
        <v>2005</v>
      </c>
      <c r="B37" s="10" t="s">
        <v>29</v>
      </c>
      <c r="C37" s="10" t="s">
        <v>2007</v>
      </c>
      <c r="D37" s="10" t="s">
        <v>2006</v>
      </c>
      <c r="E37" s="10">
        <v>2005</v>
      </c>
      <c r="F37" t="s">
        <v>2662</v>
      </c>
      <c r="G37" s="10" t="s">
        <v>2008</v>
      </c>
      <c r="H37" s="10" t="s">
        <v>2009</v>
      </c>
      <c r="I37" s="10" t="s">
        <v>1931</v>
      </c>
      <c r="J37" s="10" t="s">
        <v>47</v>
      </c>
      <c r="K37" s="10" t="s">
        <v>2010</v>
      </c>
      <c r="L37" s="10">
        <v>4</v>
      </c>
      <c r="M37" s="10">
        <v>4</v>
      </c>
      <c r="O37" s="10">
        <v>8.6300000000000008</v>
      </c>
      <c r="Q37" s="10">
        <v>6.74</v>
      </c>
      <c r="W37" s="10">
        <v>5.28</v>
      </c>
      <c r="X37" s="10">
        <v>0.04</v>
      </c>
      <c r="AD37" s="10">
        <v>163</v>
      </c>
      <c r="AE37" s="10" t="s">
        <v>2279</v>
      </c>
      <c r="AG37" s="10">
        <v>0.7</v>
      </c>
      <c r="AI37" s="14">
        <f t="shared" si="0"/>
        <v>0.78099652375434525</v>
      </c>
      <c r="AJ37" s="33">
        <f t="shared" si="13"/>
        <v>7.575757575757576E-3</v>
      </c>
      <c r="AK37" s="33"/>
      <c r="AL37" s="14">
        <f t="shared" si="14"/>
        <v>0.57751714999999992</v>
      </c>
      <c r="AM37" s="14">
        <f t="shared" si="15"/>
        <v>0.19956089999999999</v>
      </c>
      <c r="AN37" s="14">
        <f t="shared" si="16"/>
        <v>0.95547340000000003</v>
      </c>
      <c r="AO37" s="14">
        <f t="shared" si="10"/>
        <v>1.3585136737543451</v>
      </c>
      <c r="AP37" s="14">
        <f t="shared" si="11"/>
        <v>0.98055742375434529</v>
      </c>
      <c r="AQ37" s="14">
        <f t="shared" si="12"/>
        <v>1.7364699237543453</v>
      </c>
      <c r="AR37" s="14"/>
      <c r="AS37" s="13"/>
      <c r="AT37" s="13"/>
      <c r="AU37" s="13"/>
      <c r="AV37" s="10">
        <f>0.35*(325+147)+292*0.18</f>
        <v>217.76</v>
      </c>
      <c r="AW37" s="10" t="s">
        <v>14</v>
      </c>
      <c r="AX37" s="10" t="s">
        <v>3</v>
      </c>
      <c r="AZ37" t="s">
        <v>2</v>
      </c>
      <c r="BA37" s="10" t="s">
        <v>3</v>
      </c>
      <c r="BB37" s="10" t="s">
        <v>2016</v>
      </c>
    </row>
    <row r="38" spans="1:54" s="10" customFormat="1" x14ac:dyDescent="0.3">
      <c r="A38" s="26" t="s">
        <v>2005</v>
      </c>
      <c r="B38" s="10" t="s">
        <v>29</v>
      </c>
      <c r="C38" s="10" t="s">
        <v>2007</v>
      </c>
      <c r="D38" s="10" t="s">
        <v>2006</v>
      </c>
      <c r="E38" s="10">
        <v>2003</v>
      </c>
      <c r="F38" t="s">
        <v>2662</v>
      </c>
      <c r="G38" s="10" t="s">
        <v>2008</v>
      </c>
      <c r="H38" s="10" t="s">
        <v>2009</v>
      </c>
      <c r="I38" s="10" t="s">
        <v>1624</v>
      </c>
      <c r="J38" s="10" t="s">
        <v>516</v>
      </c>
      <c r="K38" s="10" t="s">
        <v>56</v>
      </c>
      <c r="L38" s="10">
        <v>4</v>
      </c>
      <c r="M38" s="10">
        <v>4</v>
      </c>
      <c r="O38" s="10">
        <v>2.75</v>
      </c>
      <c r="Q38" s="10">
        <v>2.63</v>
      </c>
      <c r="W38" s="10">
        <v>7.29</v>
      </c>
      <c r="X38" s="10">
        <v>0.38</v>
      </c>
      <c r="AD38" s="10">
        <v>286</v>
      </c>
      <c r="AE38" s="10" t="s">
        <v>2279</v>
      </c>
      <c r="AG38" s="10">
        <v>0.7</v>
      </c>
      <c r="AI38" s="14">
        <f t="shared" si="0"/>
        <v>0.9563636363636363</v>
      </c>
      <c r="AJ38" s="33">
        <f t="shared" si="13"/>
        <v>5.2126200274348423E-2</v>
      </c>
      <c r="AK38" s="33"/>
      <c r="AL38" s="14">
        <f t="shared" si="14"/>
        <v>1.0133123000000002</v>
      </c>
      <c r="AM38" s="14">
        <f t="shared" si="15"/>
        <v>0.35014980000000007</v>
      </c>
      <c r="AN38" s="14">
        <f t="shared" si="16"/>
        <v>1.6764748</v>
      </c>
      <c r="AO38" s="14">
        <f t="shared" si="10"/>
        <v>1.9696759363636365</v>
      </c>
      <c r="AP38" s="14">
        <f t="shared" si="11"/>
        <v>1.3065134363636364</v>
      </c>
      <c r="AQ38" s="14">
        <f t="shared" si="12"/>
        <v>2.6328384363636363</v>
      </c>
      <c r="AR38" s="14"/>
      <c r="AS38" s="13"/>
      <c r="AT38" s="13"/>
      <c r="AU38" s="13"/>
      <c r="AV38" s="10">
        <f>0.35*(132+153)</f>
        <v>99.75</v>
      </c>
      <c r="AW38" s="10" t="s">
        <v>14</v>
      </c>
      <c r="AX38" s="10" t="s">
        <v>3</v>
      </c>
      <c r="AZ38" t="s">
        <v>2</v>
      </c>
      <c r="BA38" s="10" t="s">
        <v>3</v>
      </c>
      <c r="BB38" s="10" t="s">
        <v>2016</v>
      </c>
    </row>
    <row r="39" spans="1:54" s="10" customFormat="1" x14ac:dyDescent="0.3">
      <c r="A39" s="26" t="s">
        <v>2005</v>
      </c>
      <c r="B39" s="10" t="s">
        <v>29</v>
      </c>
      <c r="C39" s="10" t="s">
        <v>2007</v>
      </c>
      <c r="D39" s="10" t="s">
        <v>2006</v>
      </c>
      <c r="E39" s="10">
        <v>2003</v>
      </c>
      <c r="F39" t="s">
        <v>2662</v>
      </c>
      <c r="G39" s="10" t="s">
        <v>2008</v>
      </c>
      <c r="H39" s="10" t="s">
        <v>2009</v>
      </c>
      <c r="I39" s="10" t="s">
        <v>1931</v>
      </c>
      <c r="J39" s="10" t="s">
        <v>516</v>
      </c>
      <c r="K39" s="10" t="s">
        <v>56</v>
      </c>
      <c r="L39" s="10">
        <v>4</v>
      </c>
      <c r="M39" s="10">
        <v>4</v>
      </c>
      <c r="O39" s="10">
        <v>2.78</v>
      </c>
      <c r="Q39" s="10">
        <v>2.65</v>
      </c>
      <c r="W39" s="10">
        <v>13.23</v>
      </c>
      <c r="X39" s="10">
        <v>0.9</v>
      </c>
      <c r="AD39" s="10">
        <v>335</v>
      </c>
      <c r="AE39" s="10" t="s">
        <v>2279</v>
      </c>
      <c r="AG39" s="10">
        <v>0.7</v>
      </c>
      <c r="AI39" s="14">
        <f t="shared" si="0"/>
        <v>0.95323741007194251</v>
      </c>
      <c r="AJ39" s="33">
        <f t="shared" si="13"/>
        <v>6.8027210884353748E-2</v>
      </c>
      <c r="AK39" s="33"/>
      <c r="AL39" s="14">
        <f t="shared" si="14"/>
        <v>1.1869217499999998</v>
      </c>
      <c r="AM39" s="14">
        <f t="shared" si="15"/>
        <v>0.41014049999999996</v>
      </c>
      <c r="AN39" s="14">
        <f t="shared" si="16"/>
        <v>1.963703</v>
      </c>
      <c r="AO39" s="14">
        <f t="shared" si="10"/>
        <v>2.1401591600719421</v>
      </c>
      <c r="AP39" s="14">
        <f t="shared" si="11"/>
        <v>1.3633779100719425</v>
      </c>
      <c r="AQ39" s="14">
        <f t="shared" si="12"/>
        <v>2.9169404100719425</v>
      </c>
      <c r="AR39" s="14"/>
      <c r="AS39" s="13"/>
      <c r="AT39" s="13"/>
      <c r="AU39" s="13"/>
      <c r="AV39" s="10">
        <f>0.35*(132+153)</f>
        <v>99.75</v>
      </c>
      <c r="AW39" s="10" t="s">
        <v>14</v>
      </c>
      <c r="AX39" s="10" t="s">
        <v>3</v>
      </c>
      <c r="AZ39" t="s">
        <v>2</v>
      </c>
      <c r="BA39" s="10" t="s">
        <v>3</v>
      </c>
      <c r="BB39" s="10" t="s">
        <v>2016</v>
      </c>
    </row>
    <row r="40" spans="1:54" s="10" customFormat="1" x14ac:dyDescent="0.3">
      <c r="A40" s="26" t="s">
        <v>2005</v>
      </c>
      <c r="B40" s="10" t="s">
        <v>29</v>
      </c>
      <c r="C40" s="10" t="s">
        <v>2007</v>
      </c>
      <c r="D40" s="10" t="s">
        <v>2006</v>
      </c>
      <c r="E40" s="10">
        <v>2004</v>
      </c>
      <c r="F40" t="s">
        <v>2662</v>
      </c>
      <c r="G40" s="10" t="s">
        <v>2008</v>
      </c>
      <c r="H40" s="10" t="s">
        <v>2009</v>
      </c>
      <c r="I40" s="10" t="s">
        <v>1624</v>
      </c>
      <c r="J40" s="10" t="s">
        <v>516</v>
      </c>
      <c r="K40" s="10" t="s">
        <v>56</v>
      </c>
      <c r="L40" s="10">
        <v>4</v>
      </c>
      <c r="M40" s="10">
        <v>4</v>
      </c>
      <c r="O40" s="10">
        <v>2.62</v>
      </c>
      <c r="Q40" s="10">
        <v>3.03</v>
      </c>
      <c r="W40" s="10">
        <v>8.7200000000000006</v>
      </c>
      <c r="X40" s="10">
        <v>0.36</v>
      </c>
      <c r="AD40" s="10">
        <v>120</v>
      </c>
      <c r="AE40" s="10" t="s">
        <v>2279</v>
      </c>
      <c r="AG40" s="10">
        <v>0.7</v>
      </c>
      <c r="AI40" s="14">
        <f t="shared" si="0"/>
        <v>1.1564885496183206</v>
      </c>
      <c r="AJ40" s="33">
        <f t="shared" si="13"/>
        <v>4.1284403669724766E-2</v>
      </c>
      <c r="AK40" s="33"/>
      <c r="AL40" s="14">
        <f t="shared" si="14"/>
        <v>0.42516599999999999</v>
      </c>
      <c r="AM40" s="14">
        <f t="shared" si="15"/>
        <v>0.14691599999999999</v>
      </c>
      <c r="AN40" s="14">
        <f t="shared" si="16"/>
        <v>0.70341599999999993</v>
      </c>
      <c r="AO40" s="14">
        <f t="shared" si="10"/>
        <v>1.5816545496183205</v>
      </c>
      <c r="AP40" s="14">
        <f t="shared" si="11"/>
        <v>1.3034045496183206</v>
      </c>
      <c r="AQ40" s="14">
        <f t="shared" si="12"/>
        <v>1.8599045496183204</v>
      </c>
      <c r="AR40" s="14"/>
      <c r="AS40" s="13"/>
      <c r="AT40" s="13"/>
      <c r="AU40" s="13"/>
      <c r="AV40" s="10">
        <f>0.35*(148+118)</f>
        <v>93.1</v>
      </c>
      <c r="AW40" s="10" t="s">
        <v>14</v>
      </c>
      <c r="AX40" s="10" t="s">
        <v>3</v>
      </c>
      <c r="AZ40" t="s">
        <v>2</v>
      </c>
      <c r="BA40" s="10" t="s">
        <v>3</v>
      </c>
      <c r="BB40" s="10" t="s">
        <v>2016</v>
      </c>
    </row>
    <row r="41" spans="1:54" s="10" customFormat="1" x14ac:dyDescent="0.3">
      <c r="A41" s="26" t="s">
        <v>2005</v>
      </c>
      <c r="B41" s="10" t="s">
        <v>29</v>
      </c>
      <c r="C41" s="10" t="s">
        <v>2007</v>
      </c>
      <c r="D41" s="10" t="s">
        <v>2006</v>
      </c>
      <c r="E41" s="10">
        <v>2004</v>
      </c>
      <c r="F41" t="s">
        <v>2662</v>
      </c>
      <c r="G41" s="10" t="s">
        <v>2008</v>
      </c>
      <c r="H41" s="10" t="s">
        <v>2009</v>
      </c>
      <c r="I41" s="10" t="s">
        <v>1931</v>
      </c>
      <c r="J41" s="10" t="s">
        <v>516</v>
      </c>
      <c r="K41" s="10" t="s">
        <v>56</v>
      </c>
      <c r="L41" s="10">
        <v>4</v>
      </c>
      <c r="M41" s="10">
        <v>4</v>
      </c>
      <c r="O41" s="10">
        <v>2.0699999999999998</v>
      </c>
      <c r="Q41" s="10">
        <v>2.58</v>
      </c>
      <c r="W41" s="10">
        <v>7.49</v>
      </c>
      <c r="X41" s="10">
        <v>0.2</v>
      </c>
      <c r="AD41" s="10">
        <v>181</v>
      </c>
      <c r="AE41" s="10" t="s">
        <v>2279</v>
      </c>
      <c r="AG41" s="10">
        <v>0.7</v>
      </c>
      <c r="AI41" s="14">
        <f t="shared" si="0"/>
        <v>1.2463768115942031</v>
      </c>
      <c r="AJ41" s="33">
        <f t="shared" si="13"/>
        <v>2.67022696929239E-2</v>
      </c>
      <c r="AK41" s="33"/>
      <c r="AL41" s="14">
        <f t="shared" si="14"/>
        <v>0.64129204999999989</v>
      </c>
      <c r="AM41" s="14">
        <f t="shared" si="15"/>
        <v>0.22159829999999997</v>
      </c>
      <c r="AN41" s="14">
        <f t="shared" si="16"/>
        <v>1.0609858000000001</v>
      </c>
      <c r="AO41" s="14">
        <f t="shared" si="10"/>
        <v>1.887668861594203</v>
      </c>
      <c r="AP41" s="14">
        <f t="shared" si="11"/>
        <v>1.467975111594203</v>
      </c>
      <c r="AQ41" s="14">
        <f t="shared" si="12"/>
        <v>2.3073626115942032</v>
      </c>
      <c r="AR41" s="14"/>
      <c r="AS41" s="13"/>
      <c r="AT41" s="13"/>
      <c r="AU41" s="13"/>
      <c r="AV41" s="10">
        <f>0.35*(148+118)</f>
        <v>93.1</v>
      </c>
      <c r="AW41" s="10" t="s">
        <v>14</v>
      </c>
      <c r="AX41" s="10" t="s">
        <v>3</v>
      </c>
      <c r="AZ41" t="s">
        <v>2</v>
      </c>
      <c r="BA41" s="10" t="s">
        <v>3</v>
      </c>
      <c r="BB41" s="10" t="s">
        <v>2016</v>
      </c>
    </row>
    <row r="42" spans="1:54" s="10" customFormat="1" x14ac:dyDescent="0.3">
      <c r="A42" s="26" t="s">
        <v>2005</v>
      </c>
      <c r="B42" s="10" t="s">
        <v>29</v>
      </c>
      <c r="C42" s="10" t="s">
        <v>2007</v>
      </c>
      <c r="D42" s="10" t="s">
        <v>2006</v>
      </c>
      <c r="E42" s="10">
        <v>2005</v>
      </c>
      <c r="F42" t="s">
        <v>2662</v>
      </c>
      <c r="G42" s="10" t="s">
        <v>2008</v>
      </c>
      <c r="H42" s="10" t="s">
        <v>2009</v>
      </c>
      <c r="I42" s="10" t="s">
        <v>1624</v>
      </c>
      <c r="J42" s="10" t="s">
        <v>516</v>
      </c>
      <c r="K42" s="10" t="s">
        <v>56</v>
      </c>
      <c r="L42" s="10">
        <v>4</v>
      </c>
      <c r="M42" s="10">
        <v>4</v>
      </c>
      <c r="O42" s="10">
        <v>2.71</v>
      </c>
      <c r="Q42" s="10">
        <v>2.67</v>
      </c>
      <c r="W42" s="10">
        <v>9.09</v>
      </c>
      <c r="X42" s="10">
        <v>0.57999999999999996</v>
      </c>
      <c r="AD42" s="10">
        <v>250</v>
      </c>
      <c r="AE42" s="10" t="s">
        <v>2279</v>
      </c>
      <c r="AG42" s="10">
        <v>0.7</v>
      </c>
      <c r="AI42" s="14">
        <f t="shared" si="0"/>
        <v>0.98523985239852396</v>
      </c>
      <c r="AJ42" s="33">
        <f t="shared" si="13"/>
        <v>6.3806380638063806E-2</v>
      </c>
      <c r="AK42" s="33"/>
      <c r="AL42" s="14">
        <f t="shared" si="14"/>
        <v>0.88576250000000001</v>
      </c>
      <c r="AM42" s="14">
        <f t="shared" si="15"/>
        <v>0.30607499999999999</v>
      </c>
      <c r="AN42" s="14">
        <f t="shared" si="16"/>
        <v>1.4654499999999999</v>
      </c>
      <c r="AO42" s="14">
        <f t="shared" si="10"/>
        <v>1.871002352398524</v>
      </c>
      <c r="AP42" s="14">
        <f t="shared" si="11"/>
        <v>1.2913148523985241</v>
      </c>
      <c r="AQ42" s="14">
        <f t="shared" si="12"/>
        <v>2.4506898523985239</v>
      </c>
      <c r="AR42" s="14"/>
      <c r="AS42" s="13"/>
      <c r="AT42" s="13"/>
      <c r="AU42" s="13"/>
      <c r="AV42" s="10">
        <f>0.35*(165+147)</f>
        <v>109.19999999999999</v>
      </c>
      <c r="AW42" s="10" t="s">
        <v>14</v>
      </c>
      <c r="AX42" s="10" t="s">
        <v>3</v>
      </c>
      <c r="AZ42" t="s">
        <v>2</v>
      </c>
      <c r="BA42" s="10" t="s">
        <v>3</v>
      </c>
      <c r="BB42" s="10" t="s">
        <v>2016</v>
      </c>
    </row>
    <row r="43" spans="1:54" s="10" customFormat="1" x14ac:dyDescent="0.3">
      <c r="A43" s="26" t="s">
        <v>2005</v>
      </c>
      <c r="B43" s="10" t="s">
        <v>29</v>
      </c>
      <c r="C43" s="10" t="s">
        <v>2007</v>
      </c>
      <c r="D43" s="10" t="s">
        <v>2006</v>
      </c>
      <c r="E43" s="10">
        <v>2005</v>
      </c>
      <c r="F43" t="s">
        <v>2662</v>
      </c>
      <c r="G43" s="10" t="s">
        <v>2008</v>
      </c>
      <c r="H43" s="10" t="s">
        <v>2009</v>
      </c>
      <c r="I43" s="10" t="s">
        <v>1931</v>
      </c>
      <c r="J43" s="10" t="s">
        <v>516</v>
      </c>
      <c r="K43" s="10" t="s">
        <v>56</v>
      </c>
      <c r="L43" s="10">
        <v>4</v>
      </c>
      <c r="M43" s="10">
        <v>4</v>
      </c>
      <c r="O43" s="10">
        <v>2.85</v>
      </c>
      <c r="Q43" s="10">
        <v>2.66</v>
      </c>
      <c r="W43" s="10">
        <v>14.13</v>
      </c>
      <c r="X43" s="10">
        <v>1.26</v>
      </c>
      <c r="AD43" s="10">
        <v>324</v>
      </c>
      <c r="AE43" s="10" t="s">
        <v>2279</v>
      </c>
      <c r="AG43" s="10">
        <v>0.7</v>
      </c>
      <c r="AI43" s="14">
        <f t="shared" si="0"/>
        <v>0.93333333333333335</v>
      </c>
      <c r="AJ43" s="33">
        <f t="shared" si="13"/>
        <v>8.9171974522292988E-2</v>
      </c>
      <c r="AK43" s="33"/>
      <c r="AL43" s="14">
        <f t="shared" si="14"/>
        <v>1.1479482000000001</v>
      </c>
      <c r="AM43" s="14">
        <f t="shared" si="15"/>
        <v>0.3966732</v>
      </c>
      <c r="AN43" s="14">
        <f t="shared" si="16"/>
        <v>1.8992232</v>
      </c>
      <c r="AO43" s="14">
        <f t="shared" si="10"/>
        <v>2.0812815333333337</v>
      </c>
      <c r="AP43" s="14">
        <f t="shared" si="11"/>
        <v>1.3300065333333333</v>
      </c>
      <c r="AQ43" s="14">
        <f t="shared" si="12"/>
        <v>2.8325565333333333</v>
      </c>
      <c r="AR43" s="14"/>
      <c r="AS43" s="13"/>
      <c r="AT43" s="13"/>
      <c r="AU43" s="13"/>
      <c r="AV43" s="10">
        <f>0.35*(165+147)</f>
        <v>109.19999999999999</v>
      </c>
      <c r="AW43" s="10" t="s">
        <v>14</v>
      </c>
      <c r="AX43" s="10" t="s">
        <v>3</v>
      </c>
      <c r="AZ43" t="s">
        <v>2</v>
      </c>
      <c r="BA43" s="10" t="s">
        <v>3</v>
      </c>
      <c r="BB43" s="10" t="s">
        <v>2016</v>
      </c>
    </row>
    <row r="44" spans="1:54" x14ac:dyDescent="0.3">
      <c r="A44" s="26" t="s">
        <v>2017</v>
      </c>
      <c r="B44" s="10" t="s">
        <v>29</v>
      </c>
      <c r="C44" s="10" t="s">
        <v>1679</v>
      </c>
      <c r="D44" s="10" t="s">
        <v>2018</v>
      </c>
      <c r="E44" s="10">
        <v>1999</v>
      </c>
      <c r="F44" t="s">
        <v>2662</v>
      </c>
      <c r="G44" s="10" t="s">
        <v>2019</v>
      </c>
      <c r="H44" s="10" t="s">
        <v>2020</v>
      </c>
      <c r="J44" s="10" t="s">
        <v>2021</v>
      </c>
      <c r="L44" s="10">
        <v>2</v>
      </c>
      <c r="M44" s="10">
        <v>12</v>
      </c>
      <c r="N44" s="10"/>
      <c r="O44" s="10">
        <v>2360</v>
      </c>
      <c r="P44" s="10"/>
      <c r="Q44" s="10">
        <v>1950</v>
      </c>
      <c r="S44" s="10">
        <v>6820</v>
      </c>
      <c r="T44" s="10"/>
      <c r="U44" s="10">
        <v>5290</v>
      </c>
      <c r="V44" s="10"/>
      <c r="X44" s="10"/>
      <c r="Y44" s="10"/>
      <c r="Z44" s="10"/>
      <c r="AA44" s="10"/>
      <c r="AB44" s="10"/>
      <c r="AC44" s="10"/>
      <c r="AD44" s="10"/>
      <c r="AE44" s="10" t="s">
        <v>2265</v>
      </c>
      <c r="AF44" s="10"/>
      <c r="AG44" s="10"/>
      <c r="AH44" s="10"/>
      <c r="AI44" s="14">
        <f t="shared" si="0"/>
        <v>0.82627118644067798</v>
      </c>
      <c r="AJ44" s="14">
        <f t="shared" ref="AJ44:AJ55" si="17">U44/S44</f>
        <v>0.7756598240469208</v>
      </c>
      <c r="AK44" s="14"/>
      <c r="AL44" s="10"/>
      <c r="AM44" s="10"/>
      <c r="AN44" s="10"/>
      <c r="AO44" s="14">
        <f>AI44+AJ44</f>
        <v>1.6019310104875988</v>
      </c>
      <c r="AP44" s="14"/>
      <c r="AQ44" s="14"/>
      <c r="AR44" s="14"/>
      <c r="AS44" s="13"/>
      <c r="AT44" s="13"/>
      <c r="AU44" s="13"/>
      <c r="AV44">
        <v>76</v>
      </c>
      <c r="AW44" s="10" t="s">
        <v>14</v>
      </c>
      <c r="AX44" s="10" t="s">
        <v>3</v>
      </c>
      <c r="AY44" t="s">
        <v>2</v>
      </c>
      <c r="AZ44" t="s">
        <v>2</v>
      </c>
      <c r="BA44" s="10" t="s">
        <v>3</v>
      </c>
      <c r="BB44" s="10" t="s">
        <v>2266</v>
      </c>
    </row>
    <row r="45" spans="1:54" x14ac:dyDescent="0.3">
      <c r="A45" s="26" t="s">
        <v>2017</v>
      </c>
      <c r="B45" s="10" t="s">
        <v>29</v>
      </c>
      <c r="C45" s="10" t="s">
        <v>1679</v>
      </c>
      <c r="D45" s="10" t="s">
        <v>2018</v>
      </c>
      <c r="E45" s="10">
        <v>2000</v>
      </c>
      <c r="F45" t="s">
        <v>2662</v>
      </c>
      <c r="G45" s="10" t="s">
        <v>2019</v>
      </c>
      <c r="H45" s="10" t="s">
        <v>2020</v>
      </c>
      <c r="J45" s="10" t="s">
        <v>2021</v>
      </c>
      <c r="L45" s="10">
        <v>2</v>
      </c>
      <c r="M45" s="10">
        <v>12</v>
      </c>
      <c r="N45" s="10"/>
      <c r="O45" s="10">
        <v>1630</v>
      </c>
      <c r="P45" s="10"/>
      <c r="Q45" s="10">
        <v>2520</v>
      </c>
      <c r="S45" s="10">
        <v>2910</v>
      </c>
      <c r="T45" s="10"/>
      <c r="U45" s="10">
        <v>4730</v>
      </c>
      <c r="V45" s="10"/>
      <c r="X45" s="10"/>
      <c r="Y45" s="10"/>
      <c r="Z45" s="10"/>
      <c r="AA45" s="10"/>
      <c r="AB45" s="10"/>
      <c r="AC45" s="10"/>
      <c r="AD45" s="10"/>
      <c r="AE45" s="10" t="s">
        <v>2265</v>
      </c>
      <c r="AF45" s="10"/>
      <c r="AG45" s="10"/>
      <c r="AH45" s="10"/>
      <c r="AI45" s="14">
        <f t="shared" si="0"/>
        <v>1.5460122699386503</v>
      </c>
      <c r="AJ45" s="14">
        <f t="shared" si="17"/>
        <v>1.6254295532646048</v>
      </c>
      <c r="AK45" s="14"/>
      <c r="AL45" s="10"/>
      <c r="AM45" s="10"/>
      <c r="AN45" s="10"/>
      <c r="AO45" s="14">
        <f>AI45+AJ45</f>
        <v>3.1714418232032551</v>
      </c>
      <c r="AP45" s="14"/>
      <c r="AQ45" s="14"/>
      <c r="AR45" s="14"/>
      <c r="AS45" s="13"/>
      <c r="AT45" s="13"/>
      <c r="AU45" s="13"/>
      <c r="AV45">
        <v>76</v>
      </c>
      <c r="AW45" s="10" t="s">
        <v>14</v>
      </c>
      <c r="AX45" s="10" t="s">
        <v>3</v>
      </c>
      <c r="AY45" t="s">
        <v>2</v>
      </c>
      <c r="AZ45" t="s">
        <v>2</v>
      </c>
      <c r="BA45" s="10" t="s">
        <v>3</v>
      </c>
      <c r="BB45" s="10" t="s">
        <v>2266</v>
      </c>
    </row>
    <row r="46" spans="1:54" x14ac:dyDescent="0.3">
      <c r="A46" s="26" t="s">
        <v>2017</v>
      </c>
      <c r="B46" s="10" t="s">
        <v>29</v>
      </c>
      <c r="C46" s="10" t="s">
        <v>1679</v>
      </c>
      <c r="D46" s="10" t="s">
        <v>2018</v>
      </c>
      <c r="E46" s="10">
        <v>2001</v>
      </c>
      <c r="F46" t="s">
        <v>2662</v>
      </c>
      <c r="G46" s="10" t="s">
        <v>2019</v>
      </c>
      <c r="H46" s="10" t="s">
        <v>2020</v>
      </c>
      <c r="J46" s="10" t="s">
        <v>2021</v>
      </c>
      <c r="L46" s="10">
        <v>2</v>
      </c>
      <c r="M46" s="10">
        <v>12</v>
      </c>
      <c r="N46" s="10"/>
      <c r="O46" s="10">
        <v>3160</v>
      </c>
      <c r="P46" s="10"/>
      <c r="Q46" s="10">
        <v>3310</v>
      </c>
      <c r="S46" s="10">
        <v>5040</v>
      </c>
      <c r="T46" s="10"/>
      <c r="U46" s="10">
        <v>5320</v>
      </c>
      <c r="V46" s="10"/>
      <c r="X46" s="10"/>
      <c r="Y46" s="10"/>
      <c r="Z46" s="10"/>
      <c r="AA46" s="10"/>
      <c r="AB46" s="10"/>
      <c r="AC46" s="10"/>
      <c r="AD46" s="10"/>
      <c r="AE46" s="10" t="s">
        <v>2265</v>
      </c>
      <c r="AF46" s="10"/>
      <c r="AG46" s="10"/>
      <c r="AH46" s="10"/>
      <c r="AI46" s="14">
        <f t="shared" si="0"/>
        <v>1.0474683544303798</v>
      </c>
      <c r="AJ46" s="14">
        <f t="shared" si="17"/>
        <v>1.0555555555555556</v>
      </c>
      <c r="AK46" s="14"/>
      <c r="AL46" s="10"/>
      <c r="AM46" s="10"/>
      <c r="AN46" s="10"/>
      <c r="AO46" s="14">
        <f t="shared" ref="AO46:AO55" si="18">AI46+AJ46</f>
        <v>2.1030239099859354</v>
      </c>
      <c r="AP46" s="14"/>
      <c r="AQ46" s="14"/>
      <c r="AR46" s="14"/>
      <c r="AS46" s="13"/>
      <c r="AT46" s="13"/>
      <c r="AU46" s="13"/>
      <c r="AV46">
        <v>76</v>
      </c>
      <c r="AW46" s="10" t="s">
        <v>14</v>
      </c>
      <c r="AX46" s="10" t="s">
        <v>3</v>
      </c>
      <c r="AY46" t="s">
        <v>2</v>
      </c>
      <c r="AZ46" t="s">
        <v>2</v>
      </c>
      <c r="BA46" s="10" t="s">
        <v>3</v>
      </c>
      <c r="BB46" s="10" t="s">
        <v>2266</v>
      </c>
    </row>
    <row r="47" spans="1:54" x14ac:dyDescent="0.3">
      <c r="A47" s="26" t="s">
        <v>2017</v>
      </c>
      <c r="B47" s="10" t="s">
        <v>29</v>
      </c>
      <c r="C47" s="10" t="s">
        <v>1679</v>
      </c>
      <c r="D47" s="10" t="s">
        <v>2018</v>
      </c>
      <c r="E47" s="10">
        <v>2002</v>
      </c>
      <c r="F47" t="s">
        <v>2662</v>
      </c>
      <c r="G47" s="10" t="s">
        <v>2019</v>
      </c>
      <c r="H47" s="10" t="s">
        <v>2020</v>
      </c>
      <c r="J47" s="10" t="s">
        <v>2021</v>
      </c>
      <c r="L47" s="10">
        <v>2</v>
      </c>
      <c r="M47" s="10">
        <v>12</v>
      </c>
      <c r="N47" s="10"/>
      <c r="S47" s="10">
        <v>1690</v>
      </c>
      <c r="T47" s="10"/>
      <c r="U47" s="10">
        <v>1970</v>
      </c>
      <c r="V47" s="10"/>
      <c r="X47" s="10"/>
      <c r="Y47" s="10"/>
      <c r="Z47" s="10"/>
      <c r="AA47" s="10"/>
      <c r="AB47" s="10"/>
      <c r="AC47" s="10"/>
      <c r="AD47" s="10"/>
      <c r="AE47" s="10" t="s">
        <v>2265</v>
      </c>
      <c r="AF47" s="10"/>
      <c r="AG47" s="10"/>
      <c r="AH47" s="10"/>
      <c r="AI47" s="14"/>
      <c r="AJ47" s="14">
        <f t="shared" si="17"/>
        <v>1.165680473372781</v>
      </c>
      <c r="AK47" s="14"/>
      <c r="AL47" s="10"/>
      <c r="AM47" s="10"/>
      <c r="AN47" s="10"/>
      <c r="AO47" s="14">
        <f t="shared" si="18"/>
        <v>1.165680473372781</v>
      </c>
      <c r="AP47" s="14"/>
      <c r="AQ47" s="14"/>
      <c r="AR47" s="14"/>
      <c r="AS47" s="13"/>
      <c r="AT47" s="13"/>
      <c r="AU47" s="13"/>
      <c r="AV47">
        <v>76</v>
      </c>
      <c r="AW47" s="10" t="s">
        <v>14</v>
      </c>
      <c r="AX47" s="10" t="s">
        <v>3</v>
      </c>
      <c r="AY47" t="s">
        <v>2</v>
      </c>
      <c r="AZ47" t="s">
        <v>2</v>
      </c>
      <c r="BA47" s="10" t="s">
        <v>2</v>
      </c>
      <c r="BB47" s="10" t="s">
        <v>2266</v>
      </c>
    </row>
    <row r="48" spans="1:54" x14ac:dyDescent="0.3">
      <c r="A48" s="26" t="s">
        <v>2017</v>
      </c>
      <c r="B48" s="10" t="s">
        <v>29</v>
      </c>
      <c r="C48" s="10" t="s">
        <v>1679</v>
      </c>
      <c r="D48" s="10" t="s">
        <v>2018</v>
      </c>
      <c r="E48" s="10">
        <v>1999</v>
      </c>
      <c r="F48" t="s">
        <v>2662</v>
      </c>
      <c r="G48" s="10" t="s">
        <v>2019</v>
      </c>
      <c r="H48" s="10" t="s">
        <v>2020</v>
      </c>
      <c r="J48" s="10" t="s">
        <v>2022</v>
      </c>
      <c r="L48" s="10">
        <v>2</v>
      </c>
      <c r="M48" s="10">
        <v>12</v>
      </c>
      <c r="N48" s="10"/>
      <c r="O48" s="10">
        <v>1020</v>
      </c>
      <c r="P48" s="10"/>
      <c r="Q48" s="10">
        <v>1800</v>
      </c>
      <c r="S48" s="10">
        <v>3050</v>
      </c>
      <c r="T48" s="10"/>
      <c r="U48" s="10">
        <v>3590</v>
      </c>
      <c r="V48" s="10"/>
      <c r="X48" s="10"/>
      <c r="Y48" s="10"/>
      <c r="Z48" s="10"/>
      <c r="AA48" s="10"/>
      <c r="AB48" s="10"/>
      <c r="AC48" s="10"/>
      <c r="AD48" s="10"/>
      <c r="AE48" s="10" t="s">
        <v>2265</v>
      </c>
      <c r="AF48" s="10"/>
      <c r="AG48" s="10"/>
      <c r="AH48" s="10"/>
      <c r="AI48" s="14">
        <f>Q48/O48</f>
        <v>1.7647058823529411</v>
      </c>
      <c r="AJ48" s="14">
        <f t="shared" si="17"/>
        <v>1.1770491803278689</v>
      </c>
      <c r="AK48" s="14"/>
      <c r="AL48" s="10"/>
      <c r="AM48" s="10"/>
      <c r="AN48" s="10"/>
      <c r="AO48" s="14">
        <f t="shared" si="18"/>
        <v>2.94175506268081</v>
      </c>
      <c r="AP48" s="14"/>
      <c r="AQ48" s="14"/>
      <c r="AR48" s="14"/>
      <c r="AS48" s="13"/>
      <c r="AT48" s="13"/>
      <c r="AU48" s="13"/>
      <c r="AV48">
        <v>76</v>
      </c>
      <c r="AW48" s="10" t="s">
        <v>14</v>
      </c>
      <c r="AX48" s="10" t="s">
        <v>3</v>
      </c>
      <c r="AY48" t="s">
        <v>2</v>
      </c>
      <c r="AZ48" t="s">
        <v>2</v>
      </c>
      <c r="BA48" s="10" t="s">
        <v>3</v>
      </c>
      <c r="BB48" s="10" t="s">
        <v>2266</v>
      </c>
    </row>
    <row r="49" spans="1:61" x14ac:dyDescent="0.3">
      <c r="A49" s="26" t="s">
        <v>2017</v>
      </c>
      <c r="B49" s="10" t="s">
        <v>29</v>
      </c>
      <c r="C49" s="10" t="s">
        <v>1679</v>
      </c>
      <c r="D49" s="10" t="s">
        <v>2018</v>
      </c>
      <c r="E49" s="10">
        <v>2000</v>
      </c>
      <c r="F49" t="s">
        <v>2662</v>
      </c>
      <c r="G49" s="10" t="s">
        <v>2019</v>
      </c>
      <c r="H49" s="10" t="s">
        <v>2020</v>
      </c>
      <c r="J49" s="10" t="s">
        <v>2022</v>
      </c>
      <c r="L49" s="10">
        <v>2</v>
      </c>
      <c r="M49" s="10">
        <v>12</v>
      </c>
      <c r="N49" s="10"/>
      <c r="O49" s="10">
        <v>2740</v>
      </c>
      <c r="P49" s="10"/>
      <c r="Q49" s="10">
        <v>3450</v>
      </c>
      <c r="S49" s="10">
        <v>4760</v>
      </c>
      <c r="T49" s="10"/>
      <c r="U49" s="10">
        <v>6740</v>
      </c>
      <c r="V49" s="10"/>
      <c r="X49" s="10"/>
      <c r="Y49" s="10"/>
      <c r="Z49" s="10"/>
      <c r="AA49" s="10"/>
      <c r="AB49" s="10"/>
      <c r="AC49" s="10"/>
      <c r="AD49" s="10"/>
      <c r="AE49" s="10" t="s">
        <v>2265</v>
      </c>
      <c r="AF49" s="10"/>
      <c r="AG49" s="10"/>
      <c r="AH49" s="10"/>
      <c r="AI49" s="14">
        <f>Q49/O49</f>
        <v>1.2591240875912408</v>
      </c>
      <c r="AJ49" s="14">
        <f t="shared" si="17"/>
        <v>1.4159663865546219</v>
      </c>
      <c r="AK49" s="14"/>
      <c r="AL49" s="10"/>
      <c r="AM49" s="10"/>
      <c r="AN49" s="10"/>
      <c r="AO49" s="14">
        <f t="shared" si="18"/>
        <v>2.675090474145863</v>
      </c>
      <c r="AP49" s="14"/>
      <c r="AQ49" s="14"/>
      <c r="AR49" s="14"/>
      <c r="AS49" s="13"/>
      <c r="AT49" s="13"/>
      <c r="AU49" s="13"/>
      <c r="AV49">
        <v>76</v>
      </c>
      <c r="AW49" s="10" t="s">
        <v>14</v>
      </c>
      <c r="AX49" s="10" t="s">
        <v>3</v>
      </c>
      <c r="AY49" t="s">
        <v>2</v>
      </c>
      <c r="AZ49" t="s">
        <v>2</v>
      </c>
      <c r="BA49" s="10" t="s">
        <v>3</v>
      </c>
      <c r="BB49" s="10" t="s">
        <v>2266</v>
      </c>
    </row>
    <row r="50" spans="1:61" x14ac:dyDescent="0.3">
      <c r="A50" s="26" t="s">
        <v>2017</v>
      </c>
      <c r="B50" s="10" t="s">
        <v>29</v>
      </c>
      <c r="C50" s="10" t="s">
        <v>1679</v>
      </c>
      <c r="D50" s="10" t="s">
        <v>2018</v>
      </c>
      <c r="E50" s="10">
        <v>2001</v>
      </c>
      <c r="F50" t="s">
        <v>2662</v>
      </c>
      <c r="G50" s="10" t="s">
        <v>2019</v>
      </c>
      <c r="H50" s="10" t="s">
        <v>2020</v>
      </c>
      <c r="J50" s="10" t="s">
        <v>2022</v>
      </c>
      <c r="L50" s="10">
        <v>2</v>
      </c>
      <c r="M50" s="10">
        <v>12</v>
      </c>
      <c r="N50" s="10"/>
      <c r="O50" s="10">
        <v>3640</v>
      </c>
      <c r="P50" s="10"/>
      <c r="Q50" s="10">
        <v>3370</v>
      </c>
      <c r="S50" s="10">
        <v>5740</v>
      </c>
      <c r="T50" s="10"/>
      <c r="U50" s="10">
        <v>6060</v>
      </c>
      <c r="V50" s="10"/>
      <c r="X50" s="10"/>
      <c r="Y50" s="10"/>
      <c r="Z50" s="10"/>
      <c r="AA50" s="10"/>
      <c r="AB50" s="10"/>
      <c r="AC50" s="10"/>
      <c r="AD50" s="10"/>
      <c r="AE50" s="10" t="s">
        <v>2265</v>
      </c>
      <c r="AF50" s="10"/>
      <c r="AG50" s="10"/>
      <c r="AH50" s="10"/>
      <c r="AI50" s="14">
        <f>Q50/O50</f>
        <v>0.92582417582417587</v>
      </c>
      <c r="AJ50" s="14">
        <f t="shared" si="17"/>
        <v>1.0557491289198606</v>
      </c>
      <c r="AK50" s="14"/>
      <c r="AL50" s="10"/>
      <c r="AM50" s="10"/>
      <c r="AN50" s="10"/>
      <c r="AO50" s="14">
        <f t="shared" si="18"/>
        <v>1.9815733047440365</v>
      </c>
      <c r="AP50" s="14"/>
      <c r="AQ50" s="14"/>
      <c r="AR50" s="14"/>
      <c r="AS50" s="13"/>
      <c r="AT50" s="13"/>
      <c r="AU50" s="13"/>
      <c r="AV50">
        <v>76</v>
      </c>
      <c r="AW50" s="10" t="s">
        <v>14</v>
      </c>
      <c r="AX50" s="10" t="s">
        <v>3</v>
      </c>
      <c r="AY50" t="s">
        <v>2</v>
      </c>
      <c r="AZ50" t="s">
        <v>2</v>
      </c>
      <c r="BA50" s="10" t="s">
        <v>3</v>
      </c>
      <c r="BB50" s="10" t="s">
        <v>2266</v>
      </c>
    </row>
    <row r="51" spans="1:61" x14ac:dyDescent="0.3">
      <c r="A51" s="26" t="s">
        <v>2017</v>
      </c>
      <c r="B51" s="10" t="s">
        <v>29</v>
      </c>
      <c r="C51" s="10" t="s">
        <v>1679</v>
      </c>
      <c r="D51" s="10" t="s">
        <v>2018</v>
      </c>
      <c r="E51" s="10">
        <v>2002</v>
      </c>
      <c r="F51" t="s">
        <v>2662</v>
      </c>
      <c r="G51" s="10" t="s">
        <v>2019</v>
      </c>
      <c r="H51" s="10" t="s">
        <v>2020</v>
      </c>
      <c r="J51" s="10" t="s">
        <v>2022</v>
      </c>
      <c r="L51" s="10">
        <v>2</v>
      </c>
      <c r="M51" s="10">
        <v>12</v>
      </c>
      <c r="N51" s="10"/>
      <c r="S51" s="10">
        <v>3230</v>
      </c>
      <c r="T51" s="10"/>
      <c r="U51" s="10">
        <v>3720</v>
      </c>
      <c r="V51" s="10"/>
      <c r="X51" s="10"/>
      <c r="Y51" s="10"/>
      <c r="Z51" s="10"/>
      <c r="AA51" s="10"/>
      <c r="AB51" s="10"/>
      <c r="AC51" s="10"/>
      <c r="AD51" s="10"/>
      <c r="AE51" s="10" t="s">
        <v>2265</v>
      </c>
      <c r="AF51" s="10"/>
      <c r="AG51" s="10"/>
      <c r="AH51" s="10"/>
      <c r="AI51" s="14"/>
      <c r="AJ51" s="14">
        <f t="shared" si="17"/>
        <v>1.151702786377709</v>
      </c>
      <c r="AK51" s="14"/>
      <c r="AL51" s="10"/>
      <c r="AM51" s="10"/>
      <c r="AN51" s="10"/>
      <c r="AO51" s="14">
        <f t="shared" si="18"/>
        <v>1.151702786377709</v>
      </c>
      <c r="AP51" s="14"/>
      <c r="AQ51" s="14"/>
      <c r="AR51" s="14"/>
      <c r="AS51" s="13"/>
      <c r="AT51" s="13"/>
      <c r="AU51" s="13"/>
      <c r="AV51">
        <v>76</v>
      </c>
      <c r="AW51" s="10" t="s">
        <v>14</v>
      </c>
      <c r="AX51" s="10" t="s">
        <v>3</v>
      </c>
      <c r="AY51" t="s">
        <v>2</v>
      </c>
      <c r="AZ51" t="s">
        <v>2</v>
      </c>
      <c r="BA51" s="10" t="s">
        <v>2</v>
      </c>
      <c r="BB51" s="10" t="s">
        <v>2266</v>
      </c>
    </row>
    <row r="52" spans="1:61" x14ac:dyDescent="0.3">
      <c r="A52" s="26" t="s">
        <v>2017</v>
      </c>
      <c r="B52" s="10" t="s">
        <v>29</v>
      </c>
      <c r="C52" s="10" t="s">
        <v>1679</v>
      </c>
      <c r="D52" s="10" t="s">
        <v>2018</v>
      </c>
      <c r="E52" s="10">
        <v>1999</v>
      </c>
      <c r="F52" t="s">
        <v>2662</v>
      </c>
      <c r="G52" s="10" t="s">
        <v>2019</v>
      </c>
      <c r="H52" s="10" t="s">
        <v>2020</v>
      </c>
      <c r="J52" t="s">
        <v>47</v>
      </c>
      <c r="L52" s="10">
        <v>2</v>
      </c>
      <c r="M52" s="10">
        <v>12</v>
      </c>
      <c r="N52" s="10"/>
      <c r="S52" s="10">
        <v>20680</v>
      </c>
      <c r="T52" s="10"/>
      <c r="U52" s="10">
        <v>20520</v>
      </c>
      <c r="V52" s="10"/>
      <c r="X52" s="10"/>
      <c r="Y52" s="10"/>
      <c r="Z52" s="10"/>
      <c r="AA52" s="10"/>
      <c r="AB52" s="10"/>
      <c r="AC52" s="10"/>
      <c r="AD52" s="10"/>
      <c r="AE52" s="10" t="s">
        <v>2265</v>
      </c>
      <c r="AF52" s="10"/>
      <c r="AG52" s="10"/>
      <c r="AH52" s="10"/>
      <c r="AI52" s="14"/>
      <c r="AJ52" s="14">
        <f t="shared" si="17"/>
        <v>0.99226305609284338</v>
      </c>
      <c r="AK52" s="14"/>
      <c r="AL52" s="10"/>
      <c r="AM52" s="10"/>
      <c r="AN52" s="10"/>
      <c r="AO52" s="14">
        <f t="shared" si="18"/>
        <v>0.99226305609284338</v>
      </c>
      <c r="AP52" s="14"/>
      <c r="AQ52" s="14"/>
      <c r="AR52" s="14"/>
      <c r="AS52" s="13"/>
      <c r="AT52" s="13"/>
      <c r="AU52" s="13"/>
      <c r="AV52">
        <v>76</v>
      </c>
      <c r="AW52" s="10" t="s">
        <v>14</v>
      </c>
      <c r="AX52" s="10" t="s">
        <v>3</v>
      </c>
      <c r="AY52" t="s">
        <v>2</v>
      </c>
      <c r="AZ52" t="s">
        <v>2</v>
      </c>
      <c r="BA52" s="10" t="s">
        <v>2</v>
      </c>
      <c r="BB52" s="10" t="s">
        <v>2266</v>
      </c>
    </row>
    <row r="53" spans="1:61" x14ac:dyDescent="0.3">
      <c r="A53" s="26" t="s">
        <v>2017</v>
      </c>
      <c r="B53" s="10" t="s">
        <v>29</v>
      </c>
      <c r="C53" s="10" t="s">
        <v>1679</v>
      </c>
      <c r="D53" s="10" t="s">
        <v>2018</v>
      </c>
      <c r="E53" s="10">
        <v>2000</v>
      </c>
      <c r="F53" t="s">
        <v>2662</v>
      </c>
      <c r="G53" s="10" t="s">
        <v>2019</v>
      </c>
      <c r="H53" s="10" t="s">
        <v>2020</v>
      </c>
      <c r="J53" t="s">
        <v>47</v>
      </c>
      <c r="L53" s="10">
        <v>2</v>
      </c>
      <c r="M53" s="10">
        <v>12</v>
      </c>
      <c r="N53" s="10"/>
      <c r="S53" s="10">
        <v>26540</v>
      </c>
      <c r="T53" s="10"/>
      <c r="U53" s="10">
        <v>21590</v>
      </c>
      <c r="V53" s="10"/>
      <c r="X53" s="10"/>
      <c r="Y53" s="10"/>
      <c r="Z53" s="10"/>
      <c r="AA53" s="10"/>
      <c r="AB53" s="10"/>
      <c r="AC53" s="10"/>
      <c r="AD53" s="10"/>
      <c r="AE53" s="10" t="s">
        <v>2265</v>
      </c>
      <c r="AF53" s="10"/>
      <c r="AG53" s="10"/>
      <c r="AH53" s="10"/>
      <c r="AI53" s="14"/>
      <c r="AJ53" s="14">
        <f t="shared" si="17"/>
        <v>0.81348907309721175</v>
      </c>
      <c r="AK53" s="14"/>
      <c r="AL53" s="10"/>
      <c r="AM53" s="10"/>
      <c r="AN53" s="10"/>
      <c r="AO53" s="14">
        <f t="shared" si="18"/>
        <v>0.81348907309721175</v>
      </c>
      <c r="AP53" s="14"/>
      <c r="AQ53" s="14"/>
      <c r="AR53" s="14"/>
      <c r="AS53" s="13"/>
      <c r="AT53" s="13"/>
      <c r="AU53" s="13"/>
      <c r="AV53">
        <v>76</v>
      </c>
      <c r="AW53" s="10" t="s">
        <v>14</v>
      </c>
      <c r="AX53" s="10" t="s">
        <v>3</v>
      </c>
      <c r="AY53" t="s">
        <v>2</v>
      </c>
      <c r="AZ53" t="s">
        <v>2</v>
      </c>
      <c r="BA53" s="10" t="s">
        <v>2</v>
      </c>
      <c r="BB53" s="10" t="s">
        <v>2266</v>
      </c>
    </row>
    <row r="54" spans="1:61" x14ac:dyDescent="0.3">
      <c r="A54" s="26" t="s">
        <v>2017</v>
      </c>
      <c r="B54" s="10" t="s">
        <v>29</v>
      </c>
      <c r="C54" s="10" t="s">
        <v>1679</v>
      </c>
      <c r="D54" s="10" t="s">
        <v>2018</v>
      </c>
      <c r="E54" s="10">
        <v>2001</v>
      </c>
      <c r="F54" t="s">
        <v>2662</v>
      </c>
      <c r="G54" s="10" t="s">
        <v>2019</v>
      </c>
      <c r="H54" s="10" t="s">
        <v>2020</v>
      </c>
      <c r="J54" t="s">
        <v>47</v>
      </c>
      <c r="L54" s="10">
        <v>2</v>
      </c>
      <c r="M54" s="10">
        <v>12</v>
      </c>
      <c r="N54" s="10"/>
      <c r="O54" s="10">
        <v>7690</v>
      </c>
      <c r="P54" s="10"/>
      <c r="Q54" s="10">
        <v>3120</v>
      </c>
      <c r="S54" s="10">
        <v>19250</v>
      </c>
      <c r="T54" s="10"/>
      <c r="U54" s="10">
        <v>13560</v>
      </c>
      <c r="V54" s="10"/>
      <c r="X54" s="10"/>
      <c r="Y54" s="10"/>
      <c r="Z54" s="10"/>
      <c r="AA54" s="10"/>
      <c r="AB54" s="10"/>
      <c r="AC54" s="10"/>
      <c r="AD54" s="10"/>
      <c r="AE54" s="10" t="s">
        <v>2265</v>
      </c>
      <c r="AF54" s="10"/>
      <c r="AG54" s="10"/>
      <c r="AH54" s="10"/>
      <c r="AI54" s="14">
        <f t="shared" ref="AI54:AI59" si="19">Q54/O54</f>
        <v>0.40572171651495448</v>
      </c>
      <c r="AJ54" s="14">
        <f t="shared" si="17"/>
        <v>0.70441558441558438</v>
      </c>
      <c r="AK54" s="14"/>
      <c r="AL54" s="10"/>
      <c r="AM54" s="10"/>
      <c r="AN54" s="10"/>
      <c r="AO54" s="14">
        <f t="shared" si="18"/>
        <v>1.1101373009305389</v>
      </c>
      <c r="AP54" s="14"/>
      <c r="AQ54" s="14"/>
      <c r="AR54" s="14"/>
      <c r="AS54" s="13"/>
      <c r="AT54" s="13"/>
      <c r="AU54" s="13"/>
      <c r="AV54">
        <v>76</v>
      </c>
      <c r="AW54" s="10" t="s">
        <v>14</v>
      </c>
      <c r="AX54" s="10" t="s">
        <v>3</v>
      </c>
      <c r="AY54" t="s">
        <v>2</v>
      </c>
      <c r="AZ54" t="s">
        <v>2</v>
      </c>
      <c r="BA54" s="10" t="s">
        <v>3</v>
      </c>
      <c r="BB54" s="10" t="s">
        <v>2266</v>
      </c>
    </row>
    <row r="55" spans="1:61" x14ac:dyDescent="0.3">
      <c r="A55" s="26" t="s">
        <v>2017</v>
      </c>
      <c r="B55" s="10" t="s">
        <v>29</v>
      </c>
      <c r="C55" s="10" t="s">
        <v>1679</v>
      </c>
      <c r="D55" s="10" t="s">
        <v>2018</v>
      </c>
      <c r="E55" s="10">
        <v>2002</v>
      </c>
      <c r="F55" t="s">
        <v>2662</v>
      </c>
      <c r="G55" s="10" t="s">
        <v>2019</v>
      </c>
      <c r="H55" s="10" t="s">
        <v>2020</v>
      </c>
      <c r="J55" t="s">
        <v>47</v>
      </c>
      <c r="L55" s="10">
        <v>2</v>
      </c>
      <c r="M55" s="10">
        <v>12</v>
      </c>
      <c r="N55" s="10"/>
      <c r="O55" s="10">
        <v>1430</v>
      </c>
      <c r="P55" s="10"/>
      <c r="Q55" s="10">
        <v>1670</v>
      </c>
      <c r="S55" s="10">
        <v>11350</v>
      </c>
      <c r="T55" s="10"/>
      <c r="U55" s="10">
        <v>15800</v>
      </c>
      <c r="V55" s="10"/>
      <c r="X55" s="10"/>
      <c r="Y55" s="10"/>
      <c r="Z55" s="10"/>
      <c r="AA55" s="10"/>
      <c r="AB55" s="10"/>
      <c r="AC55" s="10"/>
      <c r="AD55" s="10"/>
      <c r="AE55" s="10" t="s">
        <v>2265</v>
      </c>
      <c r="AF55" s="10"/>
      <c r="AG55" s="10"/>
      <c r="AH55" s="10"/>
      <c r="AI55" s="14">
        <f t="shared" si="19"/>
        <v>1.1678321678321679</v>
      </c>
      <c r="AJ55" s="14">
        <f t="shared" si="17"/>
        <v>1.3920704845814977</v>
      </c>
      <c r="AK55" s="14"/>
      <c r="AL55" s="10"/>
      <c r="AM55" s="10"/>
      <c r="AN55" s="10"/>
      <c r="AO55" s="14">
        <f t="shared" si="18"/>
        <v>2.5599026524136654</v>
      </c>
      <c r="AP55" s="14"/>
      <c r="AQ55" s="14"/>
      <c r="AR55" s="14"/>
      <c r="AS55" s="13"/>
      <c r="AT55" s="13"/>
      <c r="AU55" s="13"/>
      <c r="AV55">
        <v>76</v>
      </c>
      <c r="AW55" s="10" t="s">
        <v>14</v>
      </c>
      <c r="AX55" s="10" t="s">
        <v>3</v>
      </c>
      <c r="AY55" t="s">
        <v>2</v>
      </c>
      <c r="AZ55" t="s">
        <v>2</v>
      </c>
      <c r="BA55" s="10" t="s">
        <v>3</v>
      </c>
      <c r="BB55" s="10" t="s">
        <v>2266</v>
      </c>
    </row>
    <row r="56" spans="1:61" x14ac:dyDescent="0.3">
      <c r="A56" t="s">
        <v>1117</v>
      </c>
      <c r="B56" t="s">
        <v>286</v>
      </c>
      <c r="C56" t="s">
        <v>1119</v>
      </c>
      <c r="D56" s="4" t="s">
        <v>1118</v>
      </c>
      <c r="E56" t="s">
        <v>1123</v>
      </c>
      <c r="F56" t="s">
        <v>2662</v>
      </c>
      <c r="G56" t="s">
        <v>2420</v>
      </c>
      <c r="H56" t="s">
        <v>1121</v>
      </c>
      <c r="J56" t="s">
        <v>1120</v>
      </c>
      <c r="L56">
        <v>3</v>
      </c>
      <c r="M56">
        <v>3</v>
      </c>
      <c r="O56">
        <f>18.8*AH56</f>
        <v>1316</v>
      </c>
      <c r="Q56">
        <f>27.2*AH56</f>
        <v>1904</v>
      </c>
      <c r="U56">
        <f>228.3*10</f>
        <v>2283</v>
      </c>
      <c r="V56" s="5">
        <f>((2471-2290)/2)*SQRT(M56)</f>
        <v>156.75059808498338</v>
      </c>
      <c r="Y56">
        <v>6.1</v>
      </c>
      <c r="Z56">
        <f>(7.2-3.6)/2</f>
        <v>1.8</v>
      </c>
      <c r="AA56">
        <v>43</v>
      </c>
      <c r="AB56">
        <f>(51-34)/2</f>
        <v>8.5</v>
      </c>
      <c r="AE56" s="10" t="s">
        <v>2734</v>
      </c>
      <c r="AH56" s="5">
        <v>70</v>
      </c>
      <c r="AI56" s="3">
        <f t="shared" si="19"/>
        <v>1.446808510638298</v>
      </c>
      <c r="AK56" s="3">
        <f>AA56/Y56</f>
        <v>7.0491803278688527</v>
      </c>
      <c r="AO56" s="3">
        <f>AI56+AK56+AN63</f>
        <v>8.4959888385071505</v>
      </c>
      <c r="AV56">
        <f>10000*0.015</f>
        <v>150</v>
      </c>
      <c r="AW56" t="s">
        <v>1</v>
      </c>
      <c r="AY56" t="s">
        <v>2</v>
      </c>
      <c r="AZ56" t="s">
        <v>2</v>
      </c>
      <c r="BA56" t="s">
        <v>2</v>
      </c>
      <c r="BB56" t="s">
        <v>2031</v>
      </c>
      <c r="BC56" t="s">
        <v>1122</v>
      </c>
    </row>
    <row r="57" spans="1:61" x14ac:dyDescent="0.3">
      <c r="A57" t="s">
        <v>1117</v>
      </c>
      <c r="B57" t="s">
        <v>286</v>
      </c>
      <c r="C57" t="s">
        <v>1119</v>
      </c>
      <c r="D57" s="4" t="s">
        <v>1118</v>
      </c>
      <c r="E57" t="s">
        <v>1123</v>
      </c>
      <c r="F57" t="s">
        <v>2662</v>
      </c>
      <c r="G57" t="s">
        <v>2421</v>
      </c>
      <c r="H57" t="s">
        <v>1121</v>
      </c>
      <c r="J57" t="s">
        <v>1120</v>
      </c>
      <c r="L57">
        <v>3</v>
      </c>
      <c r="M57">
        <v>3</v>
      </c>
      <c r="O57">
        <f>18.8*AH57</f>
        <v>1316</v>
      </c>
      <c r="Q57">
        <f>19.6*AH57</f>
        <v>1372</v>
      </c>
      <c r="U57">
        <f>320.1*10</f>
        <v>3201</v>
      </c>
      <c r="V57" s="5">
        <f>((3457-3174)/2)*SQRT(M57)</f>
        <v>245.08518927099612</v>
      </c>
      <c r="Y57">
        <v>6.1</v>
      </c>
      <c r="Z57">
        <f t="shared" ref="Z57:Z58" si="20">(7.2-3.6)/2</f>
        <v>1.8</v>
      </c>
      <c r="AA57">
        <v>43</v>
      </c>
      <c r="AB57">
        <f>(49-35)/2</f>
        <v>7</v>
      </c>
      <c r="AE57" s="10" t="s">
        <v>2734</v>
      </c>
      <c r="AH57" s="5">
        <v>70</v>
      </c>
      <c r="AI57" s="3">
        <f t="shared" si="19"/>
        <v>1.0425531914893618</v>
      </c>
      <c r="AK57" s="3">
        <f>AA57/Y57</f>
        <v>7.0491803278688527</v>
      </c>
      <c r="AO57" s="3">
        <f>AI57+AK57+AN64</f>
        <v>8.0917335193582147</v>
      </c>
      <c r="AV57">
        <f t="shared" ref="AV57:AV58" si="21">10000*0.015</f>
        <v>150</v>
      </c>
      <c r="AW57" t="s">
        <v>1</v>
      </c>
      <c r="AY57" t="s">
        <v>2</v>
      </c>
      <c r="AZ57" t="s">
        <v>2</v>
      </c>
      <c r="BA57" t="s">
        <v>2</v>
      </c>
      <c r="BB57" t="s">
        <v>2031</v>
      </c>
      <c r="BC57" t="s">
        <v>1122</v>
      </c>
    </row>
    <row r="58" spans="1:61" x14ac:dyDescent="0.3">
      <c r="A58" t="s">
        <v>1117</v>
      </c>
      <c r="B58" t="s">
        <v>286</v>
      </c>
      <c r="C58" t="s">
        <v>1119</v>
      </c>
      <c r="D58" s="4" t="s">
        <v>1118</v>
      </c>
      <c r="E58" t="s">
        <v>1123</v>
      </c>
      <c r="F58" t="s">
        <v>2662</v>
      </c>
      <c r="G58" t="s">
        <v>2422</v>
      </c>
      <c r="H58" t="s">
        <v>1121</v>
      </c>
      <c r="J58" t="s">
        <v>1120</v>
      </c>
      <c r="L58">
        <v>3</v>
      </c>
      <c r="M58">
        <v>3</v>
      </c>
      <c r="O58">
        <f>18.8*AH58</f>
        <v>1316</v>
      </c>
      <c r="Q58">
        <f>24.4*AH58</f>
        <v>1708</v>
      </c>
      <c r="U58">
        <f>381*10</f>
        <v>3810</v>
      </c>
      <c r="V58" s="5">
        <f>((4123-3797)/2)*SQRT(M58)</f>
        <v>282.32428163372697</v>
      </c>
      <c r="Y58">
        <v>6.1</v>
      </c>
      <c r="Z58">
        <f t="shared" si="20"/>
        <v>1.8</v>
      </c>
      <c r="AA58">
        <v>82</v>
      </c>
      <c r="AB58">
        <f>(88-75)/2</f>
        <v>6.5</v>
      </c>
      <c r="AE58" s="10" t="s">
        <v>2734</v>
      </c>
      <c r="AH58" s="5">
        <v>70</v>
      </c>
      <c r="AI58" s="3">
        <f t="shared" si="19"/>
        <v>1.2978723404255319</v>
      </c>
      <c r="AK58" s="3">
        <f>AA58/Y58</f>
        <v>13.442622950819674</v>
      </c>
      <c r="AO58" s="3">
        <f>AI58+AK58+AN65</f>
        <v>14.740495291245205</v>
      </c>
      <c r="AV58">
        <f t="shared" si="21"/>
        <v>150</v>
      </c>
      <c r="AW58" t="s">
        <v>1</v>
      </c>
      <c r="AY58" t="s">
        <v>3</v>
      </c>
      <c r="AZ58" t="s">
        <v>2</v>
      </c>
      <c r="BA58" t="s">
        <v>2</v>
      </c>
      <c r="BB58" t="s">
        <v>2031</v>
      </c>
      <c r="BC58" t="s">
        <v>1122</v>
      </c>
    </row>
    <row r="59" spans="1:61" s="7" customFormat="1" x14ac:dyDescent="0.3">
      <c r="A59" s="21" t="s">
        <v>1140</v>
      </c>
      <c r="B59" s="21" t="s">
        <v>286</v>
      </c>
      <c r="C59" s="21" t="s">
        <v>1141</v>
      </c>
      <c r="D59" s="21"/>
      <c r="E59" s="21" t="s">
        <v>1146</v>
      </c>
      <c r="F59" s="7" t="s">
        <v>2662</v>
      </c>
      <c r="G59" s="21" t="s">
        <v>1145</v>
      </c>
      <c r="H59" s="21" t="s">
        <v>1143</v>
      </c>
      <c r="J59" s="21" t="s">
        <v>1144</v>
      </c>
      <c r="L59" s="21">
        <v>10</v>
      </c>
      <c r="M59" s="21">
        <v>10</v>
      </c>
      <c r="O59" s="21">
        <f>(86.1*AH59)/7</f>
        <v>2460</v>
      </c>
      <c r="P59" s="21"/>
      <c r="Q59" s="80">
        <f>(55*AH59)/7</f>
        <v>1571.4285714285713</v>
      </c>
      <c r="AE59" s="7" t="s">
        <v>2734</v>
      </c>
      <c r="AH59" s="80">
        <v>200</v>
      </c>
      <c r="AI59" s="54">
        <f t="shared" si="19"/>
        <v>0.63879210220673632</v>
      </c>
      <c r="AO59" s="54">
        <f>AI59+AM66+AN66</f>
        <v>0.63879210220673632</v>
      </c>
      <c r="AV59" s="21">
        <f>1.5*AH59*0.1</f>
        <v>30</v>
      </c>
      <c r="AW59" s="21" t="s">
        <v>14</v>
      </c>
      <c r="AX59" s="21"/>
      <c r="AY59" s="21" t="s">
        <v>2</v>
      </c>
      <c r="AZ59" s="21" t="s">
        <v>2</v>
      </c>
      <c r="BA59" s="21" t="s">
        <v>2</v>
      </c>
      <c r="BB59" s="21" t="s">
        <v>2418</v>
      </c>
      <c r="BC59" s="21"/>
      <c r="BD59" s="21"/>
      <c r="BE59" s="21"/>
    </row>
    <row r="60" spans="1:61" s="7" customFormat="1" x14ac:dyDescent="0.3">
      <c r="A60" s="7" t="s">
        <v>2452</v>
      </c>
      <c r="B60" s="7" t="s">
        <v>143</v>
      </c>
      <c r="C60" s="7" t="s">
        <v>2454</v>
      </c>
      <c r="D60" s="81"/>
      <c r="E60" s="7">
        <v>1999</v>
      </c>
      <c r="F60" s="7" t="s">
        <v>2662</v>
      </c>
      <c r="G60" s="81" t="s">
        <v>2455</v>
      </c>
      <c r="H60" s="81" t="s">
        <v>2456</v>
      </c>
      <c r="J60" s="7" t="s">
        <v>63</v>
      </c>
      <c r="L60" s="7">
        <v>2</v>
      </c>
      <c r="M60" s="7">
        <v>4</v>
      </c>
      <c r="AC60" s="7">
        <v>7.7350000000000003</v>
      </c>
      <c r="AD60" s="7">
        <v>9.1530000000000005</v>
      </c>
      <c r="AE60" s="7" t="s">
        <v>2453</v>
      </c>
      <c r="AL60" s="58">
        <f>AD60/AC60</f>
        <v>1.183322559793148</v>
      </c>
      <c r="AM60" s="58"/>
      <c r="AN60" s="58"/>
      <c r="AO60" s="58">
        <f>AL60</f>
        <v>1.183322559793148</v>
      </c>
      <c r="AZ60" s="7" t="s">
        <v>2</v>
      </c>
      <c r="BA60" s="7" t="s">
        <v>2</v>
      </c>
    </row>
    <row r="61" spans="1:61" x14ac:dyDescent="0.3">
      <c r="A61" t="s">
        <v>2518</v>
      </c>
      <c r="B61" t="s">
        <v>384</v>
      </c>
      <c r="C61" t="s">
        <v>2519</v>
      </c>
      <c r="D61" s="4" t="s">
        <v>2519</v>
      </c>
      <c r="F61" t="s">
        <v>2662</v>
      </c>
      <c r="G61" s="4" t="s">
        <v>2520</v>
      </c>
      <c r="H61" s="4" t="s">
        <v>2525</v>
      </c>
      <c r="I61" t="s">
        <v>2522</v>
      </c>
      <c r="J61" s="4" t="s">
        <v>2521</v>
      </c>
      <c r="L61">
        <v>6</v>
      </c>
      <c r="M61">
        <v>6</v>
      </c>
      <c r="AC61">
        <v>0.3</v>
      </c>
      <c r="AD61">
        <v>3.6</v>
      </c>
      <c r="AE61" t="s">
        <v>2453</v>
      </c>
      <c r="AL61" s="3">
        <f t="shared" ref="AL61:AL67" si="22">AD61/AC61</f>
        <v>12</v>
      </c>
      <c r="AO61" s="3">
        <f>AL61</f>
        <v>12</v>
      </c>
      <c r="AZ61" t="s">
        <v>2</v>
      </c>
      <c r="BA61" t="s">
        <v>2</v>
      </c>
      <c r="BB61" t="s">
        <v>2531</v>
      </c>
    </row>
    <row r="62" spans="1:61" x14ac:dyDescent="0.3">
      <c r="A62" t="s">
        <v>2518</v>
      </c>
      <c r="B62" t="s">
        <v>384</v>
      </c>
      <c r="C62" t="s">
        <v>2519</v>
      </c>
      <c r="D62" s="4" t="s">
        <v>2519</v>
      </c>
      <c r="F62" t="s">
        <v>2662</v>
      </c>
      <c r="G62" s="4" t="s">
        <v>2520</v>
      </c>
      <c r="H62" s="4" t="s">
        <v>2525</v>
      </c>
      <c r="I62" t="s">
        <v>2523</v>
      </c>
      <c r="J62" s="4" t="s">
        <v>2521</v>
      </c>
      <c r="L62">
        <v>6</v>
      </c>
      <c r="M62">
        <v>6</v>
      </c>
      <c r="AC62">
        <v>0.3</v>
      </c>
      <c r="AD62">
        <v>4.0999999999999996</v>
      </c>
      <c r="AE62" t="s">
        <v>2453</v>
      </c>
      <c r="AL62" s="3">
        <f t="shared" si="22"/>
        <v>13.666666666666666</v>
      </c>
      <c r="AO62" s="3">
        <f t="shared" ref="AO62:AO67" si="23">AL62</f>
        <v>13.666666666666666</v>
      </c>
      <c r="AZ62" t="s">
        <v>2</v>
      </c>
      <c r="BA62" t="s">
        <v>2</v>
      </c>
      <c r="BB62" t="s">
        <v>2531</v>
      </c>
      <c r="BG62" s="6"/>
      <c r="BH62" s="6"/>
      <c r="BI62" s="6"/>
    </row>
    <row r="63" spans="1:61" x14ac:dyDescent="0.3">
      <c r="A63" t="s">
        <v>2518</v>
      </c>
      <c r="B63" t="s">
        <v>384</v>
      </c>
      <c r="C63" t="s">
        <v>2519</v>
      </c>
      <c r="D63" s="4" t="s">
        <v>2519</v>
      </c>
      <c r="F63" t="s">
        <v>2662</v>
      </c>
      <c r="G63" s="4" t="s">
        <v>2520</v>
      </c>
      <c r="H63" s="4" t="s">
        <v>2525</v>
      </c>
      <c r="I63" t="s">
        <v>2524</v>
      </c>
      <c r="J63" s="4" t="s">
        <v>2521</v>
      </c>
      <c r="L63">
        <v>6</v>
      </c>
      <c r="M63">
        <v>6</v>
      </c>
      <c r="AC63">
        <v>0.3</v>
      </c>
      <c r="AD63">
        <v>6.7</v>
      </c>
      <c r="AE63" t="s">
        <v>2453</v>
      </c>
      <c r="AL63" s="3">
        <f t="shared" si="22"/>
        <v>22.333333333333336</v>
      </c>
      <c r="AO63" s="3">
        <f t="shared" si="23"/>
        <v>22.333333333333336</v>
      </c>
      <c r="AZ63" t="s">
        <v>2</v>
      </c>
      <c r="BA63" t="s">
        <v>2</v>
      </c>
      <c r="BB63" t="s">
        <v>2531</v>
      </c>
      <c r="BG63" s="6"/>
      <c r="BH63" s="6"/>
      <c r="BI63" s="6"/>
    </row>
    <row r="64" spans="1:61" x14ac:dyDescent="0.3">
      <c r="A64" s="40" t="s">
        <v>2532</v>
      </c>
      <c r="B64" t="s">
        <v>149</v>
      </c>
      <c r="C64" t="s">
        <v>2533</v>
      </c>
      <c r="F64" t="s">
        <v>2662</v>
      </c>
      <c r="G64" s="4" t="s">
        <v>2535</v>
      </c>
      <c r="H64" s="4" t="s">
        <v>2534</v>
      </c>
      <c r="J64" s="4" t="s">
        <v>501</v>
      </c>
      <c r="L64">
        <v>5</v>
      </c>
      <c r="M64">
        <v>5</v>
      </c>
      <c r="AC64">
        <v>20</v>
      </c>
      <c r="AD64">
        <v>48.93</v>
      </c>
      <c r="AE64" t="s">
        <v>2537</v>
      </c>
      <c r="AL64" s="3">
        <f>AD64/AC64</f>
        <v>2.4464999999999999</v>
      </c>
      <c r="AO64" s="3">
        <f t="shared" si="23"/>
        <v>2.4464999999999999</v>
      </c>
      <c r="AZ64" t="s">
        <v>2</v>
      </c>
      <c r="BA64" t="s">
        <v>2</v>
      </c>
      <c r="BB64" t="s">
        <v>2531</v>
      </c>
      <c r="BG64" s="6"/>
      <c r="BH64" s="6"/>
      <c r="BI64" s="6"/>
    </row>
    <row r="65" spans="1:61" x14ac:dyDescent="0.3">
      <c r="A65" s="40" t="s">
        <v>2532</v>
      </c>
      <c r="B65" t="s">
        <v>149</v>
      </c>
      <c r="C65" t="s">
        <v>2533</v>
      </c>
      <c r="F65" t="s">
        <v>2662</v>
      </c>
      <c r="G65" s="4" t="s">
        <v>2536</v>
      </c>
      <c r="H65" s="4" t="s">
        <v>2534</v>
      </c>
      <c r="J65" s="4" t="s">
        <v>173</v>
      </c>
      <c r="L65">
        <v>5</v>
      </c>
      <c r="M65">
        <v>5</v>
      </c>
      <c r="AC65">
        <v>20</v>
      </c>
      <c r="AD65">
        <v>49.29</v>
      </c>
      <c r="AE65" t="s">
        <v>2537</v>
      </c>
      <c r="AL65" s="3">
        <f t="shared" si="22"/>
        <v>2.4645000000000001</v>
      </c>
      <c r="AO65" s="3">
        <f t="shared" si="23"/>
        <v>2.4645000000000001</v>
      </c>
      <c r="AZ65" t="s">
        <v>2</v>
      </c>
      <c r="BA65" t="s">
        <v>2</v>
      </c>
      <c r="BB65" t="s">
        <v>2531</v>
      </c>
      <c r="BG65" s="6"/>
      <c r="BH65" s="6"/>
      <c r="BI65" s="6"/>
    </row>
    <row r="66" spans="1:61" s="10" customFormat="1" x14ac:dyDescent="0.3">
      <c r="A66" s="10" t="s">
        <v>2538</v>
      </c>
      <c r="B66" s="10" t="s">
        <v>131</v>
      </c>
      <c r="C66" s="10" t="s">
        <v>2539</v>
      </c>
      <c r="D66" s="10" t="s">
        <v>2540</v>
      </c>
      <c r="E66" s="10">
        <v>1999</v>
      </c>
      <c r="F66" t="s">
        <v>2662</v>
      </c>
      <c r="G66" s="10" t="s">
        <v>2542</v>
      </c>
      <c r="H66" s="10" t="s">
        <v>2541</v>
      </c>
      <c r="L66" s="10">
        <v>2</v>
      </c>
      <c r="M66" s="10">
        <v>2</v>
      </c>
      <c r="AC66" s="10">
        <v>3.32</v>
      </c>
      <c r="AD66" s="10">
        <v>3.75</v>
      </c>
      <c r="AE66" t="s">
        <v>2544</v>
      </c>
      <c r="AK66" s="14"/>
      <c r="AL66" s="14">
        <f t="shared" si="22"/>
        <v>1.1295180722891567</v>
      </c>
      <c r="AM66" s="14"/>
      <c r="AN66" s="14"/>
      <c r="AO66" s="14">
        <f t="shared" si="23"/>
        <v>1.1295180722891567</v>
      </c>
      <c r="AV66" s="10">
        <v>60</v>
      </c>
      <c r="AW66" s="10" t="s">
        <v>14</v>
      </c>
      <c r="AZ66" t="s">
        <v>2</v>
      </c>
      <c r="BA66" t="s">
        <v>2</v>
      </c>
      <c r="BB66" t="s">
        <v>2531</v>
      </c>
      <c r="BG66" s="26"/>
      <c r="BH66" s="26"/>
      <c r="BI66" s="26"/>
    </row>
    <row r="67" spans="1:61" x14ac:dyDescent="0.3">
      <c r="A67" s="10" t="s">
        <v>2538</v>
      </c>
      <c r="B67" s="10" t="s">
        <v>131</v>
      </c>
      <c r="C67" s="10" t="s">
        <v>2539</v>
      </c>
      <c r="D67" s="10" t="s">
        <v>2540</v>
      </c>
      <c r="E67" s="10">
        <v>1999</v>
      </c>
      <c r="F67" t="s">
        <v>2662</v>
      </c>
      <c r="G67" s="10" t="s">
        <v>2543</v>
      </c>
      <c r="H67" s="10" t="s">
        <v>2541</v>
      </c>
      <c r="I67" s="10"/>
      <c r="J67" s="10"/>
      <c r="K67" s="10"/>
      <c r="L67" s="10">
        <v>2</v>
      </c>
      <c r="M67" s="10">
        <v>2</v>
      </c>
      <c r="N67" s="30"/>
      <c r="O67" s="12"/>
      <c r="P67" s="12"/>
      <c r="Q67" s="12"/>
      <c r="R67" s="12"/>
      <c r="S67" s="12"/>
      <c r="T67" s="12"/>
      <c r="U67" s="12"/>
      <c r="V67" s="12"/>
      <c r="W67" s="12"/>
      <c r="X67" s="12"/>
      <c r="Y67" s="12"/>
      <c r="Z67" s="12"/>
      <c r="AA67" s="12"/>
      <c r="AB67" s="12"/>
      <c r="AC67" s="10">
        <v>3.32</v>
      </c>
      <c r="AD67" s="10">
        <v>3.8</v>
      </c>
      <c r="AE67" t="s">
        <v>2544</v>
      </c>
      <c r="AF67" s="12"/>
      <c r="AG67" s="12"/>
      <c r="AH67" s="12"/>
      <c r="AI67" s="12"/>
      <c r="AJ67" s="12"/>
      <c r="AK67" s="12"/>
      <c r="AL67" s="14">
        <f t="shared" si="22"/>
        <v>1.1445783132530121</v>
      </c>
      <c r="AM67" s="14"/>
      <c r="AN67" s="14"/>
      <c r="AO67" s="14">
        <f t="shared" si="23"/>
        <v>1.1445783132530121</v>
      </c>
      <c r="AP67" s="17"/>
      <c r="AQ67" s="12"/>
      <c r="AR67" s="12"/>
      <c r="AS67" s="12"/>
      <c r="AT67" s="12"/>
      <c r="AU67" s="17"/>
      <c r="AV67" s="10">
        <v>60</v>
      </c>
      <c r="AW67" s="10" t="s">
        <v>14</v>
      </c>
      <c r="AX67" s="17"/>
      <c r="AZ67" t="s">
        <v>2</v>
      </c>
      <c r="BA67" t="s">
        <v>2</v>
      </c>
      <c r="BB67" t="s">
        <v>2531</v>
      </c>
    </row>
    <row r="68" spans="1:61" x14ac:dyDescent="0.3">
      <c r="G68" s="4"/>
      <c r="H68" s="4"/>
      <c r="AU68" s="6"/>
      <c r="AV68" s="6"/>
      <c r="AW68" s="6"/>
      <c r="AX68" s="6"/>
    </row>
    <row r="69" spans="1:61" x14ac:dyDescent="0.3">
      <c r="L69" s="5"/>
      <c r="AU69" s="6"/>
      <c r="AV69" s="6"/>
      <c r="AW69" s="6"/>
      <c r="AX69" s="6"/>
    </row>
    <row r="70" spans="1:61" x14ac:dyDescent="0.3">
      <c r="W70" s="24"/>
      <c r="AU70" s="6"/>
      <c r="AV70" s="6"/>
      <c r="AW70" s="6"/>
      <c r="AX70" s="6"/>
    </row>
    <row r="75" spans="1:61" x14ac:dyDescent="0.3">
      <c r="E75" s="12"/>
      <c r="F75" s="12"/>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4DC2-FE2C-4FF9-A479-4A5FC6B89DA9}">
  <dimension ref="A1:BB110"/>
  <sheetViews>
    <sheetView workbookViewId="0">
      <pane ySplit="1" topLeftCell="A83" activePane="bottomLeft" state="frozen"/>
      <selection pane="bottomLeft" activeCell="A84" sqref="A84"/>
    </sheetView>
  </sheetViews>
  <sheetFormatPr defaultRowHeight="14.4" x14ac:dyDescent="0.3"/>
  <cols>
    <col min="4" max="4" width="33.44140625" bestFit="1" customWidth="1"/>
    <col min="5" max="5" width="16.21875" bestFit="1" customWidth="1"/>
    <col min="6" max="6" width="12.109375" customWidth="1"/>
    <col min="11" max="11" width="19.33203125" customWidth="1"/>
    <col min="39" max="39" width="9.5546875" bestFit="1" customWidth="1"/>
    <col min="40" max="41" width="9.33203125" bestFit="1" customWidth="1"/>
    <col min="42" max="42" width="9.33203125" customWidth="1"/>
    <col min="49" max="49" width="255.6640625" bestFit="1" customWidth="1"/>
  </cols>
  <sheetData>
    <row r="1" spans="1:54" x14ac:dyDescent="0.3">
      <c r="A1" s="77" t="s">
        <v>9</v>
      </c>
      <c r="B1" s="77" t="s">
        <v>26</v>
      </c>
      <c r="C1" s="77" t="s">
        <v>25</v>
      </c>
      <c r="D1" s="77" t="s">
        <v>27</v>
      </c>
      <c r="E1" s="77" t="s">
        <v>832</v>
      </c>
      <c r="F1" s="77" t="s">
        <v>2659</v>
      </c>
      <c r="G1" s="77" t="s">
        <v>15</v>
      </c>
      <c r="H1" s="77" t="s">
        <v>16</v>
      </c>
      <c r="I1" s="77" t="s">
        <v>2629</v>
      </c>
      <c r="J1" s="77" t="s">
        <v>10</v>
      </c>
      <c r="K1" s="77" t="s">
        <v>48</v>
      </c>
      <c r="L1" s="77" t="s">
        <v>1671</v>
      </c>
      <c r="M1" s="77" t="s">
        <v>1672</v>
      </c>
      <c r="N1" s="77" t="s">
        <v>2395</v>
      </c>
      <c r="O1" s="77" t="s">
        <v>2676</v>
      </c>
      <c r="P1" s="77" t="s">
        <v>737</v>
      </c>
      <c r="Q1" s="77" t="s">
        <v>976</v>
      </c>
      <c r="R1" s="77" t="s">
        <v>2684</v>
      </c>
      <c r="S1" s="77" t="s">
        <v>2559</v>
      </c>
      <c r="T1" s="77" t="s">
        <v>951</v>
      </c>
      <c r="U1" s="77" t="s">
        <v>2695</v>
      </c>
      <c r="V1" s="77" t="s">
        <v>2715</v>
      </c>
      <c r="W1" s="77" t="s">
        <v>2696</v>
      </c>
      <c r="X1" s="77" t="s">
        <v>2716</v>
      </c>
      <c r="Y1" s="77" t="s">
        <v>2757</v>
      </c>
      <c r="Z1" s="77" t="s">
        <v>2758</v>
      </c>
      <c r="AA1" s="77" t="s">
        <v>2761</v>
      </c>
      <c r="AB1" s="77" t="s">
        <v>2768</v>
      </c>
      <c r="AC1" s="77" t="s">
        <v>2762</v>
      </c>
      <c r="AD1" s="77" t="s">
        <v>2764</v>
      </c>
      <c r="AE1" s="77" t="s">
        <v>1938</v>
      </c>
      <c r="AF1" s="77" t="s">
        <v>2264</v>
      </c>
      <c r="AG1" s="77" t="s">
        <v>388</v>
      </c>
      <c r="AH1" s="77" t="s">
        <v>19</v>
      </c>
      <c r="AI1" s="77" t="s">
        <v>20</v>
      </c>
      <c r="AJ1" s="77" t="s">
        <v>21</v>
      </c>
      <c r="AK1" s="77" t="s">
        <v>727</v>
      </c>
      <c r="AL1" s="77" t="s">
        <v>728</v>
      </c>
      <c r="AM1" s="77" t="s">
        <v>1999</v>
      </c>
      <c r="AN1" s="77" t="s">
        <v>2000</v>
      </c>
      <c r="AO1" s="77" t="s">
        <v>2002</v>
      </c>
      <c r="AP1" s="77" t="s">
        <v>2004</v>
      </c>
      <c r="AQ1" s="77" t="s">
        <v>2033</v>
      </c>
      <c r="AR1" s="77" t="s">
        <v>2032</v>
      </c>
      <c r="AS1" s="77" t="s">
        <v>2034</v>
      </c>
      <c r="AT1" s="77" t="s">
        <v>12</v>
      </c>
      <c r="AU1" s="77" t="s">
        <v>1991</v>
      </c>
      <c r="AV1" s="77" t="s">
        <v>2414</v>
      </c>
      <c r="AW1" s="77" t="s">
        <v>2392</v>
      </c>
    </row>
    <row r="2" spans="1:54" s="10" customFormat="1" x14ac:dyDescent="0.3">
      <c r="A2" s="10" t="s">
        <v>440</v>
      </c>
      <c r="B2" s="10" t="s">
        <v>441</v>
      </c>
      <c r="C2" s="10" t="s">
        <v>446</v>
      </c>
      <c r="D2" s="10" t="s">
        <v>442</v>
      </c>
      <c r="E2" s="10">
        <v>2010</v>
      </c>
      <c r="F2" s="10" t="s">
        <v>2663</v>
      </c>
      <c r="G2" s="10" t="s">
        <v>449</v>
      </c>
      <c r="H2" s="10" t="s">
        <v>447</v>
      </c>
      <c r="J2" s="10" t="s">
        <v>63</v>
      </c>
      <c r="K2" s="10" t="s">
        <v>448</v>
      </c>
      <c r="L2" s="10">
        <v>5</v>
      </c>
      <c r="M2" s="10">
        <v>5</v>
      </c>
      <c r="O2" s="10">
        <v>13.14</v>
      </c>
      <c r="P2" s="10">
        <v>0.15</v>
      </c>
      <c r="U2" s="10">
        <v>12.5</v>
      </c>
      <c r="V2" s="10">
        <v>0.2</v>
      </c>
      <c r="W2" s="14">
        <f>U2-(AE2/AF2)*U2</f>
        <v>11.875</v>
      </c>
      <c r="X2" s="10">
        <f>V2*(1-AE2/AF2)</f>
        <v>0.19</v>
      </c>
      <c r="AE2" s="10">
        <v>11</v>
      </c>
      <c r="AF2" s="10">
        <f>20*11</f>
        <v>220</v>
      </c>
      <c r="AH2" s="14">
        <f t="shared" ref="AH2:AH10" si="0">W2/O2</f>
        <v>0.90372907153729065</v>
      </c>
      <c r="AJ2" s="14">
        <f t="shared" ref="AJ2:AJ10" si="1">AH2+AI2</f>
        <v>0.90372907153729065</v>
      </c>
      <c r="AK2" s="14"/>
      <c r="AL2" s="14"/>
      <c r="AM2" s="60">
        <f t="shared" ref="AM2:AM10" si="2">((X2*SQRT(L2))^2)/(O2^2)+((P2*SQRT(L2))^2)*(W2^2)/(O2^4)</f>
        <v>1.5775647656338602E-3</v>
      </c>
      <c r="AN2" s="60"/>
      <c r="AO2" s="60">
        <f>AM2+AN2</f>
        <v>1.5775647656338602E-3</v>
      </c>
      <c r="AP2" s="60">
        <f>SQRT(AO2)/AJ2</f>
        <v>4.3949642412192014E-2</v>
      </c>
      <c r="AS2" s="10" t="s">
        <v>3</v>
      </c>
      <c r="AU2" s="10" t="s">
        <v>2</v>
      </c>
      <c r="AV2" s="10" t="s">
        <v>2023</v>
      </c>
      <c r="AW2" s="10" t="s">
        <v>455</v>
      </c>
    </row>
    <row r="3" spans="1:54" s="10" customFormat="1" x14ac:dyDescent="0.3">
      <c r="A3" s="10" t="s">
        <v>440</v>
      </c>
      <c r="B3" s="10" t="s">
        <v>441</v>
      </c>
      <c r="C3" s="10" t="s">
        <v>446</v>
      </c>
      <c r="D3" s="10" t="s">
        <v>442</v>
      </c>
      <c r="E3" s="10">
        <v>2011</v>
      </c>
      <c r="F3" s="10" t="s">
        <v>2663</v>
      </c>
      <c r="G3" s="10" t="s">
        <v>449</v>
      </c>
      <c r="H3" s="10" t="s">
        <v>447</v>
      </c>
      <c r="J3" s="10" t="s">
        <v>63</v>
      </c>
      <c r="K3" s="10" t="s">
        <v>448</v>
      </c>
      <c r="L3" s="10">
        <v>5</v>
      </c>
      <c r="M3" s="10">
        <v>5</v>
      </c>
      <c r="O3" s="10">
        <v>13.5</v>
      </c>
      <c r="P3" s="10">
        <v>1</v>
      </c>
      <c r="U3" s="10">
        <v>13.08</v>
      </c>
      <c r="V3" s="10">
        <v>0.35</v>
      </c>
      <c r="W3" s="14">
        <f t="shared" ref="W3:W10" si="3">U3-(AE3/AF3)*U3</f>
        <v>12.426</v>
      </c>
      <c r="X3" s="10">
        <f t="shared" ref="X3:X24" si="4">V3*(1-AE3/AF3)</f>
        <v>0.33249999999999996</v>
      </c>
      <c r="AE3" s="10">
        <v>11</v>
      </c>
      <c r="AF3" s="10">
        <f>20*11</f>
        <v>220</v>
      </c>
      <c r="AH3" s="14">
        <f t="shared" si="0"/>
        <v>0.92044444444444451</v>
      </c>
      <c r="AJ3" s="14">
        <f t="shared" si="1"/>
        <v>0.92044444444444451</v>
      </c>
      <c r="AK3" s="14"/>
      <c r="AL3" s="14"/>
      <c r="AM3" s="60">
        <f t="shared" si="2"/>
        <v>2.6276384782130097E-2</v>
      </c>
      <c r="AN3" s="60"/>
      <c r="AO3" s="60">
        <f t="shared" ref="AO3:AO27" si="5">AM3+AN3</f>
        <v>2.6276384782130097E-2</v>
      </c>
      <c r="AP3" s="60">
        <f t="shared" ref="AP3:AP10" si="6">SQRT(AO3)/AJ3</f>
        <v>0.17611049009362437</v>
      </c>
      <c r="AS3" s="10" t="s">
        <v>3</v>
      </c>
      <c r="AU3" s="10" t="s">
        <v>2</v>
      </c>
      <c r="AV3" s="10" t="s">
        <v>2023</v>
      </c>
      <c r="AW3" s="10" t="s">
        <v>455</v>
      </c>
    </row>
    <row r="4" spans="1:54" s="10" customFormat="1" x14ac:dyDescent="0.3">
      <c r="A4" s="10" t="s">
        <v>440</v>
      </c>
      <c r="B4" s="10" t="s">
        <v>441</v>
      </c>
      <c r="C4" s="10" t="s">
        <v>446</v>
      </c>
      <c r="D4" s="10" t="s">
        <v>443</v>
      </c>
      <c r="E4" s="10">
        <v>2010</v>
      </c>
      <c r="F4" s="10" t="s">
        <v>2663</v>
      </c>
      <c r="G4" s="10" t="s">
        <v>451</v>
      </c>
      <c r="H4" s="10" t="s">
        <v>447</v>
      </c>
      <c r="J4" s="10" t="s">
        <v>63</v>
      </c>
      <c r="K4" s="10" t="s">
        <v>450</v>
      </c>
      <c r="L4" s="10">
        <v>5</v>
      </c>
      <c r="M4" s="10">
        <v>5</v>
      </c>
      <c r="O4" s="10">
        <v>15.15</v>
      </c>
      <c r="P4" s="10">
        <v>0.56000000000000005</v>
      </c>
      <c r="U4" s="10">
        <v>15.04</v>
      </c>
      <c r="V4" s="10">
        <v>0.27</v>
      </c>
      <c r="W4" s="14">
        <f t="shared" si="3"/>
        <v>14.287999999999998</v>
      </c>
      <c r="X4" s="10">
        <f t="shared" si="4"/>
        <v>0.25650000000000001</v>
      </c>
      <c r="AE4" s="10">
        <v>10</v>
      </c>
      <c r="AF4" s="10">
        <f>20*10</f>
        <v>200</v>
      </c>
      <c r="AH4" s="14">
        <f t="shared" si="0"/>
        <v>0.94310231023102298</v>
      </c>
      <c r="AJ4" s="14">
        <f t="shared" si="1"/>
        <v>0.94310231023102298</v>
      </c>
      <c r="AK4" s="14"/>
      <c r="AL4" s="14"/>
      <c r="AM4" s="60">
        <f t="shared" si="2"/>
        <v>7.5095306784255574E-3</v>
      </c>
      <c r="AN4" s="60"/>
      <c r="AO4" s="60">
        <f t="shared" si="5"/>
        <v>7.5095306784255574E-3</v>
      </c>
      <c r="AP4" s="60">
        <f t="shared" si="6"/>
        <v>9.1885628278103759E-2</v>
      </c>
      <c r="AS4" s="10" t="s">
        <v>3</v>
      </c>
      <c r="AU4" s="10" t="s">
        <v>2</v>
      </c>
      <c r="AV4" s="10" t="s">
        <v>2023</v>
      </c>
      <c r="AW4" s="10" t="s">
        <v>455</v>
      </c>
    </row>
    <row r="5" spans="1:54" s="10" customFormat="1" x14ac:dyDescent="0.3">
      <c r="A5" s="10" t="s">
        <v>440</v>
      </c>
      <c r="B5" s="10" t="s">
        <v>441</v>
      </c>
      <c r="C5" s="10" t="s">
        <v>446</v>
      </c>
      <c r="D5" s="10" t="s">
        <v>443</v>
      </c>
      <c r="E5" s="10">
        <v>2011</v>
      </c>
      <c r="F5" s="10" t="s">
        <v>2663</v>
      </c>
      <c r="G5" s="10" t="s">
        <v>451</v>
      </c>
      <c r="H5" s="10" t="s">
        <v>447</v>
      </c>
      <c r="J5" s="10" t="s">
        <v>63</v>
      </c>
      <c r="K5" s="10" t="s">
        <v>450</v>
      </c>
      <c r="L5" s="10">
        <v>5</v>
      </c>
      <c r="M5" s="10">
        <v>5</v>
      </c>
      <c r="O5" s="10">
        <v>12</v>
      </c>
      <c r="P5" s="10">
        <v>0.5</v>
      </c>
      <c r="U5" s="10">
        <v>12.8</v>
      </c>
      <c r="V5" s="10">
        <v>0.1</v>
      </c>
      <c r="W5" s="14">
        <f t="shared" si="3"/>
        <v>12.16</v>
      </c>
      <c r="X5" s="10">
        <f t="shared" si="4"/>
        <v>9.5000000000000001E-2</v>
      </c>
      <c r="AE5" s="10">
        <v>10</v>
      </c>
      <c r="AF5" s="10">
        <f>20*10</f>
        <v>200</v>
      </c>
      <c r="AH5" s="14">
        <f t="shared" si="0"/>
        <v>1.0133333333333334</v>
      </c>
      <c r="AJ5" s="14">
        <f t="shared" si="1"/>
        <v>1.0133333333333334</v>
      </c>
      <c r="AK5" s="14"/>
      <c r="AL5" s="14"/>
      <c r="AM5" s="60">
        <f t="shared" si="2"/>
        <v>9.226948302469137E-3</v>
      </c>
      <c r="AN5" s="60"/>
      <c r="AO5" s="60">
        <f t="shared" si="5"/>
        <v>9.226948302469137E-3</v>
      </c>
      <c r="AP5" s="60">
        <f t="shared" si="6"/>
        <v>9.4793097516673419E-2</v>
      </c>
      <c r="AS5" s="10" t="s">
        <v>3</v>
      </c>
      <c r="AU5" s="10" t="s">
        <v>2</v>
      </c>
      <c r="AV5" s="10" t="s">
        <v>2023</v>
      </c>
      <c r="AW5" s="10" t="s">
        <v>455</v>
      </c>
    </row>
    <row r="6" spans="1:54" s="10" customFormat="1" x14ac:dyDescent="0.3">
      <c r="A6" s="10" t="s">
        <v>440</v>
      </c>
      <c r="B6" s="10" t="s">
        <v>441</v>
      </c>
      <c r="C6" s="10" t="s">
        <v>446</v>
      </c>
      <c r="D6" s="10" t="s">
        <v>443</v>
      </c>
      <c r="E6" s="10">
        <v>2011</v>
      </c>
      <c r="F6" s="10" t="s">
        <v>2663</v>
      </c>
      <c r="G6" s="10" t="s">
        <v>451</v>
      </c>
      <c r="H6" s="10" t="s">
        <v>447</v>
      </c>
      <c r="J6" s="10" t="s">
        <v>63</v>
      </c>
      <c r="K6" s="10" t="s">
        <v>450</v>
      </c>
      <c r="L6" s="10">
        <v>5</v>
      </c>
      <c r="M6" s="10">
        <v>5</v>
      </c>
      <c r="O6" s="10">
        <v>13.5</v>
      </c>
      <c r="P6" s="10">
        <v>0.22</v>
      </c>
      <c r="U6" s="10">
        <v>13.74</v>
      </c>
      <c r="V6" s="10">
        <v>0.3</v>
      </c>
      <c r="W6" s="14">
        <f t="shared" si="3"/>
        <v>13.053000000000001</v>
      </c>
      <c r="X6" s="10">
        <f t="shared" si="4"/>
        <v>0.28499999999999998</v>
      </c>
      <c r="AE6" s="10">
        <v>10</v>
      </c>
      <c r="AF6" s="10">
        <f>20*10</f>
        <v>200</v>
      </c>
      <c r="AH6" s="14">
        <f t="shared" si="0"/>
        <v>0.96688888888888891</v>
      </c>
      <c r="AJ6" s="14">
        <f t="shared" si="1"/>
        <v>0.96688888888888891</v>
      </c>
      <c r="AK6" s="14"/>
      <c r="AL6" s="14"/>
      <c r="AM6" s="60">
        <f t="shared" si="2"/>
        <v>3.4697642681840507E-3</v>
      </c>
      <c r="AN6" s="60"/>
      <c r="AO6" s="60">
        <f t="shared" si="5"/>
        <v>3.4697642681840507E-3</v>
      </c>
      <c r="AP6" s="60">
        <f t="shared" si="6"/>
        <v>6.092189666449193E-2</v>
      </c>
      <c r="AS6" s="10" t="s">
        <v>3</v>
      </c>
      <c r="AU6" s="10" t="s">
        <v>2</v>
      </c>
      <c r="AV6" s="10" t="s">
        <v>2023</v>
      </c>
      <c r="AW6" s="10" t="s">
        <v>455</v>
      </c>
    </row>
    <row r="7" spans="1:54" s="10" customFormat="1" x14ac:dyDescent="0.3">
      <c r="A7" s="10" t="s">
        <v>440</v>
      </c>
      <c r="B7" s="10" t="s">
        <v>441</v>
      </c>
      <c r="C7" s="10" t="s">
        <v>446</v>
      </c>
      <c r="D7" s="10" t="s">
        <v>444</v>
      </c>
      <c r="E7" s="10">
        <v>2011</v>
      </c>
      <c r="F7" s="10" t="s">
        <v>2663</v>
      </c>
      <c r="G7" s="10" t="s">
        <v>449</v>
      </c>
      <c r="H7" s="10" t="s">
        <v>447</v>
      </c>
      <c r="J7" s="10" t="s">
        <v>63</v>
      </c>
      <c r="K7" s="10" t="s">
        <v>452</v>
      </c>
      <c r="L7" s="10">
        <v>5</v>
      </c>
      <c r="M7" s="10">
        <v>5</v>
      </c>
      <c r="O7" s="10">
        <v>12.88</v>
      </c>
      <c r="P7" s="10">
        <v>0.27</v>
      </c>
      <c r="U7" s="10">
        <v>12.14</v>
      </c>
      <c r="V7" s="10">
        <v>0.16</v>
      </c>
      <c r="W7" s="14">
        <f t="shared" si="3"/>
        <v>11.533000000000001</v>
      </c>
      <c r="X7" s="10">
        <f t="shared" si="4"/>
        <v>0.152</v>
      </c>
      <c r="AE7" s="10">
        <v>13</v>
      </c>
      <c r="AF7" s="10">
        <f>20*13</f>
        <v>260</v>
      </c>
      <c r="AH7" s="14">
        <f t="shared" si="0"/>
        <v>0.89541925465838512</v>
      </c>
      <c r="AJ7" s="14">
        <f t="shared" si="1"/>
        <v>0.89541925465838512</v>
      </c>
      <c r="AK7" s="14"/>
      <c r="AL7" s="14"/>
      <c r="AM7" s="60">
        <f t="shared" si="2"/>
        <v>2.4579926831040134E-3</v>
      </c>
      <c r="AN7" s="60"/>
      <c r="AO7" s="60">
        <f t="shared" si="5"/>
        <v>2.4579926831040134E-3</v>
      </c>
      <c r="AP7" s="60">
        <f t="shared" si="6"/>
        <v>5.5368640975214038E-2</v>
      </c>
      <c r="AS7" s="10" t="s">
        <v>3</v>
      </c>
      <c r="AU7" s="10" t="s">
        <v>2</v>
      </c>
      <c r="AV7" s="10" t="s">
        <v>2023</v>
      </c>
      <c r="AW7" s="10" t="s">
        <v>455</v>
      </c>
    </row>
    <row r="8" spans="1:54" s="10" customFormat="1" x14ac:dyDescent="0.3">
      <c r="A8" s="10" t="s">
        <v>440</v>
      </c>
      <c r="B8" s="10" t="s">
        <v>441</v>
      </c>
      <c r="C8" s="10" t="s">
        <v>446</v>
      </c>
      <c r="D8" s="10" t="s">
        <v>444</v>
      </c>
      <c r="E8" s="10">
        <v>2012</v>
      </c>
      <c r="F8" s="10" t="s">
        <v>2663</v>
      </c>
      <c r="G8" s="10" t="s">
        <v>449</v>
      </c>
      <c r="H8" s="10" t="s">
        <v>447</v>
      </c>
      <c r="J8" s="10" t="s">
        <v>63</v>
      </c>
      <c r="K8" s="10" t="s">
        <v>452</v>
      </c>
      <c r="L8" s="10">
        <v>5</v>
      </c>
      <c r="M8" s="10">
        <v>5</v>
      </c>
      <c r="O8" s="10">
        <v>11.88</v>
      </c>
      <c r="P8" s="10">
        <v>0.68</v>
      </c>
      <c r="U8" s="10">
        <v>12.52</v>
      </c>
      <c r="V8" s="10">
        <v>0.1</v>
      </c>
      <c r="W8" s="14">
        <f t="shared" si="3"/>
        <v>11.894</v>
      </c>
      <c r="X8" s="10">
        <f t="shared" si="4"/>
        <v>9.5000000000000001E-2</v>
      </c>
      <c r="AE8" s="10">
        <v>13</v>
      </c>
      <c r="AF8" s="10">
        <f>20*13</f>
        <v>260</v>
      </c>
      <c r="AH8" s="14">
        <f t="shared" si="0"/>
        <v>1.0011784511784512</v>
      </c>
      <c r="AJ8" s="14">
        <f t="shared" si="1"/>
        <v>1.0011784511784512</v>
      </c>
      <c r="AK8" s="14"/>
      <c r="AL8" s="14"/>
      <c r="AM8" s="60">
        <f t="shared" si="2"/>
        <v>1.6739911524282093E-2</v>
      </c>
      <c r="AN8" s="60"/>
      <c r="AO8" s="60">
        <f t="shared" si="5"/>
        <v>1.6739911524282093E-2</v>
      </c>
      <c r="AP8" s="60">
        <f t="shared" si="6"/>
        <v>0.12923051814663572</v>
      </c>
      <c r="AS8" s="10" t="s">
        <v>3</v>
      </c>
      <c r="AU8" s="10" t="s">
        <v>2</v>
      </c>
      <c r="AV8" s="10" t="s">
        <v>2023</v>
      </c>
      <c r="AW8" s="10" t="s">
        <v>455</v>
      </c>
    </row>
    <row r="9" spans="1:54" s="10" customFormat="1" x14ac:dyDescent="0.3">
      <c r="A9" s="10" t="s">
        <v>440</v>
      </c>
      <c r="B9" s="10" t="s">
        <v>441</v>
      </c>
      <c r="C9" s="10" t="s">
        <v>446</v>
      </c>
      <c r="D9" s="10" t="s">
        <v>445</v>
      </c>
      <c r="E9" s="10">
        <v>2012</v>
      </c>
      <c r="F9" s="10" t="s">
        <v>2663</v>
      </c>
      <c r="G9" s="10" t="s">
        <v>454</v>
      </c>
      <c r="H9" s="10" t="s">
        <v>447</v>
      </c>
      <c r="J9" s="10" t="s">
        <v>63</v>
      </c>
      <c r="K9" s="10" t="s">
        <v>453</v>
      </c>
      <c r="L9" s="10">
        <v>5</v>
      </c>
      <c r="M9" s="10">
        <v>5</v>
      </c>
      <c r="O9" s="10">
        <v>9.83</v>
      </c>
      <c r="P9" s="10">
        <v>0.44</v>
      </c>
      <c r="U9" s="10">
        <v>10.19</v>
      </c>
      <c r="V9" s="10">
        <v>0.27</v>
      </c>
      <c r="W9" s="14">
        <f t="shared" si="3"/>
        <v>9.6805000000000003</v>
      </c>
      <c r="X9" s="10">
        <f t="shared" si="4"/>
        <v>0.25650000000000001</v>
      </c>
      <c r="AE9" s="10">
        <v>8</v>
      </c>
      <c r="AF9" s="10">
        <f>20*8</f>
        <v>160</v>
      </c>
      <c r="AH9" s="14">
        <f t="shared" si="0"/>
        <v>0.98479145473041707</v>
      </c>
      <c r="AJ9" s="14">
        <f t="shared" si="1"/>
        <v>0.98479145473041707</v>
      </c>
      <c r="AK9" s="14"/>
      <c r="AL9" s="14"/>
      <c r="AM9" s="60">
        <f t="shared" si="2"/>
        <v>1.3119691982544866E-2</v>
      </c>
      <c r="AN9" s="60"/>
      <c r="AO9" s="60">
        <f t="shared" si="5"/>
        <v>1.3119691982544866E-2</v>
      </c>
      <c r="AP9" s="60">
        <f t="shared" si="6"/>
        <v>0.11631013184934685</v>
      </c>
      <c r="AS9" s="10" t="s">
        <v>3</v>
      </c>
      <c r="AU9" s="10" t="s">
        <v>2</v>
      </c>
      <c r="AV9" s="10" t="s">
        <v>2023</v>
      </c>
      <c r="AW9" s="10" t="s">
        <v>455</v>
      </c>
    </row>
    <row r="10" spans="1:54" s="10" customFormat="1" x14ac:dyDescent="0.3">
      <c r="A10" s="10" t="s">
        <v>440</v>
      </c>
      <c r="B10" s="10" t="s">
        <v>441</v>
      </c>
      <c r="C10" s="10" t="s">
        <v>446</v>
      </c>
      <c r="D10" s="10" t="s">
        <v>445</v>
      </c>
      <c r="E10" s="10">
        <v>2013</v>
      </c>
      <c r="F10" s="10" t="s">
        <v>2663</v>
      </c>
      <c r="G10" s="10" t="s">
        <v>454</v>
      </c>
      <c r="H10" s="10" t="s">
        <v>447</v>
      </c>
      <c r="J10" s="10" t="s">
        <v>63</v>
      </c>
      <c r="K10" s="10" t="s">
        <v>453</v>
      </c>
      <c r="L10" s="10">
        <v>5</v>
      </c>
      <c r="M10" s="10">
        <v>5</v>
      </c>
      <c r="O10" s="10">
        <v>9.4600000000000009</v>
      </c>
      <c r="P10" s="10">
        <v>0.23</v>
      </c>
      <c r="U10" s="10">
        <v>11.09</v>
      </c>
      <c r="V10" s="10">
        <v>0.16</v>
      </c>
      <c r="W10" s="14">
        <f t="shared" si="3"/>
        <v>10.535499999999999</v>
      </c>
      <c r="X10" s="10">
        <f t="shared" si="4"/>
        <v>0.152</v>
      </c>
      <c r="AE10" s="10">
        <v>8</v>
      </c>
      <c r="AF10" s="10">
        <f>20*8</f>
        <v>160</v>
      </c>
      <c r="AH10" s="14">
        <f t="shared" si="0"/>
        <v>1.113689217758985</v>
      </c>
      <c r="AJ10" s="14">
        <f t="shared" si="1"/>
        <v>1.113689217758985</v>
      </c>
      <c r="AK10" s="14"/>
      <c r="AL10" s="14"/>
      <c r="AM10" s="60">
        <f t="shared" si="2"/>
        <v>4.956669918825542E-3</v>
      </c>
      <c r="AN10" s="60"/>
      <c r="AO10" s="60">
        <f t="shared" si="5"/>
        <v>4.956669918825542E-3</v>
      </c>
      <c r="AP10" s="60">
        <f t="shared" si="6"/>
        <v>6.3216578168090232E-2</v>
      </c>
      <c r="AS10" s="10" t="s">
        <v>3</v>
      </c>
      <c r="AU10" s="10" t="s">
        <v>2</v>
      </c>
      <c r="AV10" s="10" t="s">
        <v>2023</v>
      </c>
      <c r="AW10" s="10" t="s">
        <v>455</v>
      </c>
    </row>
    <row r="11" spans="1:54" s="10" customFormat="1" x14ac:dyDescent="0.3">
      <c r="A11" s="10" t="s">
        <v>853</v>
      </c>
      <c r="B11" s="10" t="s">
        <v>854</v>
      </c>
      <c r="F11" s="10" t="s">
        <v>2663</v>
      </c>
      <c r="G11" s="10" t="s">
        <v>856</v>
      </c>
      <c r="L11" s="10">
        <v>58</v>
      </c>
      <c r="M11" s="10">
        <v>58</v>
      </c>
      <c r="N11" s="10">
        <v>7</v>
      </c>
      <c r="AH11" s="10">
        <v>0.9</v>
      </c>
      <c r="AJ11" s="10">
        <f>AH11+AI11</f>
        <v>0.9</v>
      </c>
      <c r="AK11" s="10">
        <v>0.9</v>
      </c>
      <c r="AL11" s="10">
        <v>1</v>
      </c>
      <c r="AM11" s="60"/>
      <c r="AN11" s="60"/>
      <c r="AO11" s="60"/>
      <c r="AP11" s="60"/>
      <c r="AU11" s="10" t="s">
        <v>3</v>
      </c>
      <c r="AV11" s="10" t="s">
        <v>3</v>
      </c>
      <c r="AW11" s="26" t="s">
        <v>2546</v>
      </c>
      <c r="AX11" s="26"/>
      <c r="AY11" s="26"/>
      <c r="AZ11" s="26"/>
      <c r="BA11" s="26"/>
      <c r="BB11" s="26"/>
    </row>
    <row r="12" spans="1:54" s="12" customFormat="1" x14ac:dyDescent="0.3">
      <c r="A12" s="10" t="s">
        <v>853</v>
      </c>
      <c r="B12" s="10" t="s">
        <v>854</v>
      </c>
      <c r="C12" s="10"/>
      <c r="D12" s="10"/>
      <c r="E12" s="10"/>
      <c r="F12" s="10" t="s">
        <v>2663</v>
      </c>
      <c r="G12" s="10" t="s">
        <v>857</v>
      </c>
      <c r="H12" s="10"/>
      <c r="I12" s="10"/>
      <c r="J12" s="10"/>
      <c r="K12" s="10"/>
      <c r="L12" s="10">
        <v>78</v>
      </c>
      <c r="M12" s="10">
        <v>78</v>
      </c>
      <c r="N12" s="10">
        <v>13</v>
      </c>
      <c r="O12" s="10"/>
      <c r="P12" s="10"/>
      <c r="Q12" s="10"/>
      <c r="R12" s="10"/>
      <c r="S12" s="10"/>
      <c r="T12" s="10"/>
      <c r="U12" s="10"/>
      <c r="V12" s="10"/>
      <c r="W12" s="10"/>
      <c r="X12" s="10"/>
      <c r="Y12" s="10"/>
      <c r="Z12" s="10"/>
      <c r="AA12" s="10"/>
      <c r="AB12" s="10"/>
      <c r="AC12" s="10"/>
      <c r="AD12" s="10"/>
      <c r="AE12" s="10"/>
      <c r="AF12" s="10"/>
      <c r="AG12" s="10"/>
      <c r="AH12" s="10">
        <v>1.3</v>
      </c>
      <c r="AI12" s="10"/>
      <c r="AJ12" s="10">
        <f t="shared" ref="AJ12:AJ69" si="7">AH12+AI12</f>
        <v>1.3</v>
      </c>
      <c r="AK12" s="10">
        <v>1.1000000000000001</v>
      </c>
      <c r="AL12" s="10">
        <v>1.7</v>
      </c>
      <c r="AM12" s="60"/>
      <c r="AN12" s="60"/>
      <c r="AO12" s="60"/>
      <c r="AP12" s="60"/>
      <c r="AQ12" s="10"/>
      <c r="AR12" s="10"/>
      <c r="AS12" s="10"/>
      <c r="AT12" s="10"/>
      <c r="AU12" s="10" t="s">
        <v>3</v>
      </c>
      <c r="AV12" s="10" t="s">
        <v>2023</v>
      </c>
      <c r="AW12" s="26" t="s">
        <v>1952</v>
      </c>
      <c r="AX12" s="26"/>
      <c r="AY12" s="26"/>
      <c r="AZ12" s="26"/>
      <c r="BA12" s="26"/>
      <c r="BB12" s="26"/>
    </row>
    <row r="13" spans="1:54" s="12" customFormat="1" x14ac:dyDescent="0.3">
      <c r="A13" s="10" t="s">
        <v>964</v>
      </c>
      <c r="B13" s="10" t="s">
        <v>60</v>
      </c>
      <c r="C13" s="10" t="s">
        <v>965</v>
      </c>
      <c r="D13" s="10"/>
      <c r="E13" s="10" t="s">
        <v>924</v>
      </c>
      <c r="F13" s="10" t="s">
        <v>2663</v>
      </c>
      <c r="G13" s="10" t="s">
        <v>968</v>
      </c>
      <c r="H13" s="10" t="s">
        <v>17</v>
      </c>
      <c r="I13" s="10" t="s">
        <v>971</v>
      </c>
      <c r="J13" s="10" t="s">
        <v>56</v>
      </c>
      <c r="K13" s="38" t="s">
        <v>966</v>
      </c>
      <c r="L13" s="10">
        <v>3</v>
      </c>
      <c r="M13" s="10">
        <v>3</v>
      </c>
      <c r="N13" s="10"/>
      <c r="O13" s="10">
        <v>0.434</v>
      </c>
      <c r="P13" s="10">
        <v>0.06</v>
      </c>
      <c r="Q13" s="10">
        <v>1.224</v>
      </c>
      <c r="R13" s="10">
        <v>0.187</v>
      </c>
      <c r="S13" s="10"/>
      <c r="T13" s="10"/>
      <c r="U13" s="10">
        <v>0.35399999999999998</v>
      </c>
      <c r="V13" s="10">
        <v>4.2000000000000003E-2</v>
      </c>
      <c r="W13" s="33">
        <f>U13-388.3*U13/10000</f>
        <v>0.34025417999999996</v>
      </c>
      <c r="X13" s="10">
        <f t="shared" si="4"/>
        <v>4.1708691068151005E-2</v>
      </c>
      <c r="Y13" s="10">
        <v>1.272</v>
      </c>
      <c r="Z13" s="10">
        <v>0.184</v>
      </c>
      <c r="AA13" s="25">
        <f>43.8*9.05</f>
        <v>396.39</v>
      </c>
      <c r="AB13" s="25">
        <f>7.4*9.05</f>
        <v>66.970000000000013</v>
      </c>
      <c r="AC13" s="10"/>
      <c r="AD13" s="10">
        <v>9.0500000000000007</v>
      </c>
      <c r="AE13" s="14">
        <f>AD13*PI()*(0.288^2)/4</f>
        <v>0.58955379064678337</v>
      </c>
      <c r="AF13" s="25">
        <v>85</v>
      </c>
      <c r="AG13" s="10">
        <f t="shared" ref="AG13:AG21" si="8">275+1769</f>
        <v>2044</v>
      </c>
      <c r="AH13" s="14">
        <f t="shared" ref="AH13:AH24" si="9">W13/O13</f>
        <v>0.78399580645161282</v>
      </c>
      <c r="AI13" s="10"/>
      <c r="AJ13" s="14">
        <f t="shared" si="7"/>
        <v>0.78399580645161282</v>
      </c>
      <c r="AK13" s="14"/>
      <c r="AL13" s="14"/>
      <c r="AM13" s="60">
        <f t="shared" ref="AM13:AM24" si="10">((X13*SQRT(L13))^2)/(O13^2)+((P13*SQRT(L13))^2)*(W13^2)/(O13^4)</f>
        <v>6.2950256518611011E-2</v>
      </c>
      <c r="AN13" s="60"/>
      <c r="AO13" s="60">
        <f t="shared" si="5"/>
        <v>6.2950256518611011E-2</v>
      </c>
      <c r="AP13" s="60">
        <f t="shared" ref="AP13:AP27" si="11">SQRT(AO13)/AJ13</f>
        <v>0.32002581511391531</v>
      </c>
      <c r="AQ13" s="10"/>
      <c r="AR13" s="10"/>
      <c r="AS13" s="10"/>
      <c r="AT13" s="10" t="s">
        <v>2</v>
      </c>
      <c r="AU13" s="10" t="s">
        <v>2</v>
      </c>
      <c r="AV13" s="10" t="s">
        <v>2023</v>
      </c>
      <c r="AW13" s="10" t="s">
        <v>2547</v>
      </c>
    </row>
    <row r="14" spans="1:54" s="12" customFormat="1" x14ac:dyDescent="0.3">
      <c r="A14" s="10" t="s">
        <v>964</v>
      </c>
      <c r="B14" s="10" t="s">
        <v>60</v>
      </c>
      <c r="C14" s="10" t="s">
        <v>965</v>
      </c>
      <c r="D14" s="10"/>
      <c r="E14" s="10" t="s">
        <v>974</v>
      </c>
      <c r="F14" s="10" t="s">
        <v>2663</v>
      </c>
      <c r="G14" s="10" t="s">
        <v>968</v>
      </c>
      <c r="H14" s="10" t="s">
        <v>17</v>
      </c>
      <c r="I14" s="10" t="s">
        <v>972</v>
      </c>
      <c r="J14" s="10" t="s">
        <v>56</v>
      </c>
      <c r="K14" s="38" t="s">
        <v>966</v>
      </c>
      <c r="L14" s="10">
        <v>3</v>
      </c>
      <c r="M14" s="10">
        <v>3</v>
      </c>
      <c r="N14" s="10"/>
      <c r="O14" s="10">
        <v>0.434</v>
      </c>
      <c r="P14" s="10">
        <v>0.06</v>
      </c>
      <c r="Q14" s="10">
        <v>1.224</v>
      </c>
      <c r="R14" s="10">
        <v>0.187</v>
      </c>
      <c r="S14" s="10"/>
      <c r="T14" s="10"/>
      <c r="U14" s="10">
        <v>0.54100000000000004</v>
      </c>
      <c r="V14" s="10">
        <v>0.13800000000000001</v>
      </c>
      <c r="W14" s="33">
        <f t="shared" ref="W14:W15" si="12">U14-388.3*U14/10000</f>
        <v>0.51999297</v>
      </c>
      <c r="X14" s="10">
        <f t="shared" si="4"/>
        <v>0.1370428420810676</v>
      </c>
      <c r="Y14" s="10">
        <v>1.5649999999999999</v>
      </c>
      <c r="Z14" s="10">
        <v>0.28999999999999998</v>
      </c>
      <c r="AA14" s="25">
        <f>51.3*9.05</f>
        <v>464.26499999999999</v>
      </c>
      <c r="AB14" s="25">
        <f>5.9*9.05</f>
        <v>53.39500000000001</v>
      </c>
      <c r="AC14" s="10"/>
      <c r="AD14" s="10">
        <v>9.0500000000000007</v>
      </c>
      <c r="AE14" s="14">
        <f t="shared" ref="AE14:AE15" si="13">AD14*PI()*(0.288^2)/4</f>
        <v>0.58955379064678337</v>
      </c>
      <c r="AF14" s="25">
        <v>85</v>
      </c>
      <c r="AG14" s="10">
        <f t="shared" si="8"/>
        <v>2044</v>
      </c>
      <c r="AH14" s="14">
        <f t="shared" si="9"/>
        <v>1.1981404838709677</v>
      </c>
      <c r="AI14" s="10"/>
      <c r="AJ14" s="14">
        <f t="shared" si="7"/>
        <v>1.1981404838709677</v>
      </c>
      <c r="AK14" s="14"/>
      <c r="AL14" s="14"/>
      <c r="AM14" s="60">
        <f t="shared" si="10"/>
        <v>0.38143759892515933</v>
      </c>
      <c r="AN14" s="60"/>
      <c r="AO14" s="60">
        <f t="shared" si="5"/>
        <v>0.38143759892515933</v>
      </c>
      <c r="AP14" s="60">
        <f t="shared" si="11"/>
        <v>0.51547072698195384</v>
      </c>
      <c r="AQ14" s="10"/>
      <c r="AR14" s="10"/>
      <c r="AS14" s="10"/>
      <c r="AT14" s="10" t="s">
        <v>2</v>
      </c>
      <c r="AU14" s="10" t="s">
        <v>2</v>
      </c>
      <c r="AV14" s="10" t="s">
        <v>2023</v>
      </c>
      <c r="AW14" s="10" t="s">
        <v>2547</v>
      </c>
    </row>
    <row r="15" spans="1:54" s="12" customFormat="1" x14ac:dyDescent="0.3">
      <c r="A15" s="10" t="s">
        <v>964</v>
      </c>
      <c r="B15" s="10" t="s">
        <v>60</v>
      </c>
      <c r="C15" s="10" t="s">
        <v>965</v>
      </c>
      <c r="D15" s="10"/>
      <c r="E15" s="10" t="s">
        <v>975</v>
      </c>
      <c r="F15" s="10" t="s">
        <v>2663</v>
      </c>
      <c r="G15" s="10" t="s">
        <v>968</v>
      </c>
      <c r="H15" s="10" t="s">
        <v>17</v>
      </c>
      <c r="I15" s="10" t="s">
        <v>973</v>
      </c>
      <c r="J15" s="10" t="s">
        <v>56</v>
      </c>
      <c r="K15" s="38" t="s">
        <v>966</v>
      </c>
      <c r="L15" s="10">
        <v>3</v>
      </c>
      <c r="M15" s="10">
        <v>3</v>
      </c>
      <c r="N15" s="10"/>
      <c r="O15" s="10">
        <v>0.434</v>
      </c>
      <c r="P15" s="10">
        <v>0.06</v>
      </c>
      <c r="Q15" s="10">
        <v>1.224</v>
      </c>
      <c r="R15" s="10">
        <v>0.187</v>
      </c>
      <c r="S15" s="10"/>
      <c r="T15" s="10"/>
      <c r="U15" s="10">
        <v>0.51600000000000001</v>
      </c>
      <c r="V15" s="10">
        <v>6.6000000000000003E-2</v>
      </c>
      <c r="W15" s="33">
        <f t="shared" si="12"/>
        <v>0.49596372</v>
      </c>
      <c r="X15" s="10">
        <f t="shared" si="4"/>
        <v>6.5542228821380152E-2</v>
      </c>
      <c r="Y15" s="10">
        <v>1.7829999999999999</v>
      </c>
      <c r="Z15" s="10">
        <v>0.21199999999999999</v>
      </c>
      <c r="AA15" s="25">
        <v>0</v>
      </c>
      <c r="AB15" s="25">
        <v>0</v>
      </c>
      <c r="AC15" s="10"/>
      <c r="AD15" s="10">
        <v>9.0500000000000007</v>
      </c>
      <c r="AE15" s="14">
        <f t="shared" si="13"/>
        <v>0.58955379064678337</v>
      </c>
      <c r="AF15" s="25">
        <v>85</v>
      </c>
      <c r="AG15" s="10">
        <f t="shared" si="8"/>
        <v>2044</v>
      </c>
      <c r="AH15" s="14">
        <f t="shared" si="9"/>
        <v>1.1427735483870969</v>
      </c>
      <c r="AI15" s="10"/>
      <c r="AJ15" s="14">
        <f t="shared" si="7"/>
        <v>1.1427735483870969</v>
      </c>
      <c r="AK15" s="14"/>
      <c r="AL15" s="14"/>
      <c r="AM15" s="60">
        <f t="shared" si="10"/>
        <v>0.14329997564117636</v>
      </c>
      <c r="AN15" s="60"/>
      <c r="AO15" s="60">
        <f t="shared" si="5"/>
        <v>0.14329997564117636</v>
      </c>
      <c r="AP15" s="60">
        <f t="shared" si="11"/>
        <v>0.33125533311072131</v>
      </c>
      <c r="AQ15" s="10"/>
      <c r="AR15" s="10"/>
      <c r="AS15" s="10"/>
      <c r="AT15" s="10" t="s">
        <v>2</v>
      </c>
      <c r="AU15" s="10" t="s">
        <v>2</v>
      </c>
      <c r="AV15" s="10" t="s">
        <v>2023</v>
      </c>
      <c r="AW15" s="10" t="s">
        <v>2547</v>
      </c>
    </row>
    <row r="16" spans="1:54" s="12" customFormat="1" x14ac:dyDescent="0.3">
      <c r="A16" s="10" t="s">
        <v>964</v>
      </c>
      <c r="B16" s="10" t="s">
        <v>60</v>
      </c>
      <c r="C16" s="10" t="s">
        <v>965</v>
      </c>
      <c r="D16" s="10"/>
      <c r="E16" s="10" t="s">
        <v>924</v>
      </c>
      <c r="F16" s="10" t="s">
        <v>2663</v>
      </c>
      <c r="G16" s="10" t="s">
        <v>968</v>
      </c>
      <c r="H16" s="10" t="s">
        <v>17</v>
      </c>
      <c r="I16" s="10" t="s">
        <v>971</v>
      </c>
      <c r="J16" s="10" t="s">
        <v>56</v>
      </c>
      <c r="K16" s="38" t="s">
        <v>967</v>
      </c>
      <c r="L16" s="10">
        <v>3</v>
      </c>
      <c r="M16" s="10">
        <v>3</v>
      </c>
      <c r="N16" s="10"/>
      <c r="O16" s="10">
        <v>0.216</v>
      </c>
      <c r="P16" s="10">
        <v>2.9000000000000001E-2</v>
      </c>
      <c r="Q16" s="10">
        <v>0.56499999999999995</v>
      </c>
      <c r="R16" s="10">
        <v>8.5000000000000006E-2</v>
      </c>
      <c r="S16" s="10"/>
      <c r="T16" s="10"/>
      <c r="U16" s="10">
        <v>9.6000000000000002E-2</v>
      </c>
      <c r="V16" s="10">
        <v>6.0000000000000001E-3</v>
      </c>
      <c r="W16" s="33">
        <f>U16-301.7*U16/10000</f>
        <v>9.3103680000000008E-2</v>
      </c>
      <c r="X16" s="10">
        <f t="shared" si="4"/>
        <v>5.9742739832184914E-3</v>
      </c>
      <c r="Y16" s="10">
        <v>0.49</v>
      </c>
      <c r="Z16" s="10">
        <v>8.2000000000000003E-2</v>
      </c>
      <c r="AA16" s="25">
        <f>53.4*1.22</f>
        <v>65.147999999999996</v>
      </c>
      <c r="AB16" s="25">
        <f>14.5*1.22</f>
        <v>17.690000000000001</v>
      </c>
      <c r="AC16" s="10"/>
      <c r="AD16" s="10">
        <v>1.22</v>
      </c>
      <c r="AE16" s="14">
        <f>AD16*PI()*(0.652^2)/4</f>
        <v>0.40732859904054886</v>
      </c>
      <c r="AF16" s="25">
        <v>95</v>
      </c>
      <c r="AG16" s="10">
        <f t="shared" ref="AG16:AG24" si="14">124+1687</f>
        <v>1811</v>
      </c>
      <c r="AH16" s="14">
        <f t="shared" si="9"/>
        <v>0.43103555555555562</v>
      </c>
      <c r="AI16" s="10"/>
      <c r="AJ16" s="14">
        <f t="shared" si="7"/>
        <v>0.43103555555555562</v>
      </c>
      <c r="AK16" s="14"/>
      <c r="AL16" s="14"/>
      <c r="AM16" s="60">
        <f t="shared" si="10"/>
        <v>1.2341996360937958E-2</v>
      </c>
      <c r="AN16" s="60"/>
      <c r="AO16" s="60">
        <f t="shared" si="5"/>
        <v>1.2341996360937958E-2</v>
      </c>
      <c r="AP16" s="60">
        <f t="shared" si="11"/>
        <v>0.25773868654657445</v>
      </c>
      <c r="AQ16" s="10"/>
      <c r="AR16" s="10"/>
      <c r="AS16" s="10"/>
      <c r="AT16" s="10" t="s">
        <v>2</v>
      </c>
      <c r="AU16" s="10" t="s">
        <v>2</v>
      </c>
      <c r="AV16" s="10" t="s">
        <v>2023</v>
      </c>
      <c r="AW16" s="10" t="s">
        <v>2547</v>
      </c>
    </row>
    <row r="17" spans="1:54" s="12" customFormat="1" x14ac:dyDescent="0.3">
      <c r="A17" s="10" t="s">
        <v>964</v>
      </c>
      <c r="B17" s="10" t="s">
        <v>60</v>
      </c>
      <c r="C17" s="10" t="s">
        <v>965</v>
      </c>
      <c r="D17" s="10"/>
      <c r="E17" s="10" t="s">
        <v>974</v>
      </c>
      <c r="F17" s="10" t="s">
        <v>2663</v>
      </c>
      <c r="G17" s="10" t="s">
        <v>968</v>
      </c>
      <c r="H17" s="10" t="s">
        <v>17</v>
      </c>
      <c r="I17" s="10" t="s">
        <v>972</v>
      </c>
      <c r="J17" s="10" t="s">
        <v>56</v>
      </c>
      <c r="K17" s="38" t="s">
        <v>967</v>
      </c>
      <c r="L17" s="10">
        <v>3</v>
      </c>
      <c r="M17" s="10">
        <v>3</v>
      </c>
      <c r="N17" s="10"/>
      <c r="O17" s="10">
        <v>0.216</v>
      </c>
      <c r="P17" s="10">
        <v>2.9000000000000001E-2</v>
      </c>
      <c r="Q17" s="10">
        <v>0.56499999999999995</v>
      </c>
      <c r="R17" s="10">
        <v>8.5000000000000006E-2</v>
      </c>
      <c r="S17" s="10"/>
      <c r="T17" s="10"/>
      <c r="U17" s="10">
        <v>0.10299999999999999</v>
      </c>
      <c r="V17" s="10">
        <v>2.5999999999999999E-2</v>
      </c>
      <c r="W17" s="33">
        <f t="shared" ref="W17:W18" si="15">U17-301.7*U17/10000</f>
        <v>9.989249E-2</v>
      </c>
      <c r="X17" s="10">
        <f t="shared" si="4"/>
        <v>2.5888520593946796E-2</v>
      </c>
      <c r="Y17" s="10">
        <v>0.254</v>
      </c>
      <c r="Z17" s="10">
        <v>5.8000000000000003E-2</v>
      </c>
      <c r="AA17" s="25">
        <f>68.1*1.22</f>
        <v>83.081999999999994</v>
      </c>
      <c r="AB17" s="25">
        <f>12.7*1.22</f>
        <v>15.493999999999998</v>
      </c>
      <c r="AC17" s="10"/>
      <c r="AD17" s="10">
        <v>1.22</v>
      </c>
      <c r="AE17" s="14">
        <f t="shared" ref="AE17:AE18" si="16">AD17*PI()*(0.652^2)/4</f>
        <v>0.40732859904054886</v>
      </c>
      <c r="AF17" s="25">
        <v>95</v>
      </c>
      <c r="AG17" s="10">
        <f t="shared" si="14"/>
        <v>1811</v>
      </c>
      <c r="AH17" s="14">
        <f t="shared" si="9"/>
        <v>0.4624652314814815</v>
      </c>
      <c r="AI17" s="10"/>
      <c r="AJ17" s="14">
        <f t="shared" si="7"/>
        <v>0.4624652314814815</v>
      </c>
      <c r="AK17" s="14"/>
      <c r="AL17" s="14"/>
      <c r="AM17" s="60">
        <f t="shared" si="10"/>
        <v>5.466072585584373E-2</v>
      </c>
      <c r="AN17" s="60"/>
      <c r="AO17" s="60">
        <f t="shared" si="5"/>
        <v>5.466072585584373E-2</v>
      </c>
      <c r="AP17" s="60">
        <f t="shared" si="11"/>
        <v>0.50554359165104523</v>
      </c>
      <c r="AQ17" s="10"/>
      <c r="AR17" s="10"/>
      <c r="AS17" s="10"/>
      <c r="AT17" s="10" t="s">
        <v>2</v>
      </c>
      <c r="AU17" s="10" t="s">
        <v>2</v>
      </c>
      <c r="AV17" s="10" t="s">
        <v>2023</v>
      </c>
      <c r="AW17" s="10" t="s">
        <v>2547</v>
      </c>
    </row>
    <row r="18" spans="1:54" s="12" customFormat="1" x14ac:dyDescent="0.3">
      <c r="A18" s="10" t="s">
        <v>964</v>
      </c>
      <c r="B18" s="10" t="s">
        <v>60</v>
      </c>
      <c r="C18" s="10" t="s">
        <v>965</v>
      </c>
      <c r="D18" s="10"/>
      <c r="E18" s="10" t="s">
        <v>975</v>
      </c>
      <c r="F18" s="10" t="s">
        <v>2663</v>
      </c>
      <c r="G18" s="10" t="s">
        <v>968</v>
      </c>
      <c r="H18" s="10" t="s">
        <v>17</v>
      </c>
      <c r="I18" s="10" t="s">
        <v>973</v>
      </c>
      <c r="J18" s="10" t="s">
        <v>56</v>
      </c>
      <c r="K18" s="38" t="s">
        <v>967</v>
      </c>
      <c r="L18" s="10">
        <v>3</v>
      </c>
      <c r="M18" s="10">
        <v>3</v>
      </c>
      <c r="N18" s="10"/>
      <c r="O18" s="10">
        <v>0.216</v>
      </c>
      <c r="P18" s="10">
        <v>2.9000000000000001E-2</v>
      </c>
      <c r="Q18" s="10">
        <v>0.56499999999999995</v>
      </c>
      <c r="R18" s="10">
        <v>8.5000000000000006E-2</v>
      </c>
      <c r="S18" s="10"/>
      <c r="T18" s="10"/>
      <c r="U18" s="10">
        <v>0.505</v>
      </c>
      <c r="V18" s="10">
        <v>7.0000000000000007E-2</v>
      </c>
      <c r="W18" s="33">
        <f t="shared" si="15"/>
        <v>0.48976415000000001</v>
      </c>
      <c r="X18" s="10">
        <f t="shared" si="4"/>
        <v>6.969986313754907E-2</v>
      </c>
      <c r="Y18" s="10">
        <v>2.2919999999999998</v>
      </c>
      <c r="Z18" s="10">
        <v>0.4</v>
      </c>
      <c r="AA18" s="25">
        <f>0.2*1.22</f>
        <v>0.24399999999999999</v>
      </c>
      <c r="AB18" s="25">
        <f>0.2*1.22</f>
        <v>0.24399999999999999</v>
      </c>
      <c r="AC18" s="10"/>
      <c r="AD18" s="10">
        <v>1.22</v>
      </c>
      <c r="AE18" s="14">
        <f t="shared" si="16"/>
        <v>0.40732859904054886</v>
      </c>
      <c r="AF18" s="25">
        <v>95</v>
      </c>
      <c r="AG18" s="10">
        <f t="shared" si="14"/>
        <v>1811</v>
      </c>
      <c r="AH18" s="14">
        <f t="shared" si="9"/>
        <v>2.2674266203703706</v>
      </c>
      <c r="AI18" s="10"/>
      <c r="AJ18" s="14">
        <f t="shared" si="7"/>
        <v>2.2674266203703706</v>
      </c>
      <c r="AK18" s="14"/>
      <c r="AL18" s="14"/>
      <c r="AM18" s="60">
        <f t="shared" si="10"/>
        <v>0.59039608198519589</v>
      </c>
      <c r="AN18" s="60"/>
      <c r="AO18" s="60">
        <f t="shared" si="5"/>
        <v>0.59039608198519589</v>
      </c>
      <c r="AP18" s="60">
        <f t="shared" si="11"/>
        <v>0.33887418981431328</v>
      </c>
      <c r="AQ18" s="10"/>
      <c r="AR18" s="10"/>
      <c r="AS18" s="10"/>
      <c r="AT18" s="10" t="s">
        <v>2</v>
      </c>
      <c r="AU18" s="10" t="s">
        <v>2</v>
      </c>
      <c r="AV18" s="10" t="s">
        <v>2023</v>
      </c>
      <c r="AW18" s="10" t="s">
        <v>2547</v>
      </c>
    </row>
    <row r="19" spans="1:54" s="12" customFormat="1" x14ac:dyDescent="0.3">
      <c r="A19" s="10" t="s">
        <v>964</v>
      </c>
      <c r="B19" s="10" t="s">
        <v>60</v>
      </c>
      <c r="C19" s="10" t="s">
        <v>965</v>
      </c>
      <c r="D19" s="10"/>
      <c r="E19" s="10">
        <v>2001</v>
      </c>
      <c r="F19" s="10" t="s">
        <v>2663</v>
      </c>
      <c r="G19" s="10" t="s">
        <v>968</v>
      </c>
      <c r="H19" s="10" t="s">
        <v>17</v>
      </c>
      <c r="I19" s="10" t="s">
        <v>971</v>
      </c>
      <c r="J19" s="10" t="s">
        <v>53</v>
      </c>
      <c r="K19" s="38" t="s">
        <v>966</v>
      </c>
      <c r="L19" s="10">
        <v>3</v>
      </c>
      <c r="M19" s="10">
        <v>3</v>
      </c>
      <c r="N19" s="10"/>
      <c r="O19" s="10">
        <v>0.434</v>
      </c>
      <c r="P19" s="10">
        <v>0.05</v>
      </c>
      <c r="Q19" s="10">
        <v>1.8939999999999999</v>
      </c>
      <c r="R19" s="10">
        <v>0.182</v>
      </c>
      <c r="S19" s="10"/>
      <c r="T19" s="10"/>
      <c r="U19" s="10">
        <v>0.64500000000000002</v>
      </c>
      <c r="V19" s="10">
        <v>0.14299999999999999</v>
      </c>
      <c r="W19" s="33">
        <f>U19-388.3*U19/10000</f>
        <v>0.61995465000000005</v>
      </c>
      <c r="X19" s="10">
        <f t="shared" si="4"/>
        <v>0.14200816244632364</v>
      </c>
      <c r="Y19" s="10">
        <v>2.476</v>
      </c>
      <c r="Z19" s="10">
        <v>0.55600000000000005</v>
      </c>
      <c r="AA19" s="25">
        <f>15*9.05</f>
        <v>135.75</v>
      </c>
      <c r="AB19" s="25">
        <f>2.6*9.05</f>
        <v>23.53</v>
      </c>
      <c r="AC19" s="10"/>
      <c r="AD19" s="10">
        <v>9.0500000000000007</v>
      </c>
      <c r="AE19" s="14">
        <f>AD19*PI()*(0.288^2)/4</f>
        <v>0.58955379064678337</v>
      </c>
      <c r="AF19" s="25">
        <v>85</v>
      </c>
      <c r="AG19" s="10">
        <f t="shared" si="8"/>
        <v>2044</v>
      </c>
      <c r="AH19" s="14">
        <f t="shared" si="9"/>
        <v>1.428466935483871</v>
      </c>
      <c r="AI19" s="10"/>
      <c r="AJ19" s="14">
        <f t="shared" si="7"/>
        <v>1.428466935483871</v>
      </c>
      <c r="AK19" s="14"/>
      <c r="AL19" s="14"/>
      <c r="AM19" s="60">
        <f t="shared" si="10"/>
        <v>0.40244450931971604</v>
      </c>
      <c r="AN19" s="60"/>
      <c r="AO19" s="60">
        <f t="shared" si="5"/>
        <v>0.40244450931971604</v>
      </c>
      <c r="AP19" s="60">
        <f t="shared" si="11"/>
        <v>0.44410208383129102</v>
      </c>
      <c r="AQ19" s="10"/>
      <c r="AR19" s="10"/>
      <c r="AS19" s="10"/>
      <c r="AT19" s="10" t="s">
        <v>2</v>
      </c>
      <c r="AU19" s="10" t="s">
        <v>2</v>
      </c>
      <c r="AV19" s="10" t="s">
        <v>2023</v>
      </c>
      <c r="AW19" s="10" t="s">
        <v>2547</v>
      </c>
    </row>
    <row r="20" spans="1:54" s="12" customFormat="1" x14ac:dyDescent="0.3">
      <c r="A20" s="10" t="s">
        <v>964</v>
      </c>
      <c r="B20" s="10" t="s">
        <v>60</v>
      </c>
      <c r="C20" s="10" t="s">
        <v>965</v>
      </c>
      <c r="D20" s="10"/>
      <c r="E20" s="10">
        <v>2001</v>
      </c>
      <c r="F20" s="10" t="s">
        <v>2663</v>
      </c>
      <c r="G20" s="10" t="s">
        <v>968</v>
      </c>
      <c r="H20" s="10" t="s">
        <v>17</v>
      </c>
      <c r="I20" s="10" t="s">
        <v>972</v>
      </c>
      <c r="J20" s="10" t="s">
        <v>53</v>
      </c>
      <c r="K20" s="38" t="s">
        <v>966</v>
      </c>
      <c r="L20" s="10">
        <v>3</v>
      </c>
      <c r="M20" s="10">
        <v>3</v>
      </c>
      <c r="N20" s="10"/>
      <c r="O20" s="10">
        <v>0.434</v>
      </c>
      <c r="P20" s="10">
        <v>0.05</v>
      </c>
      <c r="Q20" s="10">
        <v>1.8939999999999999</v>
      </c>
      <c r="R20" s="10">
        <v>0.182</v>
      </c>
      <c r="S20" s="10"/>
      <c r="T20" s="10"/>
      <c r="U20" s="10">
        <v>0.71399999999999997</v>
      </c>
      <c r="V20" s="10">
        <v>0.20300000000000001</v>
      </c>
      <c r="W20" s="33">
        <f t="shared" ref="W20:W21" si="17">U20-388.3*U20/10000</f>
        <v>0.68627537999999999</v>
      </c>
      <c r="X20" s="10">
        <f t="shared" si="4"/>
        <v>0.20159200682939654</v>
      </c>
      <c r="Y20" s="10">
        <v>3.4159999999999999</v>
      </c>
      <c r="Z20" s="10">
        <v>0.85099999999999998</v>
      </c>
      <c r="AA20" s="25">
        <f>15.6*9.05</f>
        <v>141.18</v>
      </c>
      <c r="AB20" s="25">
        <f>2.2*9.05</f>
        <v>19.910000000000004</v>
      </c>
      <c r="AC20" s="10"/>
      <c r="AD20" s="10">
        <v>9.0500000000000007</v>
      </c>
      <c r="AE20" s="14">
        <f t="shared" ref="AE20:AE21" si="18">AD20*PI()*(0.288^2)/4</f>
        <v>0.58955379064678337</v>
      </c>
      <c r="AF20" s="25">
        <v>85</v>
      </c>
      <c r="AG20" s="10">
        <f t="shared" si="8"/>
        <v>2044</v>
      </c>
      <c r="AH20" s="14">
        <f t="shared" si="9"/>
        <v>1.5812796774193549</v>
      </c>
      <c r="AI20" s="10"/>
      <c r="AJ20" s="14">
        <f t="shared" si="7"/>
        <v>1.5812796774193549</v>
      </c>
      <c r="AK20" s="14"/>
      <c r="AL20" s="14"/>
      <c r="AM20" s="60">
        <f t="shared" si="10"/>
        <v>0.74683764939346942</v>
      </c>
      <c r="AN20" s="60"/>
      <c r="AO20" s="60">
        <f t="shared" si="5"/>
        <v>0.74683764939346942</v>
      </c>
      <c r="AP20" s="60">
        <f t="shared" si="11"/>
        <v>0.54651792690016732</v>
      </c>
      <c r="AQ20" s="10"/>
      <c r="AR20" s="10"/>
      <c r="AS20" s="10"/>
      <c r="AT20" s="10" t="s">
        <v>2</v>
      </c>
      <c r="AU20" s="10" t="s">
        <v>2</v>
      </c>
      <c r="AV20" s="10" t="s">
        <v>2023</v>
      </c>
      <c r="AW20" s="10" t="s">
        <v>2547</v>
      </c>
    </row>
    <row r="21" spans="1:54" s="12" customFormat="1" x14ac:dyDescent="0.3">
      <c r="A21" s="10" t="s">
        <v>964</v>
      </c>
      <c r="B21" s="10" t="s">
        <v>60</v>
      </c>
      <c r="C21" s="10" t="s">
        <v>965</v>
      </c>
      <c r="D21" s="10"/>
      <c r="E21" s="10">
        <v>2001</v>
      </c>
      <c r="F21" s="10" t="s">
        <v>2663</v>
      </c>
      <c r="G21" s="10" t="s">
        <v>968</v>
      </c>
      <c r="H21" s="10" t="s">
        <v>17</v>
      </c>
      <c r="I21" s="10" t="s">
        <v>973</v>
      </c>
      <c r="J21" s="10" t="s">
        <v>53</v>
      </c>
      <c r="K21" s="38" t="s">
        <v>966</v>
      </c>
      <c r="L21" s="10">
        <v>3</v>
      </c>
      <c r="M21" s="10">
        <v>3</v>
      </c>
      <c r="N21" s="10"/>
      <c r="O21" s="10">
        <v>0.434</v>
      </c>
      <c r="P21" s="10">
        <v>0.05</v>
      </c>
      <c r="Q21" s="10">
        <v>1.8939999999999999</v>
      </c>
      <c r="R21" s="10">
        <v>0.182</v>
      </c>
      <c r="S21" s="10"/>
      <c r="T21" s="10"/>
      <c r="U21" s="10">
        <v>1.0980000000000001</v>
      </c>
      <c r="V21" s="10">
        <v>0.28000000000000003</v>
      </c>
      <c r="W21" s="33">
        <f t="shared" si="17"/>
        <v>1.0553646600000002</v>
      </c>
      <c r="X21" s="10">
        <f t="shared" si="4"/>
        <v>0.27805794045434007</v>
      </c>
      <c r="Y21" s="10">
        <v>5.2439999999999998</v>
      </c>
      <c r="Z21" s="10">
        <v>1.694</v>
      </c>
      <c r="AA21" s="25">
        <f>0.5*9.05</f>
        <v>4.5250000000000004</v>
      </c>
      <c r="AB21" s="25">
        <f>0.3*9.05</f>
        <v>2.7150000000000003</v>
      </c>
      <c r="AC21" s="10"/>
      <c r="AD21" s="10">
        <v>9.0500000000000007</v>
      </c>
      <c r="AE21" s="14">
        <f t="shared" si="18"/>
        <v>0.58955379064678337</v>
      </c>
      <c r="AF21" s="25">
        <v>85</v>
      </c>
      <c r="AG21" s="10">
        <f t="shared" si="8"/>
        <v>2044</v>
      </c>
      <c r="AH21" s="14">
        <f t="shared" si="9"/>
        <v>2.4317158064516131</v>
      </c>
      <c r="AI21" s="10"/>
      <c r="AJ21" s="14">
        <f t="shared" si="7"/>
        <v>2.4317158064516131</v>
      </c>
      <c r="AK21" s="14"/>
      <c r="AL21" s="14"/>
      <c r="AM21" s="60">
        <f t="shared" si="10"/>
        <v>1.466892310169188</v>
      </c>
      <c r="AN21" s="60"/>
      <c r="AO21" s="60">
        <f t="shared" si="5"/>
        <v>1.466892310169188</v>
      </c>
      <c r="AP21" s="60">
        <f t="shared" si="11"/>
        <v>0.49806531435042406</v>
      </c>
      <c r="AQ21" s="10"/>
      <c r="AR21" s="10"/>
      <c r="AS21" s="10"/>
      <c r="AT21" s="10" t="s">
        <v>2</v>
      </c>
      <c r="AU21" s="10" t="s">
        <v>2</v>
      </c>
      <c r="AV21" s="10" t="s">
        <v>2023</v>
      </c>
      <c r="AW21" s="10" t="s">
        <v>2547</v>
      </c>
    </row>
    <row r="22" spans="1:54" s="12" customFormat="1" x14ac:dyDescent="0.3">
      <c r="A22" s="10" t="s">
        <v>964</v>
      </c>
      <c r="B22" s="10" t="s">
        <v>60</v>
      </c>
      <c r="C22" s="10" t="s">
        <v>965</v>
      </c>
      <c r="D22" s="10"/>
      <c r="E22" s="10">
        <v>2001</v>
      </c>
      <c r="F22" s="10" t="s">
        <v>2663</v>
      </c>
      <c r="G22" s="10" t="s">
        <v>968</v>
      </c>
      <c r="H22" s="10" t="s">
        <v>17</v>
      </c>
      <c r="I22" s="10" t="s">
        <v>971</v>
      </c>
      <c r="J22" s="10" t="s">
        <v>53</v>
      </c>
      <c r="K22" s="38" t="s">
        <v>967</v>
      </c>
      <c r="L22" s="10">
        <v>3</v>
      </c>
      <c r="M22" s="10">
        <v>3</v>
      </c>
      <c r="N22" s="10"/>
      <c r="O22" s="10">
        <v>0.77100000000000002</v>
      </c>
      <c r="P22" s="10">
        <v>0.29799999999999999</v>
      </c>
      <c r="Q22" s="10">
        <v>3.9129999999999998</v>
      </c>
      <c r="R22" s="10">
        <v>1.331</v>
      </c>
      <c r="S22" s="10"/>
      <c r="T22" s="10"/>
      <c r="U22" s="10">
        <v>0.42299999999999999</v>
      </c>
      <c r="V22" s="10">
        <v>0.124</v>
      </c>
      <c r="W22" s="33">
        <f>U22-301.7*U22/10000</f>
        <v>0.41023809</v>
      </c>
      <c r="X22" s="10">
        <f t="shared" si="4"/>
        <v>0.1234683289865155</v>
      </c>
      <c r="Y22" s="10">
        <v>2.3340000000000001</v>
      </c>
      <c r="Z22" s="10">
        <v>0.65100000000000002</v>
      </c>
      <c r="AA22" s="25">
        <f>70.2*1.22</f>
        <v>85.644000000000005</v>
      </c>
      <c r="AB22" s="25">
        <f>9.4*1.22</f>
        <v>11.468</v>
      </c>
      <c r="AC22" s="10"/>
      <c r="AD22" s="10">
        <v>1.22</v>
      </c>
      <c r="AE22" s="14">
        <f>AD22*PI()*(0.652^2)/4</f>
        <v>0.40732859904054886</v>
      </c>
      <c r="AF22" s="25">
        <v>95</v>
      </c>
      <c r="AG22" s="10">
        <f t="shared" si="14"/>
        <v>1811</v>
      </c>
      <c r="AH22" s="14">
        <f t="shared" si="9"/>
        <v>0.53208571984435793</v>
      </c>
      <c r="AI22" s="10"/>
      <c r="AJ22" s="14">
        <f t="shared" si="7"/>
        <v>0.53208571984435793</v>
      </c>
      <c r="AK22" s="14"/>
      <c r="AL22" s="14"/>
      <c r="AM22" s="60">
        <f t="shared" si="10"/>
        <v>0.20381934453343575</v>
      </c>
      <c r="AN22" s="60"/>
      <c r="AO22" s="60">
        <f t="shared" si="5"/>
        <v>0.20381934453343575</v>
      </c>
      <c r="AP22" s="60">
        <f t="shared" si="11"/>
        <v>0.8484789978936208</v>
      </c>
      <c r="AQ22" s="10"/>
      <c r="AR22" s="10"/>
      <c r="AS22" s="10"/>
      <c r="AT22" s="10" t="s">
        <v>2</v>
      </c>
      <c r="AU22" s="10" t="s">
        <v>2</v>
      </c>
      <c r="AV22" s="10" t="s">
        <v>2023</v>
      </c>
      <c r="AW22" s="10" t="s">
        <v>2547</v>
      </c>
    </row>
    <row r="23" spans="1:54" s="12" customFormat="1" x14ac:dyDescent="0.3">
      <c r="A23" s="10" t="s">
        <v>964</v>
      </c>
      <c r="B23" s="10" t="s">
        <v>60</v>
      </c>
      <c r="C23" s="10" t="s">
        <v>965</v>
      </c>
      <c r="D23" s="10"/>
      <c r="E23" s="10">
        <v>2001</v>
      </c>
      <c r="F23" s="10" t="s">
        <v>2663</v>
      </c>
      <c r="G23" s="10" t="s">
        <v>968</v>
      </c>
      <c r="H23" s="10" t="s">
        <v>17</v>
      </c>
      <c r="I23" s="10" t="s">
        <v>972</v>
      </c>
      <c r="J23" s="10" t="s">
        <v>53</v>
      </c>
      <c r="K23" s="38" t="s">
        <v>967</v>
      </c>
      <c r="L23" s="10">
        <v>3</v>
      </c>
      <c r="M23" s="10">
        <v>3</v>
      </c>
      <c r="N23" s="10"/>
      <c r="O23" s="10">
        <v>0.77100000000000002</v>
      </c>
      <c r="P23" s="10">
        <v>0.29799999999999999</v>
      </c>
      <c r="Q23" s="10">
        <v>3.9129999999999998</v>
      </c>
      <c r="R23" s="10">
        <v>1.331</v>
      </c>
      <c r="S23" s="10"/>
      <c r="T23" s="10"/>
      <c r="U23" s="10">
        <v>0.25700000000000001</v>
      </c>
      <c r="V23" s="10">
        <v>7.4999999999999997E-2</v>
      </c>
      <c r="W23" s="33">
        <f t="shared" ref="W23:W24" si="19">U23-301.7*U23/10000</f>
        <v>0.24924631</v>
      </c>
      <c r="X23" s="10">
        <f t="shared" si="4"/>
        <v>7.4678424790231138E-2</v>
      </c>
      <c r="Y23" s="10">
        <v>1.9419999999999999</v>
      </c>
      <c r="Z23" s="10">
        <v>0.34399999999999997</v>
      </c>
      <c r="AA23" s="25">
        <f>67.8*1.22</f>
        <v>82.715999999999994</v>
      </c>
      <c r="AB23" s="25">
        <f>10.2*1.22</f>
        <v>12.443999999999999</v>
      </c>
      <c r="AC23" s="10"/>
      <c r="AD23" s="10">
        <v>1.22</v>
      </c>
      <c r="AE23" s="14">
        <f t="shared" ref="AE23:AE24" si="20">AD23*PI()*(0.652^2)/4</f>
        <v>0.40732859904054886</v>
      </c>
      <c r="AF23" s="25">
        <v>95</v>
      </c>
      <c r="AG23" s="10">
        <f t="shared" si="14"/>
        <v>1811</v>
      </c>
      <c r="AH23" s="14">
        <f t="shared" si="9"/>
        <v>0.32327666666666666</v>
      </c>
      <c r="AI23" s="10"/>
      <c r="AJ23" s="14">
        <f t="shared" si="7"/>
        <v>0.32327666666666666</v>
      </c>
      <c r="AK23" s="14"/>
      <c r="AL23" s="14"/>
      <c r="AM23" s="60">
        <f t="shared" si="10"/>
        <v>7.4982604255980245E-2</v>
      </c>
      <c r="AN23" s="60"/>
      <c r="AO23" s="60">
        <f t="shared" si="5"/>
        <v>7.4982604255980245E-2</v>
      </c>
      <c r="AP23" s="60">
        <f t="shared" si="11"/>
        <v>0.84704386368554696</v>
      </c>
      <c r="AQ23" s="10"/>
      <c r="AR23" s="10"/>
      <c r="AS23" s="10"/>
      <c r="AT23" s="10" t="s">
        <v>2</v>
      </c>
      <c r="AU23" s="10" t="s">
        <v>2</v>
      </c>
      <c r="AV23" s="10" t="s">
        <v>2023</v>
      </c>
      <c r="AW23" s="10" t="s">
        <v>2547</v>
      </c>
    </row>
    <row r="24" spans="1:54" s="12" customFormat="1" x14ac:dyDescent="0.3">
      <c r="A24" s="10" t="s">
        <v>964</v>
      </c>
      <c r="B24" s="10" t="s">
        <v>60</v>
      </c>
      <c r="C24" s="10" t="s">
        <v>965</v>
      </c>
      <c r="D24" s="10"/>
      <c r="E24" s="10">
        <v>2001</v>
      </c>
      <c r="F24" s="10" t="s">
        <v>2663</v>
      </c>
      <c r="G24" s="10" t="s">
        <v>968</v>
      </c>
      <c r="H24" s="10" t="s">
        <v>17</v>
      </c>
      <c r="I24" s="10" t="s">
        <v>973</v>
      </c>
      <c r="J24" s="10" t="s">
        <v>53</v>
      </c>
      <c r="K24" s="38" t="s">
        <v>967</v>
      </c>
      <c r="L24" s="10">
        <v>3</v>
      </c>
      <c r="M24" s="10">
        <v>3</v>
      </c>
      <c r="N24" s="10"/>
      <c r="O24" s="10">
        <v>0.77100000000000002</v>
      </c>
      <c r="P24" s="10">
        <v>0.29799999999999999</v>
      </c>
      <c r="Q24" s="10">
        <v>3.9129999999999998</v>
      </c>
      <c r="R24" s="10">
        <v>1.331</v>
      </c>
      <c r="S24" s="10"/>
      <c r="T24" s="10"/>
      <c r="U24" s="10">
        <v>0.67100000000000004</v>
      </c>
      <c r="V24" s="10">
        <v>0.22</v>
      </c>
      <c r="W24" s="33">
        <f t="shared" si="19"/>
        <v>0.65075593000000009</v>
      </c>
      <c r="X24" s="10">
        <f t="shared" si="4"/>
        <v>0.21905671271801136</v>
      </c>
      <c r="Y24" s="10">
        <v>3.6360000000000001</v>
      </c>
      <c r="Z24" s="10">
        <v>1.454</v>
      </c>
      <c r="AA24" s="25">
        <f>7.6*1.22</f>
        <v>9.2720000000000002</v>
      </c>
      <c r="AB24" s="25">
        <f>2.2*1.22</f>
        <v>2.6840000000000002</v>
      </c>
      <c r="AC24" s="10"/>
      <c r="AD24" s="10">
        <v>1.22</v>
      </c>
      <c r="AE24" s="14">
        <f t="shared" si="20"/>
        <v>0.40732859904054886</v>
      </c>
      <c r="AF24" s="25">
        <v>95</v>
      </c>
      <c r="AG24" s="10">
        <f t="shared" si="14"/>
        <v>1811</v>
      </c>
      <c r="AH24" s="14">
        <f t="shared" si="9"/>
        <v>0.84404141374837882</v>
      </c>
      <c r="AI24" s="10"/>
      <c r="AJ24" s="14">
        <f t="shared" si="7"/>
        <v>0.84404141374837882</v>
      </c>
      <c r="AK24" s="14"/>
      <c r="AL24" s="14"/>
      <c r="AM24" s="60">
        <f t="shared" si="10"/>
        <v>0.56145355544984066</v>
      </c>
      <c r="AN24" s="60"/>
      <c r="AO24" s="60">
        <f t="shared" si="5"/>
        <v>0.56145355544984066</v>
      </c>
      <c r="AP24" s="60">
        <f t="shared" si="11"/>
        <v>0.88775507141523491</v>
      </c>
      <c r="AQ24" s="10"/>
      <c r="AR24" s="10"/>
      <c r="AS24" s="10"/>
      <c r="AT24" s="10" t="s">
        <v>2</v>
      </c>
      <c r="AU24" s="10" t="s">
        <v>2</v>
      </c>
      <c r="AV24" s="10" t="s">
        <v>2023</v>
      </c>
      <c r="AW24" s="10" t="s">
        <v>2547</v>
      </c>
    </row>
    <row r="25" spans="1:54" s="10" customFormat="1" x14ac:dyDescent="0.3">
      <c r="A25" s="10" t="s">
        <v>977</v>
      </c>
      <c r="B25" s="10" t="s">
        <v>60</v>
      </c>
      <c r="D25" s="10" t="s">
        <v>1993</v>
      </c>
      <c r="E25" s="10">
        <v>1990</v>
      </c>
      <c r="F25" s="10" t="s">
        <v>2663</v>
      </c>
      <c r="H25" s="10" t="s">
        <v>17</v>
      </c>
      <c r="I25" s="10" t="s">
        <v>978</v>
      </c>
      <c r="J25" s="10" t="s">
        <v>53</v>
      </c>
      <c r="K25" s="38" t="s">
        <v>55</v>
      </c>
      <c r="L25" s="10">
        <v>10</v>
      </c>
      <c r="M25" s="10">
        <v>10</v>
      </c>
      <c r="O25" s="10">
        <v>0.2</v>
      </c>
      <c r="P25" s="10">
        <v>0.1</v>
      </c>
      <c r="U25" s="10">
        <v>0.5</v>
      </c>
      <c r="V25" s="10">
        <v>0.2</v>
      </c>
      <c r="W25" s="13"/>
      <c r="AD25" s="10">
        <v>38</v>
      </c>
      <c r="AH25" s="14">
        <f t="shared" ref="AH25:AH61" si="21">U25/O25</f>
        <v>2.5</v>
      </c>
      <c r="AJ25" s="14">
        <f t="shared" si="7"/>
        <v>2.5</v>
      </c>
      <c r="AK25" s="14"/>
      <c r="AL25" s="14"/>
      <c r="AM25" s="60">
        <f>((V25*SQRT(L25))^2)/(O25^2)+((P25*SQRT(L25))^2)*(U25^2)/(O25^4)</f>
        <v>25.625</v>
      </c>
      <c r="AN25" s="60"/>
      <c r="AO25" s="60">
        <f t="shared" si="5"/>
        <v>25.625</v>
      </c>
      <c r="AP25" s="60">
        <f t="shared" si="11"/>
        <v>2.0248456731316589</v>
      </c>
      <c r="AR25" s="10" t="s">
        <v>1</v>
      </c>
      <c r="AT25" s="10" t="s">
        <v>2</v>
      </c>
      <c r="AU25" s="10" t="s">
        <v>2</v>
      </c>
      <c r="AV25" s="10" t="s">
        <v>2023</v>
      </c>
      <c r="AW25" s="10" t="s">
        <v>2548</v>
      </c>
      <c r="BB25" s="26"/>
    </row>
    <row r="26" spans="1:54" s="10" customFormat="1" x14ac:dyDescent="0.3">
      <c r="A26" s="10" t="s">
        <v>977</v>
      </c>
      <c r="B26" s="10" t="s">
        <v>60</v>
      </c>
      <c r="D26" s="10" t="s">
        <v>1994</v>
      </c>
      <c r="E26" s="10">
        <v>1990</v>
      </c>
      <c r="F26" s="10" t="s">
        <v>2663</v>
      </c>
      <c r="H26" s="10" t="s">
        <v>17</v>
      </c>
      <c r="I26" s="10" t="s">
        <v>979</v>
      </c>
      <c r="J26" s="10" t="s">
        <v>53</v>
      </c>
      <c r="K26" s="38" t="s">
        <v>55</v>
      </c>
      <c r="L26" s="10">
        <v>10</v>
      </c>
      <c r="M26" s="10">
        <v>10</v>
      </c>
      <c r="O26" s="10">
        <v>0.7</v>
      </c>
      <c r="P26" s="10">
        <v>0.2</v>
      </c>
      <c r="U26" s="10">
        <v>1.6</v>
      </c>
      <c r="V26" s="10">
        <v>0.8</v>
      </c>
      <c r="W26" s="13"/>
      <c r="AD26" s="10">
        <v>21</v>
      </c>
      <c r="AH26" s="14">
        <f t="shared" si="21"/>
        <v>2.285714285714286</v>
      </c>
      <c r="AJ26" s="14">
        <f t="shared" si="7"/>
        <v>2.285714285714286</v>
      </c>
      <c r="AK26" s="14"/>
      <c r="AL26" s="14"/>
      <c r="AM26" s="60">
        <f>((V26*SQRT(L26))^2)/(O26^2)+((P26*SQRT(L26))^2)*(U26^2)/(O26^4)</f>
        <v>17.326114119117044</v>
      </c>
      <c r="AN26" s="60"/>
      <c r="AO26" s="60">
        <f t="shared" si="5"/>
        <v>17.326114119117044</v>
      </c>
      <c r="AP26" s="60">
        <f t="shared" si="11"/>
        <v>1.8210783977117091</v>
      </c>
      <c r="AR26" s="10" t="s">
        <v>1</v>
      </c>
      <c r="AT26" s="10" t="s">
        <v>2</v>
      </c>
      <c r="AU26" s="10" t="s">
        <v>2</v>
      </c>
      <c r="AV26" s="10" t="s">
        <v>2023</v>
      </c>
      <c r="AW26" s="10" t="s">
        <v>2548</v>
      </c>
      <c r="BB26" s="26"/>
    </row>
    <row r="27" spans="1:54" s="10" customFormat="1" x14ac:dyDescent="0.3">
      <c r="A27" s="10" t="s">
        <v>977</v>
      </c>
      <c r="B27" s="10" t="s">
        <v>60</v>
      </c>
      <c r="D27" s="10" t="s">
        <v>1995</v>
      </c>
      <c r="E27" s="10">
        <v>1990</v>
      </c>
      <c r="F27" s="10" t="s">
        <v>2663</v>
      </c>
      <c r="H27" s="10" t="s">
        <v>17</v>
      </c>
      <c r="I27" s="10" t="s">
        <v>980</v>
      </c>
      <c r="J27" s="10" t="s">
        <v>53</v>
      </c>
      <c r="K27" s="38" t="s">
        <v>55</v>
      </c>
      <c r="L27" s="10">
        <v>10</v>
      </c>
      <c r="M27" s="10">
        <v>10</v>
      </c>
      <c r="O27" s="10">
        <v>0.9</v>
      </c>
      <c r="P27" s="10">
        <v>0.4</v>
      </c>
      <c r="U27" s="10">
        <v>1.8</v>
      </c>
      <c r="V27" s="10">
        <v>0.7</v>
      </c>
      <c r="W27" s="13"/>
      <c r="AD27" s="10">
        <v>24</v>
      </c>
      <c r="AH27" s="14">
        <f t="shared" si="21"/>
        <v>2</v>
      </c>
      <c r="AJ27" s="14">
        <f t="shared" si="7"/>
        <v>2</v>
      </c>
      <c r="AK27" s="14"/>
      <c r="AL27" s="14"/>
      <c r="AM27" s="60">
        <f>((V27*SQRT(L27))^2)/(O27^2)+((P27*SQRT(L27))^2)*(U27^2)/(O27^4)</f>
        <v>13.950617283950619</v>
      </c>
      <c r="AN27" s="60"/>
      <c r="AO27" s="60">
        <f t="shared" si="5"/>
        <v>13.950617283950619</v>
      </c>
      <c r="AP27" s="60">
        <f t="shared" si="11"/>
        <v>1.8675262571079569</v>
      </c>
      <c r="AR27" s="10" t="s">
        <v>1</v>
      </c>
      <c r="AT27" s="10" t="s">
        <v>2</v>
      </c>
      <c r="AU27" s="10" t="s">
        <v>2</v>
      </c>
      <c r="AV27" s="10" t="s">
        <v>2023</v>
      </c>
      <c r="AW27" s="10" t="s">
        <v>2549</v>
      </c>
      <c r="BB27" s="26"/>
    </row>
    <row r="28" spans="1:54" s="10" customFormat="1" x14ac:dyDescent="0.3">
      <c r="A28" s="10" t="s">
        <v>981</v>
      </c>
      <c r="B28" s="10" t="s">
        <v>58</v>
      </c>
      <c r="C28" s="10" t="s">
        <v>983</v>
      </c>
      <c r="D28" s="10" t="s">
        <v>982</v>
      </c>
      <c r="E28" s="10">
        <v>2004</v>
      </c>
      <c r="F28" s="10" t="s">
        <v>2663</v>
      </c>
      <c r="H28" s="10" t="s">
        <v>17</v>
      </c>
      <c r="I28" s="10" t="s">
        <v>927</v>
      </c>
      <c r="J28" s="10" t="s">
        <v>691</v>
      </c>
      <c r="K28" s="38" t="s">
        <v>984</v>
      </c>
      <c r="L28" s="10">
        <v>4</v>
      </c>
      <c r="M28" s="10">
        <v>4</v>
      </c>
      <c r="O28" s="10">
        <v>7.8E-2</v>
      </c>
      <c r="U28" s="10">
        <v>0.19</v>
      </c>
      <c r="W28" s="10">
        <f>U28</f>
        <v>0.19</v>
      </c>
      <c r="AD28" s="25">
        <f>(1500+1833)/2</f>
        <v>1666.5</v>
      </c>
      <c r="AH28" s="14">
        <f t="shared" si="21"/>
        <v>2.4358974358974361</v>
      </c>
      <c r="AJ28" s="14">
        <f t="shared" si="7"/>
        <v>2.4358974358974361</v>
      </c>
      <c r="AK28" s="14"/>
      <c r="AL28" s="14"/>
      <c r="AM28" s="60"/>
      <c r="AN28" s="60"/>
      <c r="AO28" s="60"/>
      <c r="AP28" s="60"/>
      <c r="AR28" s="10" t="s">
        <v>1</v>
      </c>
      <c r="AT28" s="10" t="s">
        <v>2</v>
      </c>
      <c r="AU28" s="10" t="s">
        <v>2</v>
      </c>
      <c r="AV28" s="10" t="s">
        <v>3</v>
      </c>
      <c r="AW28" s="10" t="s">
        <v>2550</v>
      </c>
    </row>
    <row r="29" spans="1:54" s="10" customFormat="1" x14ac:dyDescent="0.3">
      <c r="A29" s="10" t="s">
        <v>981</v>
      </c>
      <c r="B29" s="10" t="s">
        <v>58</v>
      </c>
      <c r="C29" s="10" t="s">
        <v>983</v>
      </c>
      <c r="D29" s="10" t="s">
        <v>982</v>
      </c>
      <c r="E29" s="10">
        <v>2004</v>
      </c>
      <c r="F29" s="10" t="s">
        <v>2663</v>
      </c>
      <c r="H29" s="10" t="s">
        <v>17</v>
      </c>
      <c r="I29" s="10" t="s">
        <v>985</v>
      </c>
      <c r="J29" s="10" t="s">
        <v>691</v>
      </c>
      <c r="K29" s="38" t="s">
        <v>984</v>
      </c>
      <c r="L29" s="10">
        <v>4</v>
      </c>
      <c r="M29" s="10">
        <v>4</v>
      </c>
      <c r="O29" s="10">
        <v>0.10299999999999999</v>
      </c>
      <c r="U29" s="10">
        <v>0.13500000000000001</v>
      </c>
      <c r="W29" s="10">
        <f t="shared" ref="W29:W39" si="22">U29</f>
        <v>0.13500000000000001</v>
      </c>
      <c r="AD29" s="25">
        <f t="shared" ref="AD29:AD39" si="23">(1500+1833)/2</f>
        <v>1666.5</v>
      </c>
      <c r="AH29" s="14">
        <f t="shared" si="21"/>
        <v>1.3106796116504855</v>
      </c>
      <c r="AJ29" s="14">
        <f t="shared" si="7"/>
        <v>1.3106796116504855</v>
      </c>
      <c r="AK29" s="14"/>
      <c r="AL29" s="14"/>
      <c r="AM29" s="43"/>
      <c r="AN29" s="43"/>
      <c r="AO29" s="43"/>
      <c r="AP29" s="43"/>
      <c r="AQ29" s="10">
        <f>AQ30/2</f>
        <v>4.5</v>
      </c>
      <c r="AR29" s="10" t="s">
        <v>1</v>
      </c>
      <c r="AT29" s="10" t="s">
        <v>2</v>
      </c>
      <c r="AU29" s="10" t="s">
        <v>2</v>
      </c>
      <c r="AV29" s="10" t="s">
        <v>3</v>
      </c>
      <c r="AW29" s="10" t="s">
        <v>2550</v>
      </c>
    </row>
    <row r="30" spans="1:54" s="10" customFormat="1" x14ac:dyDescent="0.3">
      <c r="A30" s="10" t="s">
        <v>981</v>
      </c>
      <c r="B30" s="10" t="s">
        <v>58</v>
      </c>
      <c r="C30" s="10" t="s">
        <v>983</v>
      </c>
      <c r="D30" s="10" t="s">
        <v>982</v>
      </c>
      <c r="E30" s="10">
        <v>2004</v>
      </c>
      <c r="F30" s="10" t="s">
        <v>2663</v>
      </c>
      <c r="H30" s="10" t="s">
        <v>17</v>
      </c>
      <c r="I30" s="10" t="s">
        <v>986</v>
      </c>
      <c r="J30" s="10" t="s">
        <v>691</v>
      </c>
      <c r="K30" s="38" t="s">
        <v>984</v>
      </c>
      <c r="L30" s="10">
        <v>4</v>
      </c>
      <c r="M30" s="10">
        <v>4</v>
      </c>
      <c r="O30" s="10">
        <v>0.11600000000000001</v>
      </c>
      <c r="U30" s="10">
        <v>0.153</v>
      </c>
      <c r="W30" s="10">
        <f t="shared" si="22"/>
        <v>0.153</v>
      </c>
      <c r="AD30" s="25">
        <f t="shared" si="23"/>
        <v>1666.5</v>
      </c>
      <c r="AH30" s="14">
        <f t="shared" si="21"/>
        <v>1.3189655172413792</v>
      </c>
      <c r="AJ30" s="14">
        <f t="shared" si="7"/>
        <v>1.3189655172413792</v>
      </c>
      <c r="AK30" s="14"/>
      <c r="AL30" s="14"/>
      <c r="AM30" s="43"/>
      <c r="AN30" s="43"/>
      <c r="AO30" s="43"/>
      <c r="AP30" s="43"/>
      <c r="AQ30" s="10">
        <v>9</v>
      </c>
      <c r="AR30" s="10" t="s">
        <v>1</v>
      </c>
      <c r="AT30" s="10" t="s">
        <v>2</v>
      </c>
      <c r="AU30" s="10" t="s">
        <v>2</v>
      </c>
      <c r="AV30" s="10" t="s">
        <v>3</v>
      </c>
      <c r="AW30" s="10" t="s">
        <v>2550</v>
      </c>
    </row>
    <row r="31" spans="1:54" s="10" customFormat="1" x14ac:dyDescent="0.3">
      <c r="A31" s="10" t="s">
        <v>981</v>
      </c>
      <c r="B31" s="10" t="s">
        <v>58</v>
      </c>
      <c r="C31" s="10" t="s">
        <v>983</v>
      </c>
      <c r="D31" s="10" t="s">
        <v>982</v>
      </c>
      <c r="E31" s="10">
        <v>2004</v>
      </c>
      <c r="F31" s="10" t="s">
        <v>2663</v>
      </c>
      <c r="H31" s="10" t="s">
        <v>17</v>
      </c>
      <c r="I31" s="10" t="s">
        <v>987</v>
      </c>
      <c r="J31" s="10" t="s">
        <v>691</v>
      </c>
      <c r="K31" s="38" t="s">
        <v>984</v>
      </c>
      <c r="L31" s="10">
        <v>4</v>
      </c>
      <c r="M31" s="10">
        <v>4</v>
      </c>
      <c r="O31" s="10">
        <v>9.0999999999999998E-2</v>
      </c>
      <c r="U31" s="10">
        <v>0.20300000000000001</v>
      </c>
      <c r="W31" s="10">
        <f t="shared" si="22"/>
        <v>0.20300000000000001</v>
      </c>
      <c r="AD31" s="25">
        <f t="shared" si="23"/>
        <v>1666.5</v>
      </c>
      <c r="AH31" s="14">
        <f t="shared" si="21"/>
        <v>2.2307692307692308</v>
      </c>
      <c r="AJ31" s="14">
        <f t="shared" si="7"/>
        <v>2.2307692307692308</v>
      </c>
      <c r="AK31" s="14"/>
      <c r="AL31" s="14"/>
      <c r="AM31" s="43"/>
      <c r="AN31" s="43"/>
      <c r="AO31" s="43"/>
      <c r="AP31" s="43"/>
      <c r="AQ31" s="10">
        <f>AQ30*1.5</f>
        <v>13.5</v>
      </c>
      <c r="AR31" s="10" t="s">
        <v>1</v>
      </c>
      <c r="AT31" s="10" t="s">
        <v>2</v>
      </c>
      <c r="AU31" s="10" t="s">
        <v>2</v>
      </c>
      <c r="AV31" s="10" t="s">
        <v>3</v>
      </c>
      <c r="AW31" s="10" t="s">
        <v>2550</v>
      </c>
    </row>
    <row r="32" spans="1:54" s="10" customFormat="1" x14ac:dyDescent="0.3">
      <c r="A32" s="10" t="s">
        <v>981</v>
      </c>
      <c r="B32" s="10" t="s">
        <v>58</v>
      </c>
      <c r="C32" s="10" t="s">
        <v>983</v>
      </c>
      <c r="D32" s="10" t="s">
        <v>982</v>
      </c>
      <c r="E32" s="10">
        <v>2005</v>
      </c>
      <c r="F32" s="10" t="s">
        <v>2663</v>
      </c>
      <c r="H32" s="10" t="s">
        <v>17</v>
      </c>
      <c r="I32" s="10" t="s">
        <v>985</v>
      </c>
      <c r="J32" s="10" t="s">
        <v>56</v>
      </c>
      <c r="K32" s="38" t="s">
        <v>984</v>
      </c>
      <c r="L32" s="10">
        <v>4</v>
      </c>
      <c r="M32" s="10">
        <v>4</v>
      </c>
      <c r="O32" s="10">
        <v>0.14799999999999999</v>
      </c>
      <c r="Q32" s="10">
        <v>1.083</v>
      </c>
      <c r="U32" s="10">
        <v>0.35899999999999999</v>
      </c>
      <c r="W32" s="10">
        <f t="shared" si="22"/>
        <v>0.35899999999999999</v>
      </c>
      <c r="Y32" s="10">
        <v>1.7669999999999999</v>
      </c>
      <c r="AD32" s="25">
        <f t="shared" si="23"/>
        <v>1666.5</v>
      </c>
      <c r="AH32" s="14">
        <f t="shared" si="21"/>
        <v>2.4256756756756759</v>
      </c>
      <c r="AJ32" s="14">
        <f t="shared" si="7"/>
        <v>2.4256756756756759</v>
      </c>
      <c r="AK32" s="14"/>
      <c r="AL32" s="14"/>
      <c r="AM32" s="43"/>
      <c r="AN32" s="43"/>
      <c r="AO32" s="43"/>
      <c r="AP32" s="43"/>
      <c r="AQ32" s="10">
        <f>AQ33*0.5</f>
        <v>34.25</v>
      </c>
      <c r="AR32" s="10" t="s">
        <v>1</v>
      </c>
      <c r="AT32" s="10" t="s">
        <v>2</v>
      </c>
      <c r="AU32" s="10" t="s">
        <v>2</v>
      </c>
      <c r="AV32" s="10" t="s">
        <v>3</v>
      </c>
      <c r="AW32" s="61" t="s">
        <v>2551</v>
      </c>
    </row>
    <row r="33" spans="1:49" s="10" customFormat="1" x14ac:dyDescent="0.3">
      <c r="A33" s="10" t="s">
        <v>981</v>
      </c>
      <c r="B33" s="10" t="s">
        <v>58</v>
      </c>
      <c r="C33" s="10" t="s">
        <v>983</v>
      </c>
      <c r="D33" s="10" t="s">
        <v>982</v>
      </c>
      <c r="E33" s="10">
        <v>2005</v>
      </c>
      <c r="F33" s="10" t="s">
        <v>2663</v>
      </c>
      <c r="H33" s="10" t="s">
        <v>17</v>
      </c>
      <c r="I33" s="10" t="s">
        <v>986</v>
      </c>
      <c r="J33" s="10" t="s">
        <v>56</v>
      </c>
      <c r="K33" s="38" t="s">
        <v>984</v>
      </c>
      <c r="L33" s="10">
        <v>4</v>
      </c>
      <c r="M33" s="10">
        <v>4</v>
      </c>
      <c r="O33" s="10">
        <v>0.27800000000000002</v>
      </c>
      <c r="Q33" s="10">
        <v>1.653</v>
      </c>
      <c r="U33" s="10">
        <v>0.42199999999999999</v>
      </c>
      <c r="W33" s="10">
        <f t="shared" si="22"/>
        <v>0.42199999999999999</v>
      </c>
      <c r="Y33" s="10">
        <v>1.8149999999999999</v>
      </c>
      <c r="AD33" s="25">
        <f t="shared" si="23"/>
        <v>1666.5</v>
      </c>
      <c r="AH33" s="14">
        <f t="shared" si="21"/>
        <v>1.5179856115107913</v>
      </c>
      <c r="AJ33" s="14">
        <f t="shared" si="7"/>
        <v>1.5179856115107913</v>
      </c>
      <c r="AK33" s="14"/>
      <c r="AL33" s="14"/>
      <c r="AM33" s="43"/>
      <c r="AN33" s="43"/>
      <c r="AO33" s="43"/>
      <c r="AP33" s="43"/>
      <c r="AQ33" s="10">
        <f>22.5+46</f>
        <v>68.5</v>
      </c>
      <c r="AR33" s="10" t="s">
        <v>1</v>
      </c>
      <c r="AT33" s="10" t="s">
        <v>2</v>
      </c>
      <c r="AU33" s="10" t="s">
        <v>2</v>
      </c>
      <c r="AV33" s="10" t="s">
        <v>3</v>
      </c>
      <c r="AW33" s="61" t="s">
        <v>2551</v>
      </c>
    </row>
    <row r="34" spans="1:49" s="10" customFormat="1" x14ac:dyDescent="0.3">
      <c r="A34" s="10" t="s">
        <v>981</v>
      </c>
      <c r="B34" s="10" t="s">
        <v>58</v>
      </c>
      <c r="C34" s="10" t="s">
        <v>983</v>
      </c>
      <c r="D34" s="10" t="s">
        <v>982</v>
      </c>
      <c r="E34" s="10">
        <v>2005</v>
      </c>
      <c r="F34" s="10" t="s">
        <v>2663</v>
      </c>
      <c r="H34" s="10" t="s">
        <v>17</v>
      </c>
      <c r="I34" s="10" t="s">
        <v>987</v>
      </c>
      <c r="J34" s="10" t="s">
        <v>56</v>
      </c>
      <c r="K34" s="38" t="s">
        <v>984</v>
      </c>
      <c r="L34" s="10">
        <v>4</v>
      </c>
      <c r="M34" s="10">
        <v>4</v>
      </c>
      <c r="O34" s="10">
        <v>0.503</v>
      </c>
      <c r="Q34" s="10">
        <v>2.1219999999999999</v>
      </c>
      <c r="U34" s="10">
        <v>0.60499999999999998</v>
      </c>
      <c r="W34" s="10">
        <f t="shared" si="22"/>
        <v>0.60499999999999998</v>
      </c>
      <c r="Y34" s="10">
        <v>3.34</v>
      </c>
      <c r="AD34" s="25">
        <f t="shared" si="23"/>
        <v>1666.5</v>
      </c>
      <c r="AH34" s="14">
        <f t="shared" si="21"/>
        <v>1.2027833001988071</v>
      </c>
      <c r="AJ34" s="14">
        <f t="shared" si="7"/>
        <v>1.2027833001988071</v>
      </c>
      <c r="AK34" s="14"/>
      <c r="AL34" s="14"/>
      <c r="AM34" s="43"/>
      <c r="AN34" s="43"/>
      <c r="AO34" s="43"/>
      <c r="AP34" s="43"/>
      <c r="AQ34" s="10">
        <f>AQ33*1.5</f>
        <v>102.75</v>
      </c>
      <c r="AR34" s="10" t="s">
        <v>1</v>
      </c>
      <c r="AT34" s="10" t="s">
        <v>2</v>
      </c>
      <c r="AU34" s="10" t="s">
        <v>2</v>
      </c>
      <c r="AV34" s="10" t="s">
        <v>3</v>
      </c>
      <c r="AW34" s="61" t="s">
        <v>2551</v>
      </c>
    </row>
    <row r="35" spans="1:49" s="10" customFormat="1" x14ac:dyDescent="0.3">
      <c r="A35" s="10" t="s">
        <v>981</v>
      </c>
      <c r="B35" s="10" t="s">
        <v>58</v>
      </c>
      <c r="C35" s="10" t="s">
        <v>983</v>
      </c>
      <c r="D35" s="10" t="s">
        <v>982</v>
      </c>
      <c r="E35" s="10">
        <v>2006</v>
      </c>
      <c r="F35" s="10" t="s">
        <v>2663</v>
      </c>
      <c r="H35" s="10" t="s">
        <v>17</v>
      </c>
      <c r="I35" s="10" t="s">
        <v>927</v>
      </c>
      <c r="J35" s="10" t="s">
        <v>691</v>
      </c>
      <c r="K35" s="38" t="s">
        <v>984</v>
      </c>
      <c r="L35" s="10">
        <v>4</v>
      </c>
      <c r="M35" s="10">
        <v>4</v>
      </c>
      <c r="O35" s="10">
        <v>0.27300000000000002</v>
      </c>
      <c r="U35" s="10">
        <v>0.38400000000000001</v>
      </c>
      <c r="W35" s="10">
        <f t="shared" si="22"/>
        <v>0.38400000000000001</v>
      </c>
      <c r="AD35" s="25">
        <f t="shared" si="23"/>
        <v>1666.5</v>
      </c>
      <c r="AH35" s="14">
        <f t="shared" si="21"/>
        <v>1.4065934065934065</v>
      </c>
      <c r="AJ35" s="14">
        <f t="shared" si="7"/>
        <v>1.4065934065934065</v>
      </c>
      <c r="AK35" s="14"/>
      <c r="AL35" s="14"/>
      <c r="AM35" s="43"/>
      <c r="AN35" s="43"/>
      <c r="AO35" s="43"/>
      <c r="AP35" s="43"/>
      <c r="AR35" s="10" t="s">
        <v>1</v>
      </c>
      <c r="AT35" s="10" t="s">
        <v>2</v>
      </c>
      <c r="AU35" s="10" t="s">
        <v>2</v>
      </c>
      <c r="AV35" s="10" t="s">
        <v>3</v>
      </c>
      <c r="AW35" s="10" t="s">
        <v>2550</v>
      </c>
    </row>
    <row r="36" spans="1:49" s="10" customFormat="1" x14ac:dyDescent="0.3">
      <c r="A36" s="10" t="s">
        <v>981</v>
      </c>
      <c r="B36" s="10" t="s">
        <v>58</v>
      </c>
      <c r="C36" s="10" t="s">
        <v>983</v>
      </c>
      <c r="D36" s="10" t="s">
        <v>982</v>
      </c>
      <c r="E36" s="10">
        <v>2006</v>
      </c>
      <c r="F36" s="10" t="s">
        <v>2663</v>
      </c>
      <c r="H36" s="10" t="s">
        <v>17</v>
      </c>
      <c r="I36" s="10" t="s">
        <v>985</v>
      </c>
      <c r="J36" s="10" t="s">
        <v>691</v>
      </c>
      <c r="K36" s="38" t="s">
        <v>984</v>
      </c>
      <c r="L36" s="10">
        <v>4</v>
      </c>
      <c r="M36" s="10">
        <v>4</v>
      </c>
      <c r="O36" s="10">
        <v>0.44900000000000001</v>
      </c>
      <c r="U36" s="10">
        <v>0.54200000000000004</v>
      </c>
      <c r="W36" s="10">
        <f t="shared" si="22"/>
        <v>0.54200000000000004</v>
      </c>
      <c r="AD36" s="25">
        <f t="shared" si="23"/>
        <v>1666.5</v>
      </c>
      <c r="AH36" s="14">
        <f t="shared" si="21"/>
        <v>1.2071269487750558</v>
      </c>
      <c r="AJ36" s="14">
        <f t="shared" si="7"/>
        <v>1.2071269487750558</v>
      </c>
      <c r="AK36" s="14"/>
      <c r="AL36" s="14"/>
      <c r="AM36" s="43"/>
      <c r="AN36" s="43"/>
      <c r="AO36" s="43"/>
      <c r="AP36" s="43"/>
      <c r="AQ36" s="10">
        <f>AQ37/2</f>
        <v>4.5</v>
      </c>
      <c r="AR36" s="10" t="s">
        <v>1</v>
      </c>
      <c r="AT36" s="10" t="s">
        <v>2</v>
      </c>
      <c r="AU36" s="10" t="s">
        <v>2</v>
      </c>
      <c r="AV36" s="10" t="s">
        <v>3</v>
      </c>
      <c r="AW36" s="10" t="s">
        <v>2550</v>
      </c>
    </row>
    <row r="37" spans="1:49" s="10" customFormat="1" x14ac:dyDescent="0.3">
      <c r="A37" s="10" t="s">
        <v>981</v>
      </c>
      <c r="B37" s="10" t="s">
        <v>58</v>
      </c>
      <c r="C37" s="10" t="s">
        <v>983</v>
      </c>
      <c r="D37" s="10" t="s">
        <v>982</v>
      </c>
      <c r="E37" s="10">
        <v>2006</v>
      </c>
      <c r="F37" s="10" t="s">
        <v>2663</v>
      </c>
      <c r="H37" s="10" t="s">
        <v>17</v>
      </c>
      <c r="I37" s="10" t="s">
        <v>986</v>
      </c>
      <c r="J37" s="10" t="s">
        <v>691</v>
      </c>
      <c r="K37" s="38" t="s">
        <v>984</v>
      </c>
      <c r="L37" s="10">
        <v>4</v>
      </c>
      <c r="M37" s="10">
        <v>4</v>
      </c>
      <c r="O37" s="10">
        <v>0.57899999999999996</v>
      </c>
      <c r="U37" s="10">
        <v>0.55600000000000005</v>
      </c>
      <c r="W37" s="10">
        <f t="shared" si="22"/>
        <v>0.55600000000000005</v>
      </c>
      <c r="AD37" s="25">
        <f t="shared" si="23"/>
        <v>1666.5</v>
      </c>
      <c r="AH37" s="14">
        <f t="shared" si="21"/>
        <v>0.96027633851468064</v>
      </c>
      <c r="AJ37" s="14">
        <f t="shared" si="7"/>
        <v>0.96027633851468064</v>
      </c>
      <c r="AK37" s="14"/>
      <c r="AL37" s="14"/>
      <c r="AM37" s="43"/>
      <c r="AN37" s="43"/>
      <c r="AO37" s="43"/>
      <c r="AP37" s="43"/>
      <c r="AQ37" s="10">
        <v>9</v>
      </c>
      <c r="AR37" s="10" t="s">
        <v>1</v>
      </c>
      <c r="AT37" s="10" t="s">
        <v>2</v>
      </c>
      <c r="AU37" s="10" t="s">
        <v>2</v>
      </c>
      <c r="AV37" s="10" t="s">
        <v>3</v>
      </c>
      <c r="AW37" s="10" t="s">
        <v>2550</v>
      </c>
    </row>
    <row r="38" spans="1:49" s="10" customFormat="1" x14ac:dyDescent="0.3">
      <c r="A38" s="10" t="s">
        <v>981</v>
      </c>
      <c r="B38" s="10" t="s">
        <v>58</v>
      </c>
      <c r="C38" s="10" t="s">
        <v>983</v>
      </c>
      <c r="D38" s="10" t="s">
        <v>982</v>
      </c>
      <c r="E38" s="10">
        <v>2006</v>
      </c>
      <c r="F38" s="10" t="s">
        <v>2663</v>
      </c>
      <c r="H38" s="10" t="s">
        <v>17</v>
      </c>
      <c r="I38" s="10" t="s">
        <v>987</v>
      </c>
      <c r="J38" s="10" t="s">
        <v>691</v>
      </c>
      <c r="K38" s="38" t="s">
        <v>984</v>
      </c>
      <c r="L38" s="10">
        <v>4</v>
      </c>
      <c r="M38" s="10">
        <v>4</v>
      </c>
      <c r="O38" s="10">
        <v>0.53200000000000003</v>
      </c>
      <c r="U38" s="10">
        <v>0.70799999999999996</v>
      </c>
      <c r="W38" s="10">
        <f t="shared" si="22"/>
        <v>0.70799999999999996</v>
      </c>
      <c r="AD38" s="25">
        <f t="shared" si="23"/>
        <v>1666.5</v>
      </c>
      <c r="AH38" s="14">
        <f t="shared" si="21"/>
        <v>1.3308270676691727</v>
      </c>
      <c r="AJ38" s="14">
        <f t="shared" si="7"/>
        <v>1.3308270676691727</v>
      </c>
      <c r="AK38" s="14"/>
      <c r="AL38" s="14"/>
      <c r="AM38" s="43"/>
      <c r="AN38" s="43"/>
      <c r="AO38" s="43"/>
      <c r="AP38" s="43"/>
      <c r="AQ38" s="10">
        <f>AQ37*1.5</f>
        <v>13.5</v>
      </c>
      <c r="AR38" s="10" t="s">
        <v>1</v>
      </c>
      <c r="AT38" s="10" t="s">
        <v>2</v>
      </c>
      <c r="AU38" s="10" t="s">
        <v>2</v>
      </c>
      <c r="AV38" s="10" t="s">
        <v>3</v>
      </c>
      <c r="AW38" s="10" t="s">
        <v>2550</v>
      </c>
    </row>
    <row r="39" spans="1:49" s="10" customFormat="1" x14ac:dyDescent="0.3">
      <c r="A39" s="10" t="s">
        <v>981</v>
      </c>
      <c r="B39" s="10" t="s">
        <v>58</v>
      </c>
      <c r="C39" s="10" t="s">
        <v>983</v>
      </c>
      <c r="D39" s="10" t="s">
        <v>982</v>
      </c>
      <c r="E39" s="10">
        <v>2007</v>
      </c>
      <c r="F39" s="10" t="s">
        <v>2663</v>
      </c>
      <c r="H39" s="10" t="s">
        <v>17</v>
      </c>
      <c r="I39" s="10" t="s">
        <v>986</v>
      </c>
      <c r="J39" s="10" t="s">
        <v>56</v>
      </c>
      <c r="K39" s="38" t="s">
        <v>984</v>
      </c>
      <c r="L39" s="10">
        <v>4</v>
      </c>
      <c r="M39" s="10">
        <v>4</v>
      </c>
      <c r="O39" s="10">
        <v>0.2</v>
      </c>
      <c r="Q39" s="10">
        <v>1.411</v>
      </c>
      <c r="U39" s="10">
        <v>0.378</v>
      </c>
      <c r="W39" s="10">
        <f t="shared" si="22"/>
        <v>0.378</v>
      </c>
      <c r="Y39" s="10">
        <v>1.8919999999999999</v>
      </c>
      <c r="AD39" s="25">
        <f t="shared" si="23"/>
        <v>1666.5</v>
      </c>
      <c r="AH39" s="14">
        <f t="shared" si="21"/>
        <v>1.89</v>
      </c>
      <c r="AJ39" s="14">
        <f t="shared" si="7"/>
        <v>1.89</v>
      </c>
      <c r="AK39" s="14"/>
      <c r="AL39" s="14"/>
      <c r="AM39" s="43"/>
      <c r="AN39" s="43"/>
      <c r="AO39" s="43"/>
      <c r="AP39" s="43"/>
      <c r="AQ39" s="10">
        <f>22.5+46</f>
        <v>68.5</v>
      </c>
      <c r="AR39" s="26" t="s">
        <v>1</v>
      </c>
      <c r="AT39" s="10" t="s">
        <v>2</v>
      </c>
      <c r="AU39" s="10" t="s">
        <v>2</v>
      </c>
      <c r="AV39" s="10" t="s">
        <v>3</v>
      </c>
      <c r="AW39" s="61" t="s">
        <v>2551</v>
      </c>
    </row>
    <row r="40" spans="1:49" s="10" customFormat="1" x14ac:dyDescent="0.3">
      <c r="A40" s="10" t="s">
        <v>988</v>
      </c>
      <c r="B40" s="10" t="s">
        <v>58</v>
      </c>
      <c r="C40" s="10" t="s">
        <v>983</v>
      </c>
      <c r="D40" s="10" t="s">
        <v>989</v>
      </c>
      <c r="E40" s="10">
        <v>2004</v>
      </c>
      <c r="F40" s="10" t="s">
        <v>2663</v>
      </c>
      <c r="H40" s="10" t="s">
        <v>17</v>
      </c>
      <c r="I40" s="10" t="s">
        <v>927</v>
      </c>
      <c r="J40" s="10" t="s">
        <v>691</v>
      </c>
      <c r="K40" s="16" t="s">
        <v>990</v>
      </c>
      <c r="L40" s="10">
        <v>4</v>
      </c>
      <c r="M40" s="10">
        <v>4</v>
      </c>
      <c r="O40" s="10">
        <v>0.63700000000000001</v>
      </c>
      <c r="Q40" s="10">
        <v>1.1259999999999999</v>
      </c>
      <c r="U40" s="10">
        <v>0.69699999999999995</v>
      </c>
      <c r="W40" s="10">
        <f t="shared" ref="W40:W55" si="24">U40</f>
        <v>0.69699999999999995</v>
      </c>
      <c r="Y40" s="10">
        <v>1.2350000000000001</v>
      </c>
      <c r="AD40" s="10">
        <f>(888+1555)/2</f>
        <v>1221.5</v>
      </c>
      <c r="AH40" s="14">
        <f t="shared" si="21"/>
        <v>1.0941915227629513</v>
      </c>
      <c r="AJ40" s="14">
        <f t="shared" si="7"/>
        <v>1.0941915227629513</v>
      </c>
      <c r="AK40" s="14"/>
      <c r="AL40" s="14"/>
      <c r="AM40" s="43"/>
      <c r="AN40" s="43"/>
      <c r="AO40" s="43"/>
      <c r="AP40" s="43"/>
      <c r="AR40" s="10" t="s">
        <v>1</v>
      </c>
      <c r="AT40" s="10" t="s">
        <v>2</v>
      </c>
      <c r="AU40" s="10" t="s">
        <v>2</v>
      </c>
      <c r="AV40" s="10" t="s">
        <v>3</v>
      </c>
      <c r="AW40" s="10" t="s">
        <v>2552</v>
      </c>
    </row>
    <row r="41" spans="1:49" s="10" customFormat="1" x14ac:dyDescent="0.3">
      <c r="A41" s="10" t="s">
        <v>988</v>
      </c>
      <c r="B41" s="10" t="s">
        <v>58</v>
      </c>
      <c r="C41" s="10" t="s">
        <v>983</v>
      </c>
      <c r="D41" s="10" t="s">
        <v>989</v>
      </c>
      <c r="E41" s="10">
        <v>2004</v>
      </c>
      <c r="F41" s="10" t="s">
        <v>2663</v>
      </c>
      <c r="H41" s="10" t="s">
        <v>17</v>
      </c>
      <c r="I41" s="10" t="s">
        <v>985</v>
      </c>
      <c r="J41" s="10" t="s">
        <v>691</v>
      </c>
      <c r="K41" s="16" t="s">
        <v>990</v>
      </c>
      <c r="L41" s="10">
        <v>4</v>
      </c>
      <c r="M41" s="10">
        <v>4</v>
      </c>
      <c r="O41" s="10">
        <v>0.55100000000000005</v>
      </c>
      <c r="Q41" s="10">
        <v>1.2310000000000001</v>
      </c>
      <c r="U41" s="10">
        <v>0.63900000000000001</v>
      </c>
      <c r="W41" s="10">
        <f t="shared" si="24"/>
        <v>0.63900000000000001</v>
      </c>
      <c r="Y41" s="10">
        <v>1.2410000000000001</v>
      </c>
      <c r="AD41" s="10">
        <f t="shared" ref="AD41:AD46" si="25">(888+1555)/2</f>
        <v>1221.5</v>
      </c>
      <c r="AH41" s="14">
        <f t="shared" si="21"/>
        <v>1.1597096188747731</v>
      </c>
      <c r="AJ41" s="14">
        <f t="shared" si="7"/>
        <v>1.1597096188747731</v>
      </c>
      <c r="AK41" s="14"/>
      <c r="AL41" s="14"/>
      <c r="AM41" s="43"/>
      <c r="AN41" s="43"/>
      <c r="AO41" s="43"/>
      <c r="AP41" s="43"/>
      <c r="AQ41" s="10">
        <f>AQ42/2</f>
        <v>4.5</v>
      </c>
      <c r="AR41" s="10" t="s">
        <v>1</v>
      </c>
      <c r="AT41" s="10" t="s">
        <v>2</v>
      </c>
      <c r="AU41" s="10" t="s">
        <v>2</v>
      </c>
      <c r="AV41" s="10" t="s">
        <v>3</v>
      </c>
      <c r="AW41" s="10" t="s">
        <v>2552</v>
      </c>
    </row>
    <row r="42" spans="1:49" s="10" customFormat="1" x14ac:dyDescent="0.3">
      <c r="A42" s="10" t="s">
        <v>988</v>
      </c>
      <c r="B42" s="10" t="s">
        <v>58</v>
      </c>
      <c r="C42" s="10" t="s">
        <v>983</v>
      </c>
      <c r="D42" s="10" t="s">
        <v>989</v>
      </c>
      <c r="E42" s="10">
        <v>2004</v>
      </c>
      <c r="F42" s="10" t="s">
        <v>2663</v>
      </c>
      <c r="H42" s="10" t="s">
        <v>17</v>
      </c>
      <c r="I42" s="10" t="s">
        <v>986</v>
      </c>
      <c r="J42" s="10" t="s">
        <v>691</v>
      </c>
      <c r="K42" s="16" t="s">
        <v>990</v>
      </c>
      <c r="L42" s="10">
        <v>4</v>
      </c>
      <c r="M42" s="10">
        <v>4</v>
      </c>
      <c r="O42" s="10">
        <v>0.46100000000000002</v>
      </c>
      <c r="Q42" s="10">
        <v>1.2589999999999999</v>
      </c>
      <c r="U42" s="10">
        <v>0.69899999999999995</v>
      </c>
      <c r="W42" s="10">
        <f t="shared" si="24"/>
        <v>0.69899999999999995</v>
      </c>
      <c r="Y42" s="10">
        <v>1.552</v>
      </c>
      <c r="AD42" s="10">
        <f t="shared" si="25"/>
        <v>1221.5</v>
      </c>
      <c r="AH42" s="14">
        <f t="shared" si="21"/>
        <v>1.5162689804772234</v>
      </c>
      <c r="AJ42" s="14">
        <f t="shared" si="7"/>
        <v>1.5162689804772234</v>
      </c>
      <c r="AK42" s="14"/>
      <c r="AL42" s="14"/>
      <c r="AM42" s="43"/>
      <c r="AN42" s="43"/>
      <c r="AO42" s="43"/>
      <c r="AP42" s="43"/>
      <c r="AQ42" s="10">
        <v>9</v>
      </c>
      <c r="AR42" s="10" t="s">
        <v>1</v>
      </c>
      <c r="AT42" s="10" t="s">
        <v>2</v>
      </c>
      <c r="AU42" s="10" t="s">
        <v>2</v>
      </c>
      <c r="AV42" s="10" t="s">
        <v>3</v>
      </c>
      <c r="AW42" s="10" t="s">
        <v>2552</v>
      </c>
    </row>
    <row r="43" spans="1:49" s="10" customFormat="1" x14ac:dyDescent="0.3">
      <c r="A43" s="10" t="s">
        <v>988</v>
      </c>
      <c r="B43" s="10" t="s">
        <v>58</v>
      </c>
      <c r="C43" s="10" t="s">
        <v>983</v>
      </c>
      <c r="D43" s="10" t="s">
        <v>989</v>
      </c>
      <c r="E43" s="10">
        <v>2004</v>
      </c>
      <c r="F43" s="10" t="s">
        <v>2663</v>
      </c>
      <c r="H43" s="10" t="s">
        <v>17</v>
      </c>
      <c r="I43" s="10" t="s">
        <v>987</v>
      </c>
      <c r="J43" s="10" t="s">
        <v>691</v>
      </c>
      <c r="K43" s="16" t="s">
        <v>990</v>
      </c>
      <c r="L43" s="10">
        <v>4</v>
      </c>
      <c r="M43" s="10">
        <v>4</v>
      </c>
      <c r="O43" s="10">
        <v>0.52200000000000002</v>
      </c>
      <c r="Q43" s="10">
        <v>1.3129999999999999</v>
      </c>
      <c r="U43" s="10">
        <v>0.60599999999999998</v>
      </c>
      <c r="W43" s="10">
        <f t="shared" si="24"/>
        <v>0.60599999999999998</v>
      </c>
      <c r="Y43" s="10">
        <v>1.5740000000000001</v>
      </c>
      <c r="AD43" s="10">
        <f t="shared" si="25"/>
        <v>1221.5</v>
      </c>
      <c r="AH43" s="14">
        <f t="shared" si="21"/>
        <v>1.1609195402298851</v>
      </c>
      <c r="AJ43" s="14">
        <f t="shared" si="7"/>
        <v>1.1609195402298851</v>
      </c>
      <c r="AK43" s="14"/>
      <c r="AL43" s="14"/>
      <c r="AM43" s="43"/>
      <c r="AN43" s="43"/>
      <c r="AO43" s="43"/>
      <c r="AP43" s="43"/>
      <c r="AQ43" s="10">
        <f>AQ42*1.5</f>
        <v>13.5</v>
      </c>
      <c r="AR43" s="10" t="s">
        <v>1</v>
      </c>
      <c r="AT43" s="10" t="s">
        <v>2</v>
      </c>
      <c r="AU43" s="10" t="s">
        <v>2</v>
      </c>
      <c r="AV43" s="10" t="s">
        <v>3</v>
      </c>
      <c r="AW43" s="10" t="s">
        <v>2552</v>
      </c>
    </row>
    <row r="44" spans="1:49" s="10" customFormat="1" x14ac:dyDescent="0.3">
      <c r="A44" s="10" t="s">
        <v>988</v>
      </c>
      <c r="B44" s="10" t="s">
        <v>58</v>
      </c>
      <c r="C44" s="10" t="s">
        <v>983</v>
      </c>
      <c r="D44" s="10" t="s">
        <v>989</v>
      </c>
      <c r="E44" s="10">
        <v>2005</v>
      </c>
      <c r="F44" s="10" t="s">
        <v>2663</v>
      </c>
      <c r="H44" s="10" t="s">
        <v>17</v>
      </c>
      <c r="I44" s="10" t="s">
        <v>927</v>
      </c>
      <c r="J44" s="10" t="s">
        <v>56</v>
      </c>
      <c r="K44" s="16" t="s">
        <v>990</v>
      </c>
      <c r="L44" s="10">
        <v>4</v>
      </c>
      <c r="M44" s="10">
        <v>4</v>
      </c>
      <c r="O44" s="10">
        <v>0.65200000000000002</v>
      </c>
      <c r="Q44" s="10">
        <v>1.419</v>
      </c>
      <c r="U44" s="10">
        <v>0.85399999999999998</v>
      </c>
      <c r="W44" s="10">
        <f t="shared" si="24"/>
        <v>0.85399999999999998</v>
      </c>
      <c r="Y44" s="10">
        <v>1.897</v>
      </c>
      <c r="AD44" s="10">
        <f t="shared" si="25"/>
        <v>1221.5</v>
      </c>
      <c r="AH44" s="14">
        <f t="shared" si="21"/>
        <v>1.3098159509202454</v>
      </c>
      <c r="AJ44" s="14">
        <f t="shared" si="7"/>
        <v>1.3098159509202454</v>
      </c>
      <c r="AK44" s="14"/>
      <c r="AL44" s="14"/>
      <c r="AM44" s="43"/>
      <c r="AN44" s="43"/>
      <c r="AO44" s="43"/>
      <c r="AP44" s="43"/>
      <c r="AR44" s="10" t="s">
        <v>1</v>
      </c>
      <c r="AT44" s="10" t="s">
        <v>2</v>
      </c>
      <c r="AU44" s="10" t="s">
        <v>2</v>
      </c>
      <c r="AV44" s="10" t="s">
        <v>3</v>
      </c>
      <c r="AW44" s="61" t="s">
        <v>2551</v>
      </c>
    </row>
    <row r="45" spans="1:49" s="10" customFormat="1" x14ac:dyDescent="0.3">
      <c r="A45" s="10" t="s">
        <v>988</v>
      </c>
      <c r="B45" s="10" t="s">
        <v>58</v>
      </c>
      <c r="C45" s="10" t="s">
        <v>983</v>
      </c>
      <c r="D45" s="10" t="s">
        <v>989</v>
      </c>
      <c r="E45" s="10">
        <v>2005</v>
      </c>
      <c r="F45" s="10" t="s">
        <v>2663</v>
      </c>
      <c r="H45" s="10" t="s">
        <v>17</v>
      </c>
      <c r="I45" s="10" t="s">
        <v>985</v>
      </c>
      <c r="J45" s="10" t="s">
        <v>56</v>
      </c>
      <c r="K45" s="16" t="s">
        <v>990</v>
      </c>
      <c r="L45" s="10">
        <v>4</v>
      </c>
      <c r="M45" s="10">
        <v>4</v>
      </c>
      <c r="O45" s="10">
        <v>1.0720000000000001</v>
      </c>
      <c r="Q45" s="10">
        <v>2.1789999999999998</v>
      </c>
      <c r="U45" s="10">
        <v>1.3049999999999999</v>
      </c>
      <c r="W45" s="10">
        <f t="shared" si="24"/>
        <v>1.3049999999999999</v>
      </c>
      <c r="Y45" s="10">
        <v>2.7610000000000001</v>
      </c>
      <c r="AD45" s="10">
        <f t="shared" si="25"/>
        <v>1221.5</v>
      </c>
      <c r="AH45" s="14">
        <f t="shared" si="21"/>
        <v>1.2173507462686566</v>
      </c>
      <c r="AJ45" s="14">
        <f t="shared" si="7"/>
        <v>1.2173507462686566</v>
      </c>
      <c r="AK45" s="14"/>
      <c r="AL45" s="14"/>
      <c r="AM45" s="43"/>
      <c r="AN45" s="43"/>
      <c r="AO45" s="43"/>
      <c r="AP45" s="43"/>
      <c r="AQ45" s="10">
        <f>AQ46*0.5</f>
        <v>34.25</v>
      </c>
      <c r="AR45" s="10" t="s">
        <v>1</v>
      </c>
      <c r="AT45" s="10" t="s">
        <v>2</v>
      </c>
      <c r="AU45" s="10" t="s">
        <v>2</v>
      </c>
      <c r="AV45" s="10" t="s">
        <v>3</v>
      </c>
      <c r="AW45" s="61" t="s">
        <v>2551</v>
      </c>
    </row>
    <row r="46" spans="1:49" s="10" customFormat="1" x14ac:dyDescent="0.3">
      <c r="A46" s="10" t="s">
        <v>988</v>
      </c>
      <c r="B46" s="10" t="s">
        <v>58</v>
      </c>
      <c r="C46" s="10" t="s">
        <v>983</v>
      </c>
      <c r="D46" s="10" t="s">
        <v>989</v>
      </c>
      <c r="E46" s="10">
        <v>2005</v>
      </c>
      <c r="F46" s="10" t="s">
        <v>2663</v>
      </c>
      <c r="H46" s="10" t="s">
        <v>17</v>
      </c>
      <c r="I46" s="10" t="s">
        <v>986</v>
      </c>
      <c r="J46" s="10" t="s">
        <v>56</v>
      </c>
      <c r="K46" s="16" t="s">
        <v>990</v>
      </c>
      <c r="L46" s="10">
        <v>4</v>
      </c>
      <c r="M46" s="10">
        <v>4</v>
      </c>
      <c r="O46" s="10">
        <v>1.4930000000000001</v>
      </c>
      <c r="Q46" s="10">
        <v>2.6219999999999999</v>
      </c>
      <c r="U46" s="10">
        <v>1.5629999999999999</v>
      </c>
      <c r="W46" s="10">
        <f t="shared" si="24"/>
        <v>1.5629999999999999</v>
      </c>
      <c r="Y46" s="10">
        <v>3.93</v>
      </c>
      <c r="AD46" s="10">
        <f t="shared" si="25"/>
        <v>1221.5</v>
      </c>
      <c r="AH46" s="14">
        <f t="shared" si="21"/>
        <v>1.0468854655056932</v>
      </c>
      <c r="AJ46" s="14">
        <f t="shared" si="7"/>
        <v>1.0468854655056932</v>
      </c>
      <c r="AK46" s="14"/>
      <c r="AL46" s="14"/>
      <c r="AM46" s="43"/>
      <c r="AN46" s="43"/>
      <c r="AO46" s="43"/>
      <c r="AP46" s="43"/>
      <c r="AQ46" s="10">
        <f>22.5+46</f>
        <v>68.5</v>
      </c>
      <c r="AR46" s="10" t="s">
        <v>1</v>
      </c>
      <c r="AT46" s="10" t="s">
        <v>2</v>
      </c>
      <c r="AU46" s="10" t="s">
        <v>2</v>
      </c>
      <c r="AV46" s="10" t="s">
        <v>3</v>
      </c>
      <c r="AW46" s="61" t="s">
        <v>2551</v>
      </c>
    </row>
    <row r="47" spans="1:49" s="10" customFormat="1" x14ac:dyDescent="0.3">
      <c r="A47" s="10" t="s">
        <v>988</v>
      </c>
      <c r="B47" s="10" t="s">
        <v>58</v>
      </c>
      <c r="C47" s="10" t="s">
        <v>983</v>
      </c>
      <c r="D47" s="10" t="s">
        <v>989</v>
      </c>
      <c r="E47" s="10">
        <v>2005</v>
      </c>
      <c r="F47" s="10" t="s">
        <v>2663</v>
      </c>
      <c r="H47" s="10" t="s">
        <v>17</v>
      </c>
      <c r="I47" s="10" t="s">
        <v>987</v>
      </c>
      <c r="J47" s="10" t="s">
        <v>56</v>
      </c>
      <c r="K47" s="16" t="s">
        <v>990</v>
      </c>
      <c r="L47" s="10">
        <v>4</v>
      </c>
      <c r="M47" s="10">
        <v>4</v>
      </c>
      <c r="O47" s="10">
        <v>1.869</v>
      </c>
      <c r="Q47" s="10">
        <v>3.6840000000000002</v>
      </c>
      <c r="U47" s="10">
        <v>1.6779999999999999</v>
      </c>
      <c r="W47" s="10">
        <f t="shared" si="24"/>
        <v>1.6779999999999999</v>
      </c>
      <c r="Y47" s="10">
        <v>4.806</v>
      </c>
      <c r="AD47" s="10">
        <f>(888+1555)/2</f>
        <v>1221.5</v>
      </c>
      <c r="AH47" s="14">
        <f t="shared" si="21"/>
        <v>0.89780631353665064</v>
      </c>
      <c r="AJ47" s="14">
        <f t="shared" si="7"/>
        <v>0.89780631353665064</v>
      </c>
      <c r="AK47" s="14"/>
      <c r="AL47" s="14"/>
      <c r="AM47" s="43"/>
      <c r="AN47" s="43"/>
      <c r="AO47" s="43"/>
      <c r="AP47" s="43"/>
      <c r="AQ47" s="10">
        <f>AQ46*1.5</f>
        <v>102.75</v>
      </c>
      <c r="AR47" s="10" t="s">
        <v>1</v>
      </c>
      <c r="AT47" s="10" t="s">
        <v>2</v>
      </c>
      <c r="AU47" s="10" t="s">
        <v>2</v>
      </c>
      <c r="AV47" s="10" t="s">
        <v>3</v>
      </c>
      <c r="AW47" s="61" t="s">
        <v>2551</v>
      </c>
    </row>
    <row r="48" spans="1:49" s="10" customFormat="1" x14ac:dyDescent="0.3">
      <c r="A48" s="10" t="s">
        <v>988</v>
      </c>
      <c r="B48" s="10" t="s">
        <v>58</v>
      </c>
      <c r="C48" s="10" t="s">
        <v>983</v>
      </c>
      <c r="D48" s="10" t="s">
        <v>989</v>
      </c>
      <c r="E48" s="10">
        <v>2006</v>
      </c>
      <c r="F48" s="10" t="s">
        <v>2663</v>
      </c>
      <c r="H48" s="10" t="s">
        <v>17</v>
      </c>
      <c r="I48" s="10" t="s">
        <v>927</v>
      </c>
      <c r="J48" s="10" t="s">
        <v>691</v>
      </c>
      <c r="K48" s="16" t="s">
        <v>990</v>
      </c>
      <c r="L48" s="10">
        <v>4</v>
      </c>
      <c r="M48" s="10">
        <v>4</v>
      </c>
      <c r="O48" s="10">
        <v>1.139</v>
      </c>
      <c r="U48" s="10">
        <v>1.056</v>
      </c>
      <c r="W48" s="10">
        <f t="shared" si="24"/>
        <v>1.056</v>
      </c>
      <c r="AD48" s="10">
        <f>(888+1555)/2</f>
        <v>1221.5</v>
      </c>
      <c r="AH48" s="14">
        <f t="shared" si="21"/>
        <v>0.92712906057945565</v>
      </c>
      <c r="AJ48" s="14">
        <f t="shared" si="7"/>
        <v>0.92712906057945565</v>
      </c>
      <c r="AK48" s="14"/>
      <c r="AL48" s="14"/>
      <c r="AM48" s="43"/>
      <c r="AN48" s="43"/>
      <c r="AO48" s="43"/>
      <c r="AP48" s="43"/>
      <c r="AR48" s="10" t="s">
        <v>1</v>
      </c>
      <c r="AT48" s="10" t="s">
        <v>2</v>
      </c>
      <c r="AU48" s="10" t="s">
        <v>2</v>
      </c>
      <c r="AV48" s="10" t="s">
        <v>3</v>
      </c>
      <c r="AW48" s="10" t="s">
        <v>2552</v>
      </c>
    </row>
    <row r="49" spans="1:54" s="10" customFormat="1" x14ac:dyDescent="0.3">
      <c r="A49" s="10" t="s">
        <v>988</v>
      </c>
      <c r="B49" s="10" t="s">
        <v>58</v>
      </c>
      <c r="C49" s="10" t="s">
        <v>983</v>
      </c>
      <c r="D49" s="10" t="s">
        <v>989</v>
      </c>
      <c r="E49" s="10">
        <v>2006</v>
      </c>
      <c r="F49" s="10" t="s">
        <v>2663</v>
      </c>
      <c r="H49" s="10" t="s">
        <v>17</v>
      </c>
      <c r="I49" s="10" t="s">
        <v>985</v>
      </c>
      <c r="J49" s="10" t="s">
        <v>691</v>
      </c>
      <c r="K49" s="16" t="s">
        <v>990</v>
      </c>
      <c r="L49" s="10">
        <v>4</v>
      </c>
      <c r="M49" s="10">
        <v>4</v>
      </c>
      <c r="O49" s="10">
        <v>1.3680000000000001</v>
      </c>
      <c r="U49" s="10">
        <v>1.1739999999999999</v>
      </c>
      <c r="W49" s="10">
        <f t="shared" si="24"/>
        <v>1.1739999999999999</v>
      </c>
      <c r="AD49" s="10">
        <f t="shared" ref="AD49:AD54" si="26">(888+1555)/2</f>
        <v>1221.5</v>
      </c>
      <c r="AH49" s="14">
        <f t="shared" si="21"/>
        <v>0.85818713450292383</v>
      </c>
      <c r="AJ49" s="14">
        <f t="shared" si="7"/>
        <v>0.85818713450292383</v>
      </c>
      <c r="AK49" s="14"/>
      <c r="AL49" s="14"/>
      <c r="AM49" s="43"/>
      <c r="AN49" s="43"/>
      <c r="AO49" s="43"/>
      <c r="AP49" s="43"/>
      <c r="AQ49" s="10">
        <f>AQ50/2</f>
        <v>4.5</v>
      </c>
      <c r="AR49" s="10" t="s">
        <v>1</v>
      </c>
      <c r="AT49" s="10" t="s">
        <v>2</v>
      </c>
      <c r="AU49" s="10" t="s">
        <v>2</v>
      </c>
      <c r="AV49" s="10" t="s">
        <v>3</v>
      </c>
      <c r="AW49" s="10" t="s">
        <v>2552</v>
      </c>
    </row>
    <row r="50" spans="1:54" s="10" customFormat="1" x14ac:dyDescent="0.3">
      <c r="A50" s="10" t="s">
        <v>988</v>
      </c>
      <c r="B50" s="10" t="s">
        <v>58</v>
      </c>
      <c r="C50" s="10" t="s">
        <v>983</v>
      </c>
      <c r="D50" s="10" t="s">
        <v>989</v>
      </c>
      <c r="E50" s="10">
        <v>2006</v>
      </c>
      <c r="F50" s="10" t="s">
        <v>2663</v>
      </c>
      <c r="H50" s="10" t="s">
        <v>17</v>
      </c>
      <c r="I50" s="10" t="s">
        <v>986</v>
      </c>
      <c r="J50" s="10" t="s">
        <v>691</v>
      </c>
      <c r="K50" s="16" t="s">
        <v>990</v>
      </c>
      <c r="L50" s="10">
        <v>4</v>
      </c>
      <c r="M50" s="10">
        <v>4</v>
      </c>
      <c r="O50" s="10">
        <v>1.5620000000000001</v>
      </c>
      <c r="U50" s="10">
        <v>1.1599999999999999</v>
      </c>
      <c r="W50" s="10">
        <f t="shared" si="24"/>
        <v>1.1599999999999999</v>
      </c>
      <c r="AD50" s="10">
        <f t="shared" si="26"/>
        <v>1221.5</v>
      </c>
      <c r="AH50" s="14">
        <f t="shared" si="21"/>
        <v>0.74263764404609467</v>
      </c>
      <c r="AJ50" s="14">
        <f t="shared" si="7"/>
        <v>0.74263764404609467</v>
      </c>
      <c r="AK50" s="14"/>
      <c r="AL50" s="14"/>
      <c r="AM50" s="43"/>
      <c r="AN50" s="43"/>
      <c r="AO50" s="43"/>
      <c r="AP50" s="43"/>
      <c r="AQ50" s="10">
        <v>9</v>
      </c>
      <c r="AR50" s="10" t="s">
        <v>1</v>
      </c>
      <c r="AT50" s="10" t="s">
        <v>2</v>
      </c>
      <c r="AU50" s="10" t="s">
        <v>2</v>
      </c>
      <c r="AV50" s="10" t="s">
        <v>3</v>
      </c>
      <c r="AW50" s="10" t="s">
        <v>2552</v>
      </c>
    </row>
    <row r="51" spans="1:54" s="10" customFormat="1" x14ac:dyDescent="0.3">
      <c r="A51" s="10" t="s">
        <v>988</v>
      </c>
      <c r="B51" s="10" t="s">
        <v>58</v>
      </c>
      <c r="C51" s="10" t="s">
        <v>983</v>
      </c>
      <c r="D51" s="10" t="s">
        <v>989</v>
      </c>
      <c r="E51" s="10">
        <v>2006</v>
      </c>
      <c r="F51" s="10" t="s">
        <v>2663</v>
      </c>
      <c r="H51" s="10" t="s">
        <v>17</v>
      </c>
      <c r="I51" s="10" t="s">
        <v>987</v>
      </c>
      <c r="J51" s="10" t="s">
        <v>691</v>
      </c>
      <c r="K51" s="16" t="s">
        <v>990</v>
      </c>
      <c r="L51" s="10">
        <v>4</v>
      </c>
      <c r="M51" s="10">
        <v>4</v>
      </c>
      <c r="O51" s="10">
        <v>1.653</v>
      </c>
      <c r="U51" s="10">
        <v>1.319</v>
      </c>
      <c r="W51" s="10">
        <f t="shared" si="24"/>
        <v>1.319</v>
      </c>
      <c r="AD51" s="10">
        <f t="shared" si="26"/>
        <v>1221.5</v>
      </c>
      <c r="AH51" s="14">
        <f t="shared" si="21"/>
        <v>0.79794313369630965</v>
      </c>
      <c r="AJ51" s="14">
        <f t="shared" si="7"/>
        <v>0.79794313369630965</v>
      </c>
      <c r="AK51" s="14"/>
      <c r="AL51" s="14"/>
      <c r="AM51" s="43"/>
      <c r="AN51" s="43"/>
      <c r="AO51" s="43"/>
      <c r="AP51" s="43"/>
      <c r="AQ51" s="10">
        <f>AQ50*1.5</f>
        <v>13.5</v>
      </c>
      <c r="AR51" s="10" t="s">
        <v>1</v>
      </c>
      <c r="AT51" s="10" t="s">
        <v>2</v>
      </c>
      <c r="AU51" s="10" t="s">
        <v>2</v>
      </c>
      <c r="AV51" s="10" t="s">
        <v>3</v>
      </c>
      <c r="AW51" s="10" t="s">
        <v>2552</v>
      </c>
    </row>
    <row r="52" spans="1:54" s="10" customFormat="1" x14ac:dyDescent="0.3">
      <c r="A52" s="10" t="s">
        <v>988</v>
      </c>
      <c r="B52" s="10" t="s">
        <v>58</v>
      </c>
      <c r="C52" s="10" t="s">
        <v>983</v>
      </c>
      <c r="D52" s="10" t="s">
        <v>989</v>
      </c>
      <c r="E52" s="10">
        <v>2007</v>
      </c>
      <c r="F52" s="10" t="s">
        <v>2663</v>
      </c>
      <c r="H52" s="10" t="s">
        <v>17</v>
      </c>
      <c r="I52" s="10" t="s">
        <v>927</v>
      </c>
      <c r="J52" s="10" t="s">
        <v>56</v>
      </c>
      <c r="K52" s="16" t="s">
        <v>990</v>
      </c>
      <c r="L52" s="10">
        <v>4</v>
      </c>
      <c r="M52" s="10">
        <v>4</v>
      </c>
      <c r="O52" s="10">
        <v>0.86499999999999999</v>
      </c>
      <c r="Q52" s="10">
        <v>1.466</v>
      </c>
      <c r="U52" s="10">
        <v>0.83599999999999997</v>
      </c>
      <c r="W52" s="10">
        <f t="shared" si="24"/>
        <v>0.83599999999999997</v>
      </c>
      <c r="Y52" s="10">
        <v>1.625</v>
      </c>
      <c r="AD52" s="10">
        <f t="shared" si="26"/>
        <v>1221.5</v>
      </c>
      <c r="AH52" s="14">
        <f t="shared" si="21"/>
        <v>0.96647398843930632</v>
      </c>
      <c r="AJ52" s="14">
        <f t="shared" si="7"/>
        <v>0.96647398843930632</v>
      </c>
      <c r="AK52" s="14"/>
      <c r="AL52" s="14"/>
      <c r="AM52" s="43"/>
      <c r="AN52" s="43"/>
      <c r="AO52" s="43"/>
      <c r="AP52" s="43"/>
      <c r="AR52" s="10" t="s">
        <v>1</v>
      </c>
      <c r="AT52" s="10" t="s">
        <v>2</v>
      </c>
      <c r="AU52" s="10" t="s">
        <v>2</v>
      </c>
      <c r="AV52" s="10" t="s">
        <v>3</v>
      </c>
      <c r="AW52" s="61" t="s">
        <v>2551</v>
      </c>
    </row>
    <row r="53" spans="1:54" s="10" customFormat="1" x14ac:dyDescent="0.3">
      <c r="A53" s="10" t="s">
        <v>988</v>
      </c>
      <c r="B53" s="10" t="s">
        <v>58</v>
      </c>
      <c r="C53" s="10" t="s">
        <v>983</v>
      </c>
      <c r="D53" s="10" t="s">
        <v>989</v>
      </c>
      <c r="E53" s="10">
        <v>2007</v>
      </c>
      <c r="F53" s="10" t="s">
        <v>2663</v>
      </c>
      <c r="H53" s="10" t="s">
        <v>17</v>
      </c>
      <c r="I53" s="10" t="s">
        <v>985</v>
      </c>
      <c r="J53" s="10" t="s">
        <v>56</v>
      </c>
      <c r="K53" s="16" t="s">
        <v>990</v>
      </c>
      <c r="L53" s="10">
        <v>4</v>
      </c>
      <c r="M53" s="10">
        <v>4</v>
      </c>
      <c r="O53" s="10">
        <v>1.2849999999999999</v>
      </c>
      <c r="Q53" s="10">
        <v>2.8359999999999999</v>
      </c>
      <c r="U53" s="10">
        <v>1.1910000000000001</v>
      </c>
      <c r="W53" s="10">
        <f t="shared" si="24"/>
        <v>1.1910000000000001</v>
      </c>
      <c r="Y53" s="10">
        <v>2.609</v>
      </c>
      <c r="AD53" s="10">
        <f t="shared" si="26"/>
        <v>1221.5</v>
      </c>
      <c r="AH53" s="14">
        <f t="shared" si="21"/>
        <v>0.9268482490272375</v>
      </c>
      <c r="AJ53" s="14">
        <f t="shared" si="7"/>
        <v>0.9268482490272375</v>
      </c>
      <c r="AK53" s="14"/>
      <c r="AL53" s="14"/>
      <c r="AM53" s="43"/>
      <c r="AN53" s="43"/>
      <c r="AO53" s="43"/>
      <c r="AP53" s="43"/>
      <c r="AQ53" s="10">
        <f>AQ54*0.5</f>
        <v>34.25</v>
      </c>
      <c r="AR53" s="10" t="s">
        <v>1</v>
      </c>
      <c r="AT53" s="10" t="s">
        <v>2</v>
      </c>
      <c r="AU53" s="10" t="s">
        <v>2</v>
      </c>
      <c r="AV53" s="10" t="s">
        <v>3</v>
      </c>
      <c r="AW53" s="61" t="s">
        <v>2551</v>
      </c>
    </row>
    <row r="54" spans="1:54" s="10" customFormat="1" x14ac:dyDescent="0.3">
      <c r="A54" s="10" t="s">
        <v>988</v>
      </c>
      <c r="B54" s="10" t="s">
        <v>58</v>
      </c>
      <c r="C54" s="10" t="s">
        <v>983</v>
      </c>
      <c r="D54" s="10" t="s">
        <v>989</v>
      </c>
      <c r="E54" s="10">
        <v>2007</v>
      </c>
      <c r="F54" s="10" t="s">
        <v>2663</v>
      </c>
      <c r="H54" s="10" t="s">
        <v>17</v>
      </c>
      <c r="I54" s="10" t="s">
        <v>986</v>
      </c>
      <c r="J54" s="10" t="s">
        <v>56</v>
      </c>
      <c r="K54" s="16" t="s">
        <v>990</v>
      </c>
      <c r="L54" s="10">
        <v>4</v>
      </c>
      <c r="M54" s="10">
        <v>4</v>
      </c>
      <c r="O54" s="10">
        <v>1.2969999999999999</v>
      </c>
      <c r="Q54" s="10">
        <v>4.0990000000000002</v>
      </c>
      <c r="U54" s="10">
        <v>1.23</v>
      </c>
      <c r="W54" s="10">
        <f t="shared" si="24"/>
        <v>1.23</v>
      </c>
      <c r="Y54" s="10">
        <v>4.21</v>
      </c>
      <c r="AD54" s="10">
        <f t="shared" si="26"/>
        <v>1221.5</v>
      </c>
      <c r="AH54" s="14">
        <f t="shared" si="21"/>
        <v>0.94834232845026989</v>
      </c>
      <c r="AJ54" s="14">
        <f t="shared" si="7"/>
        <v>0.94834232845026989</v>
      </c>
      <c r="AK54" s="14"/>
      <c r="AL54" s="14"/>
      <c r="AM54" s="43"/>
      <c r="AN54" s="43"/>
      <c r="AO54" s="43"/>
      <c r="AP54" s="43"/>
      <c r="AQ54" s="10">
        <f>22.5+46</f>
        <v>68.5</v>
      </c>
      <c r="AR54" s="10" t="s">
        <v>1</v>
      </c>
      <c r="AT54" s="10" t="s">
        <v>2</v>
      </c>
      <c r="AU54" s="10" t="s">
        <v>2</v>
      </c>
      <c r="AV54" s="10" t="s">
        <v>3</v>
      </c>
      <c r="AW54" s="61" t="s">
        <v>2551</v>
      </c>
    </row>
    <row r="55" spans="1:54" s="10" customFormat="1" x14ac:dyDescent="0.3">
      <c r="A55" s="10" t="s">
        <v>988</v>
      </c>
      <c r="B55" s="10" t="s">
        <v>58</v>
      </c>
      <c r="C55" s="10" t="s">
        <v>983</v>
      </c>
      <c r="D55" s="10" t="s">
        <v>989</v>
      </c>
      <c r="E55" s="10">
        <v>2007</v>
      </c>
      <c r="F55" s="10" t="s">
        <v>2663</v>
      </c>
      <c r="H55" s="10" t="s">
        <v>17</v>
      </c>
      <c r="I55" s="10" t="s">
        <v>987</v>
      </c>
      <c r="J55" s="10" t="s">
        <v>56</v>
      </c>
      <c r="K55" s="16" t="s">
        <v>990</v>
      </c>
      <c r="L55" s="10">
        <v>4</v>
      </c>
      <c r="M55" s="10">
        <v>4</v>
      </c>
      <c r="O55" s="10">
        <v>1.288</v>
      </c>
      <c r="Q55" s="10">
        <v>5.2759999999999998</v>
      </c>
      <c r="U55" s="10">
        <v>1.466</v>
      </c>
      <c r="W55" s="10">
        <f t="shared" si="24"/>
        <v>1.466</v>
      </c>
      <c r="Y55" s="10">
        <v>5.1989999999999998</v>
      </c>
      <c r="AD55" s="10">
        <f>(888+1555)/2</f>
        <v>1221.5</v>
      </c>
      <c r="AH55" s="14">
        <f t="shared" si="21"/>
        <v>1.1381987577639752</v>
      </c>
      <c r="AJ55" s="14">
        <f t="shared" si="7"/>
        <v>1.1381987577639752</v>
      </c>
      <c r="AK55" s="14"/>
      <c r="AL55" s="14"/>
      <c r="AM55" s="43"/>
      <c r="AN55" s="43"/>
      <c r="AO55" s="43"/>
      <c r="AP55" s="43"/>
      <c r="AQ55" s="10">
        <f>AQ54*1.5</f>
        <v>102.75</v>
      </c>
      <c r="AR55" s="10" t="s">
        <v>1</v>
      </c>
      <c r="AT55" s="10" t="s">
        <v>2</v>
      </c>
      <c r="AU55" s="10" t="s">
        <v>2</v>
      </c>
      <c r="AV55" s="10" t="s">
        <v>3</v>
      </c>
      <c r="AW55" s="61" t="s">
        <v>2551</v>
      </c>
    </row>
    <row r="56" spans="1:54" s="10" customFormat="1" x14ac:dyDescent="0.3">
      <c r="A56" s="10" t="s">
        <v>991</v>
      </c>
      <c r="B56" s="10" t="s">
        <v>60</v>
      </c>
      <c r="C56" s="10" t="s">
        <v>992</v>
      </c>
      <c r="E56" s="10">
        <v>2006</v>
      </c>
      <c r="F56" s="10" t="s">
        <v>2663</v>
      </c>
      <c r="H56" s="10" t="s">
        <v>17</v>
      </c>
      <c r="J56" s="10" t="s">
        <v>488</v>
      </c>
      <c r="K56" s="16" t="s">
        <v>993</v>
      </c>
      <c r="L56" s="10">
        <v>6</v>
      </c>
      <c r="M56" s="10">
        <v>6</v>
      </c>
      <c r="O56" s="10">
        <f>115/100</f>
        <v>1.1499999999999999</v>
      </c>
      <c r="U56" s="14">
        <f>((37+86+80)/3)/100</f>
        <v>0.67666666666666675</v>
      </c>
      <c r="AC56" s="14">
        <f>10.5*PI()*(67/100)^2</f>
        <v>14.807739893062815</v>
      </c>
      <c r="AD56" s="14"/>
      <c r="AE56" s="14"/>
      <c r="AF56" s="14"/>
      <c r="AH56" s="14">
        <f t="shared" si="21"/>
        <v>0.58840579710144936</v>
      </c>
      <c r="AJ56" s="14">
        <f t="shared" si="7"/>
        <v>0.58840579710144936</v>
      </c>
      <c r="AK56" s="14"/>
      <c r="AL56" s="14"/>
      <c r="AM56" s="60"/>
      <c r="AN56" s="60"/>
      <c r="AO56" s="60"/>
      <c r="AP56" s="60"/>
      <c r="AQ56" s="10">
        <v>0</v>
      </c>
      <c r="AS56" s="10" t="s">
        <v>2</v>
      </c>
      <c r="AT56" s="10" t="s">
        <v>2</v>
      </c>
      <c r="AU56" s="10" t="s">
        <v>2</v>
      </c>
      <c r="AV56" s="10" t="s">
        <v>2</v>
      </c>
      <c r="AW56" s="10" t="s">
        <v>2553</v>
      </c>
      <c r="BB56" s="26"/>
    </row>
    <row r="57" spans="1:54" s="10" customFormat="1" x14ac:dyDescent="0.3">
      <c r="A57" s="10" t="s">
        <v>991</v>
      </c>
      <c r="B57" s="10" t="s">
        <v>60</v>
      </c>
      <c r="C57" s="10" t="s">
        <v>992</v>
      </c>
      <c r="E57" s="10">
        <v>2006</v>
      </c>
      <c r="F57" s="10" t="s">
        <v>2663</v>
      </c>
      <c r="H57" s="10" t="s">
        <v>17</v>
      </c>
      <c r="J57" s="10" t="s">
        <v>994</v>
      </c>
      <c r="K57" s="16" t="s">
        <v>993</v>
      </c>
      <c r="L57" s="10">
        <v>6</v>
      </c>
      <c r="M57" s="10">
        <v>6</v>
      </c>
      <c r="O57" s="10">
        <f>236/100</f>
        <v>2.36</v>
      </c>
      <c r="U57" s="14">
        <f>((467+323+166)/3)/100</f>
        <v>3.186666666666667</v>
      </c>
      <c r="AC57" s="14">
        <f t="shared" ref="AC57:AC59" si="27">10.5*PI()*(67/100)^2</f>
        <v>14.807739893062815</v>
      </c>
      <c r="AD57" s="14"/>
      <c r="AE57" s="14"/>
      <c r="AF57" s="14"/>
      <c r="AH57" s="14">
        <f t="shared" si="21"/>
        <v>1.3502824858757063</v>
      </c>
      <c r="AJ57" s="14">
        <f t="shared" si="7"/>
        <v>1.3502824858757063</v>
      </c>
      <c r="AK57" s="14"/>
      <c r="AL57" s="14"/>
      <c r="AM57" s="60"/>
      <c r="AN57" s="60"/>
      <c r="AO57" s="60"/>
      <c r="AP57" s="60"/>
      <c r="AQ57" s="10">
        <f>400*0.15</f>
        <v>60</v>
      </c>
      <c r="AR57" s="10" t="s">
        <v>14</v>
      </c>
      <c r="AS57" s="10" t="s">
        <v>2</v>
      </c>
      <c r="AT57" s="10" t="s">
        <v>2</v>
      </c>
      <c r="AU57" s="10" t="s">
        <v>2</v>
      </c>
      <c r="AV57" s="10" t="s">
        <v>2</v>
      </c>
      <c r="AW57" s="10" t="s">
        <v>2553</v>
      </c>
      <c r="BB57" s="26"/>
    </row>
    <row r="58" spans="1:54" s="10" customFormat="1" x14ac:dyDescent="0.3">
      <c r="A58" s="10" t="s">
        <v>991</v>
      </c>
      <c r="B58" s="10" t="s">
        <v>60</v>
      </c>
      <c r="C58" s="10" t="s">
        <v>992</v>
      </c>
      <c r="E58" s="10">
        <v>2006</v>
      </c>
      <c r="F58" s="10" t="s">
        <v>2663</v>
      </c>
      <c r="H58" s="10" t="s">
        <v>17</v>
      </c>
      <c r="J58" s="10" t="s">
        <v>996</v>
      </c>
      <c r="K58" s="16" t="s">
        <v>993</v>
      </c>
      <c r="L58" s="10">
        <v>6</v>
      </c>
      <c r="M58" s="10">
        <v>6</v>
      </c>
      <c r="O58" s="10">
        <f>16/100</f>
        <v>0.16</v>
      </c>
      <c r="U58" s="14">
        <f>((30+40+23)/3)/100</f>
        <v>0.31</v>
      </c>
      <c r="AC58" s="14">
        <f t="shared" si="27"/>
        <v>14.807739893062815</v>
      </c>
      <c r="AD58" s="14"/>
      <c r="AE58" s="14"/>
      <c r="AF58" s="14"/>
      <c r="AH58" s="14">
        <f t="shared" si="21"/>
        <v>1.9375</v>
      </c>
      <c r="AJ58" s="14">
        <f t="shared" si="7"/>
        <v>1.9375</v>
      </c>
      <c r="AK58" s="14"/>
      <c r="AL58" s="14"/>
      <c r="AM58" s="60"/>
      <c r="AN58" s="60"/>
      <c r="AO58" s="60"/>
      <c r="AP58" s="60"/>
      <c r="AQ58" s="10">
        <f>200*0.15</f>
        <v>30</v>
      </c>
      <c r="AR58" s="26" t="s">
        <v>1</v>
      </c>
      <c r="AS58" s="10" t="s">
        <v>2</v>
      </c>
      <c r="AT58" s="10" t="s">
        <v>2</v>
      </c>
      <c r="AU58" s="10" t="s">
        <v>2</v>
      </c>
      <c r="AV58" s="10" t="s">
        <v>2</v>
      </c>
      <c r="AW58" s="10" t="s">
        <v>2558</v>
      </c>
      <c r="BB58" s="26"/>
    </row>
    <row r="59" spans="1:54" s="10" customFormat="1" x14ac:dyDescent="0.3">
      <c r="A59" s="10" t="s">
        <v>991</v>
      </c>
      <c r="B59" s="10" t="s">
        <v>60</v>
      </c>
      <c r="C59" s="10" t="s">
        <v>992</v>
      </c>
      <c r="E59" s="10">
        <v>2006</v>
      </c>
      <c r="F59" s="10" t="s">
        <v>2663</v>
      </c>
      <c r="H59" s="10" t="s">
        <v>17</v>
      </c>
      <c r="J59" s="10" t="s">
        <v>995</v>
      </c>
      <c r="K59" s="16" t="s">
        <v>993</v>
      </c>
      <c r="L59" s="10">
        <v>6</v>
      </c>
      <c r="M59" s="10">
        <v>6</v>
      </c>
      <c r="O59" s="10">
        <f>685/100</f>
        <v>6.85</v>
      </c>
      <c r="U59" s="14">
        <f>((61+238+293)/3)/100</f>
        <v>1.9733333333333334</v>
      </c>
      <c r="AC59" s="14">
        <f t="shared" si="27"/>
        <v>14.807739893062815</v>
      </c>
      <c r="AD59" s="14"/>
      <c r="AE59" s="14"/>
      <c r="AF59" s="14"/>
      <c r="AH59" s="14">
        <f t="shared" si="21"/>
        <v>0.28807785888077864</v>
      </c>
      <c r="AJ59" s="14">
        <f t="shared" si="7"/>
        <v>0.28807785888077864</v>
      </c>
      <c r="AK59" s="14"/>
      <c r="AL59" s="14"/>
      <c r="AM59" s="60"/>
      <c r="AN59" s="60"/>
      <c r="AO59" s="60"/>
      <c r="AP59" s="60"/>
      <c r="AQ59" s="10">
        <f>400*0.15+200*0.46</f>
        <v>152</v>
      </c>
      <c r="AR59" s="10" t="s">
        <v>14</v>
      </c>
      <c r="AS59" s="10" t="s">
        <v>3</v>
      </c>
      <c r="AT59" s="10" t="s">
        <v>2</v>
      </c>
      <c r="AU59" s="10" t="s">
        <v>2</v>
      </c>
      <c r="AV59" s="10" t="s">
        <v>2</v>
      </c>
      <c r="AW59" s="10" t="s">
        <v>2553</v>
      </c>
      <c r="BB59" s="26"/>
    </row>
    <row r="60" spans="1:54" s="10" customFormat="1" x14ac:dyDescent="0.3">
      <c r="A60" s="10" t="s">
        <v>991</v>
      </c>
      <c r="B60" s="10" t="s">
        <v>60</v>
      </c>
      <c r="C60" s="10" t="s">
        <v>992</v>
      </c>
      <c r="E60" s="10">
        <v>2007</v>
      </c>
      <c r="F60" s="10" t="s">
        <v>2663</v>
      </c>
      <c r="H60" s="10" t="s">
        <v>17</v>
      </c>
      <c r="J60" s="10" t="s">
        <v>488</v>
      </c>
      <c r="K60" s="16" t="s">
        <v>993</v>
      </c>
      <c r="L60" s="10">
        <v>5</v>
      </c>
      <c r="M60" s="10">
        <v>5</v>
      </c>
      <c r="O60" s="10">
        <f>71/100</f>
        <v>0.71</v>
      </c>
      <c r="U60" s="14">
        <f>((8+24+66)/3)/100</f>
        <v>0.32666666666666666</v>
      </c>
      <c r="AC60" s="14"/>
      <c r="AD60" s="14"/>
      <c r="AE60" s="14"/>
      <c r="AF60" s="14"/>
      <c r="AH60" s="14">
        <f t="shared" si="21"/>
        <v>0.46009389671361506</v>
      </c>
      <c r="AJ60" s="14">
        <f t="shared" si="7"/>
        <v>0.46009389671361506</v>
      </c>
      <c r="AK60" s="14"/>
      <c r="AL60" s="14"/>
      <c r="AM60" s="60"/>
      <c r="AN60" s="60"/>
      <c r="AO60" s="60"/>
      <c r="AP60" s="60"/>
      <c r="AQ60" s="10">
        <v>0</v>
      </c>
      <c r="AS60" s="10" t="s">
        <v>2</v>
      </c>
      <c r="AT60" s="10" t="s">
        <v>2</v>
      </c>
      <c r="AU60" s="10" t="s">
        <v>2</v>
      </c>
      <c r="AV60" s="10" t="s">
        <v>2</v>
      </c>
      <c r="AW60" s="10" t="s">
        <v>2554</v>
      </c>
      <c r="BB60" s="26"/>
    </row>
    <row r="61" spans="1:54" s="10" customFormat="1" x14ac:dyDescent="0.3">
      <c r="A61" s="10" t="s">
        <v>991</v>
      </c>
      <c r="B61" s="10" t="s">
        <v>60</v>
      </c>
      <c r="C61" s="10" t="s">
        <v>992</v>
      </c>
      <c r="E61" s="10">
        <v>2007</v>
      </c>
      <c r="F61" s="10" t="s">
        <v>2663</v>
      </c>
      <c r="H61" s="10" t="s">
        <v>17</v>
      </c>
      <c r="J61" s="10" t="s">
        <v>994</v>
      </c>
      <c r="K61" s="16" t="s">
        <v>993</v>
      </c>
      <c r="L61" s="10">
        <v>5</v>
      </c>
      <c r="M61" s="10">
        <v>5</v>
      </c>
      <c r="O61" s="10">
        <f>57/100</f>
        <v>0.56999999999999995</v>
      </c>
      <c r="U61" s="14">
        <f>((204+213+78)/3)/100</f>
        <v>1.65</v>
      </c>
      <c r="AC61" s="14"/>
      <c r="AD61" s="14"/>
      <c r="AE61" s="14"/>
      <c r="AF61" s="14"/>
      <c r="AH61" s="14">
        <f t="shared" si="21"/>
        <v>2.8947368421052633</v>
      </c>
      <c r="AJ61" s="14">
        <f t="shared" si="7"/>
        <v>2.8947368421052633</v>
      </c>
      <c r="AK61" s="14"/>
      <c r="AL61" s="14"/>
      <c r="AM61" s="60"/>
      <c r="AN61" s="60"/>
      <c r="AO61" s="60"/>
      <c r="AP61" s="60"/>
      <c r="AQ61" s="10">
        <f>400*0.15</f>
        <v>60</v>
      </c>
      <c r="AR61" s="10" t="s">
        <v>14</v>
      </c>
      <c r="AS61" s="10" t="s">
        <v>2</v>
      </c>
      <c r="AT61" s="10" t="s">
        <v>2</v>
      </c>
      <c r="AU61" s="10" t="s">
        <v>2</v>
      </c>
      <c r="AV61" s="10" t="s">
        <v>2</v>
      </c>
      <c r="AW61" s="10" t="s">
        <v>2554</v>
      </c>
      <c r="BB61" s="26"/>
    </row>
    <row r="62" spans="1:54" s="10" customFormat="1" x14ac:dyDescent="0.3">
      <c r="A62" s="10" t="s">
        <v>997</v>
      </c>
      <c r="B62" s="10" t="s">
        <v>60</v>
      </c>
      <c r="C62" s="10" t="s">
        <v>992</v>
      </c>
      <c r="E62" s="10" t="s">
        <v>1000</v>
      </c>
      <c r="F62" s="10" t="s">
        <v>2663</v>
      </c>
      <c r="H62" s="10" t="s">
        <v>1752</v>
      </c>
      <c r="J62" s="10" t="s">
        <v>56</v>
      </c>
      <c r="K62" s="16" t="s">
        <v>998</v>
      </c>
      <c r="L62" s="10">
        <v>4</v>
      </c>
      <c r="M62" s="10">
        <v>4</v>
      </c>
      <c r="O62" s="10">
        <v>0.5958</v>
      </c>
      <c r="U62" s="10">
        <v>0.80610000000000004</v>
      </c>
      <c r="W62" s="33">
        <f>U62-(AE62)*U62/10000</f>
        <v>0.80304703208224004</v>
      </c>
      <c r="AC62" s="14">
        <f>15.5*PI()*((5.92/(2*PI()))^2)</f>
        <v>43.228010431212454</v>
      </c>
      <c r="AD62" s="14">
        <v>13.58</v>
      </c>
      <c r="AE62" s="14">
        <f>AD62*(5.92^2)/(4*PI())</f>
        <v>37.87331494553969</v>
      </c>
      <c r="AF62" s="14"/>
      <c r="AH62" s="14">
        <f>W62/O62</f>
        <v>1.3478466466637127</v>
      </c>
      <c r="AJ62" s="14">
        <f t="shared" si="7"/>
        <v>1.3478466466637127</v>
      </c>
      <c r="AK62" s="14"/>
      <c r="AL62" s="14"/>
      <c r="AM62" s="60"/>
      <c r="AN62" s="60"/>
      <c r="AO62" s="60"/>
      <c r="AP62" s="60"/>
      <c r="AU62" s="10" t="s">
        <v>2</v>
      </c>
      <c r="AV62" s="10" t="s">
        <v>2023</v>
      </c>
      <c r="AW62" s="10" t="s">
        <v>2555</v>
      </c>
    </row>
    <row r="63" spans="1:54" s="10" customFormat="1" x14ac:dyDescent="0.3">
      <c r="A63" s="10" t="s">
        <v>997</v>
      </c>
      <c r="B63" s="10" t="s">
        <v>60</v>
      </c>
      <c r="C63" s="10" t="s">
        <v>992</v>
      </c>
      <c r="E63" s="10" t="s">
        <v>1000</v>
      </c>
      <c r="F63" s="10" t="s">
        <v>2663</v>
      </c>
      <c r="H63" s="10" t="s">
        <v>1752</v>
      </c>
      <c r="J63" s="10" t="s">
        <v>56</v>
      </c>
      <c r="K63" s="16" t="s">
        <v>999</v>
      </c>
      <c r="L63" s="10">
        <v>4</v>
      </c>
      <c r="M63" s="10">
        <v>4</v>
      </c>
      <c r="O63" s="10">
        <v>0.5958</v>
      </c>
      <c r="U63" s="10">
        <v>0.32019999999999998</v>
      </c>
      <c r="W63" s="33">
        <f>U63-(AE63)*U63/10000</f>
        <v>0.32003404151439102</v>
      </c>
      <c r="AC63" s="14">
        <f>11.07*PI()*((2.19/(2*PI()))^2)</f>
        <v>4.2249929298864215</v>
      </c>
      <c r="AD63" s="14">
        <v>13.58</v>
      </c>
      <c r="AE63" s="14">
        <f>AD63*(2.19^2)/(4*PI())</f>
        <v>5.1829633232030368</v>
      </c>
      <c r="AF63" s="14"/>
      <c r="AH63" s="14">
        <f>W63/O63</f>
        <v>0.53715012003086782</v>
      </c>
      <c r="AJ63" s="14">
        <f t="shared" si="7"/>
        <v>0.53715012003086782</v>
      </c>
      <c r="AK63" s="14"/>
      <c r="AL63" s="14"/>
      <c r="AM63" s="60"/>
      <c r="AN63" s="60"/>
      <c r="AO63" s="60"/>
      <c r="AP63" s="60"/>
      <c r="AU63" s="10" t="s">
        <v>2</v>
      </c>
      <c r="AV63" s="10" t="s">
        <v>2</v>
      </c>
      <c r="AW63" s="10" t="s">
        <v>2556</v>
      </c>
    </row>
    <row r="64" spans="1:54" s="10" customFormat="1" x14ac:dyDescent="0.3">
      <c r="A64" s="10" t="s">
        <v>997</v>
      </c>
      <c r="B64" s="10" t="s">
        <v>60</v>
      </c>
      <c r="C64" s="10" t="s">
        <v>992</v>
      </c>
      <c r="E64" s="10" t="s">
        <v>1000</v>
      </c>
      <c r="F64" s="10" t="s">
        <v>2663</v>
      </c>
      <c r="H64" s="10" t="s">
        <v>1752</v>
      </c>
      <c r="J64" s="10" t="s">
        <v>994</v>
      </c>
      <c r="K64" s="16" t="s">
        <v>998</v>
      </c>
      <c r="L64" s="10">
        <v>4</v>
      </c>
      <c r="M64" s="10">
        <v>4</v>
      </c>
      <c r="O64" s="10">
        <v>2.3369</v>
      </c>
      <c r="U64" s="10">
        <v>2.7383000000000002</v>
      </c>
      <c r="W64" s="33">
        <f>U64-(AE64)*U64/10000</f>
        <v>2.727929150168463</v>
      </c>
      <c r="AC64" s="14">
        <f t="shared" ref="AC64" si="28">15.5*PI()*((5.92/(2*PI()))^2)</f>
        <v>43.228010431212454</v>
      </c>
      <c r="AD64" s="14">
        <v>13.58</v>
      </c>
      <c r="AE64" s="14">
        <f>AD64*(5.92^2)/(4*PI())</f>
        <v>37.87331494553969</v>
      </c>
      <c r="AF64" s="14"/>
      <c r="AH64" s="14">
        <f>W64/O64</f>
        <v>1.1673281484738172</v>
      </c>
      <c r="AJ64" s="14">
        <f t="shared" si="7"/>
        <v>1.1673281484738172</v>
      </c>
      <c r="AK64" s="14"/>
      <c r="AL64" s="14"/>
      <c r="AM64" s="60"/>
      <c r="AN64" s="60"/>
      <c r="AO64" s="60"/>
      <c r="AP64" s="60"/>
      <c r="AU64" s="10" t="s">
        <v>2</v>
      </c>
      <c r="AV64" s="10" t="s">
        <v>2023</v>
      </c>
      <c r="AW64" s="10" t="s">
        <v>2555</v>
      </c>
    </row>
    <row r="65" spans="1:54" s="10" customFormat="1" x14ac:dyDescent="0.3">
      <c r="A65" s="10" t="s">
        <v>997</v>
      </c>
      <c r="B65" s="10" t="s">
        <v>60</v>
      </c>
      <c r="C65" s="10" t="s">
        <v>992</v>
      </c>
      <c r="E65" s="10" t="s">
        <v>1000</v>
      </c>
      <c r="F65" s="10" t="s">
        <v>2663</v>
      </c>
      <c r="H65" s="10" t="s">
        <v>1752</v>
      </c>
      <c r="J65" s="10" t="s">
        <v>994</v>
      </c>
      <c r="K65" s="16" t="s">
        <v>999</v>
      </c>
      <c r="L65" s="10">
        <v>4</v>
      </c>
      <c r="M65" s="10">
        <v>4</v>
      </c>
      <c r="O65" s="10">
        <v>2.3369</v>
      </c>
      <c r="U65" s="10">
        <v>4.1239999999999997</v>
      </c>
      <c r="W65" s="33">
        <f>U65-(AE65)*U65/10000</f>
        <v>4.1218625459255112</v>
      </c>
      <c r="AC65" s="14">
        <f>11.07*PI()*(2.19/(2*PI()))^2</f>
        <v>4.2249929298864215</v>
      </c>
      <c r="AD65" s="14">
        <v>13.58</v>
      </c>
      <c r="AE65" s="14">
        <f>AD65*(2.19^2)/(4*PI())</f>
        <v>5.1829633232030368</v>
      </c>
      <c r="AF65" s="14"/>
      <c r="AH65" s="14">
        <f>W65/O65</f>
        <v>1.7638164003275756</v>
      </c>
      <c r="AJ65" s="14">
        <f t="shared" si="7"/>
        <v>1.7638164003275756</v>
      </c>
      <c r="AK65" s="14"/>
      <c r="AL65" s="14"/>
      <c r="AM65" s="60"/>
      <c r="AN65" s="60"/>
      <c r="AO65" s="60"/>
      <c r="AP65" s="60"/>
      <c r="AU65" s="10" t="s">
        <v>2</v>
      </c>
      <c r="AV65" s="10" t="s">
        <v>2</v>
      </c>
      <c r="AW65" s="10" t="s">
        <v>2556</v>
      </c>
    </row>
    <row r="66" spans="1:54" s="10" customFormat="1" x14ac:dyDescent="0.3">
      <c r="A66" s="10" t="s">
        <v>1002</v>
      </c>
      <c r="B66" s="10" t="s">
        <v>477</v>
      </c>
      <c r="C66" s="10" t="s">
        <v>1004</v>
      </c>
      <c r="D66" s="10" t="s">
        <v>1003</v>
      </c>
      <c r="E66" s="10">
        <v>2007</v>
      </c>
      <c r="F66" s="10" t="s">
        <v>2663</v>
      </c>
      <c r="H66" s="10" t="s">
        <v>17</v>
      </c>
      <c r="J66" s="10" t="s">
        <v>53</v>
      </c>
      <c r="K66" s="16" t="s">
        <v>1001</v>
      </c>
      <c r="L66" s="10">
        <v>3</v>
      </c>
      <c r="M66" s="10">
        <v>3</v>
      </c>
      <c r="O66" s="14">
        <f>(0.585+0.86+0.86)/3</f>
        <v>0.7683333333333332</v>
      </c>
      <c r="P66" s="14"/>
      <c r="Q66" s="14">
        <f>(3315+3845+3845)/3000</f>
        <v>3.6683333333333334</v>
      </c>
      <c r="R66" s="14"/>
      <c r="S66" s="14"/>
      <c r="T66" s="14"/>
      <c r="U66" s="14">
        <f>(122+660+535+9+445+951+61+540+740)/9000</f>
        <v>0.45144444444444443</v>
      </c>
      <c r="V66" s="14"/>
      <c r="W66" s="14"/>
      <c r="X66" s="14"/>
      <c r="Y66" s="14">
        <f>(1006+2766+2679+1206+2952+4607+1330+4061+4175)/9000</f>
        <v>2.7535555555555558</v>
      </c>
      <c r="AC66" s="14">
        <f>((7+12+8)/3)*PI()*((24.52+34.07+26.11)/300)^2</f>
        <v>2.2538068440191998</v>
      </c>
      <c r="AD66" s="14"/>
      <c r="AE66" s="14"/>
      <c r="AF66" s="14"/>
      <c r="AH66" s="14">
        <f t="shared" ref="AH66:AH93" si="29">U66/O66</f>
        <v>0.58756326825741145</v>
      </c>
      <c r="AJ66" s="14">
        <f t="shared" si="7"/>
        <v>0.58756326825741145</v>
      </c>
      <c r="AK66" s="14"/>
      <c r="AL66" s="14"/>
      <c r="AM66" s="60"/>
      <c r="AN66" s="60"/>
      <c r="AO66" s="60"/>
      <c r="AP66" s="60"/>
      <c r="AU66" s="10" t="s">
        <v>2</v>
      </c>
      <c r="AV66" s="10" t="s">
        <v>2023</v>
      </c>
      <c r="AW66" s="10" t="s">
        <v>2557</v>
      </c>
      <c r="BB66" s="26"/>
    </row>
    <row r="67" spans="1:54" s="10" customFormat="1" x14ac:dyDescent="0.3">
      <c r="A67" s="10" t="s">
        <v>1002</v>
      </c>
      <c r="B67" s="10" t="s">
        <v>477</v>
      </c>
      <c r="C67" s="10" t="s">
        <v>1004</v>
      </c>
      <c r="D67" s="10" t="s">
        <v>1003</v>
      </c>
      <c r="E67" s="10">
        <v>2008</v>
      </c>
      <c r="F67" s="10" t="s">
        <v>2663</v>
      </c>
      <c r="H67" s="10" t="s">
        <v>17</v>
      </c>
      <c r="J67" s="10" t="s">
        <v>53</v>
      </c>
      <c r="K67" s="16" t="s">
        <v>1001</v>
      </c>
      <c r="L67" s="10">
        <v>3</v>
      </c>
      <c r="M67" s="10">
        <v>3</v>
      </c>
      <c r="O67" s="14">
        <f>(0.75+0.69+0.69)/3</f>
        <v>0.71</v>
      </c>
      <c r="P67" s="14"/>
      <c r="Q67" s="14">
        <f>(2440+2455+2455)/3000</f>
        <v>2.4500000000000002</v>
      </c>
      <c r="R67" s="14"/>
      <c r="S67" s="14"/>
      <c r="T67" s="14"/>
      <c r="U67" s="14">
        <f>(283+485+587+245+540+761+197+656+886)/9000</f>
        <v>0.51555555555555554</v>
      </c>
      <c r="V67" s="14"/>
      <c r="W67" s="14"/>
      <c r="X67" s="14"/>
      <c r="Y67" s="14">
        <f>(475+966+1013+1142+1629+2525+796+2725+4458)/9000</f>
        <v>1.7476666666666667</v>
      </c>
      <c r="AC67" s="14">
        <f>((7+12+8)/3)*PI()*((24.52+34.07+26.11)/300)^2</f>
        <v>2.2538068440191998</v>
      </c>
      <c r="AD67" s="14"/>
      <c r="AE67" s="14"/>
      <c r="AF67" s="14"/>
      <c r="AH67" s="14">
        <f t="shared" si="29"/>
        <v>0.72613458528951491</v>
      </c>
      <c r="AJ67" s="14">
        <f t="shared" si="7"/>
        <v>0.72613458528951491</v>
      </c>
      <c r="AK67" s="14"/>
      <c r="AL67" s="14"/>
      <c r="AM67" s="60"/>
      <c r="AN67" s="60"/>
      <c r="AO67" s="60"/>
      <c r="AP67" s="60"/>
      <c r="AU67" s="10" t="s">
        <v>2</v>
      </c>
      <c r="AV67" s="10" t="s">
        <v>2023</v>
      </c>
      <c r="AW67" s="10" t="s">
        <v>2557</v>
      </c>
      <c r="BB67" s="26"/>
    </row>
    <row r="68" spans="1:54" s="10" customFormat="1" x14ac:dyDescent="0.3">
      <c r="A68" s="10" t="s">
        <v>1002</v>
      </c>
      <c r="B68" s="10" t="s">
        <v>477</v>
      </c>
      <c r="C68" s="10" t="s">
        <v>1004</v>
      </c>
      <c r="D68" s="10" t="s">
        <v>1003</v>
      </c>
      <c r="E68" s="10">
        <v>2007</v>
      </c>
      <c r="F68" s="10" t="s">
        <v>2663</v>
      </c>
      <c r="H68" s="10" t="s">
        <v>17</v>
      </c>
      <c r="J68" s="10" t="s">
        <v>1005</v>
      </c>
      <c r="K68" s="16" t="s">
        <v>1001</v>
      </c>
      <c r="L68" s="10">
        <v>2</v>
      </c>
      <c r="M68" s="10">
        <v>2</v>
      </c>
      <c r="O68" s="14">
        <f>(2.704+4.558)/2</f>
        <v>3.6310000000000002</v>
      </c>
      <c r="Q68" s="14">
        <f>(172+267)/2000</f>
        <v>0.2195</v>
      </c>
      <c r="U68" s="14">
        <f>(1676+4812+6051+2589+5225+5745)/6000</f>
        <v>4.3496666666666668</v>
      </c>
      <c r="Y68" s="14">
        <f>(61+176+621+74+138+179)/6000</f>
        <v>0.20816666666666667</v>
      </c>
      <c r="AC68" s="14">
        <f>((9.5+14)/2)*PI()*((31.21+32.16)/200)^2</f>
        <v>3.7059125103449904</v>
      </c>
      <c r="AD68" s="14"/>
      <c r="AE68" s="14"/>
      <c r="AF68" s="14"/>
      <c r="AH68" s="14">
        <f t="shared" si="29"/>
        <v>1.1979252731111723</v>
      </c>
      <c r="AJ68" s="14">
        <f t="shared" si="7"/>
        <v>1.1979252731111723</v>
      </c>
      <c r="AK68" s="14"/>
      <c r="AL68" s="14"/>
      <c r="AM68" s="60"/>
      <c r="AN68" s="60"/>
      <c r="AO68" s="60"/>
      <c r="AP68" s="60"/>
      <c r="AU68" s="10" t="s">
        <v>2</v>
      </c>
      <c r="AV68" s="10" t="s">
        <v>2023</v>
      </c>
      <c r="AW68" s="10" t="s">
        <v>2557</v>
      </c>
      <c r="BB68" s="26"/>
    </row>
    <row r="69" spans="1:54" s="21" customFormat="1" x14ac:dyDescent="0.3">
      <c r="A69" s="21" t="s">
        <v>1002</v>
      </c>
      <c r="B69" s="21" t="s">
        <v>477</v>
      </c>
      <c r="C69" s="21" t="s">
        <v>1004</v>
      </c>
      <c r="D69" s="21" t="s">
        <v>1003</v>
      </c>
      <c r="E69" s="21">
        <v>2008</v>
      </c>
      <c r="F69" s="21" t="s">
        <v>2663</v>
      </c>
      <c r="H69" s="21" t="s">
        <v>17</v>
      </c>
      <c r="J69" s="21" t="s">
        <v>1005</v>
      </c>
      <c r="K69" s="82" t="s">
        <v>1001</v>
      </c>
      <c r="L69" s="21">
        <v>2</v>
      </c>
      <c r="M69" s="21">
        <v>2</v>
      </c>
      <c r="O69" s="54">
        <f>(3.282+5.127)/2</f>
        <v>4.2044999999999995</v>
      </c>
      <c r="Q69" s="54">
        <f>(217+285)/2000</f>
        <v>0.251</v>
      </c>
      <c r="U69" s="54">
        <f>(491+1724+2215+429+1676+2719)/6000</f>
        <v>1.5423333333333333</v>
      </c>
      <c r="Y69" s="54">
        <f>(57+211+341+117+183+206)/6000</f>
        <v>0.18583333333333332</v>
      </c>
      <c r="AC69" s="54">
        <f>((9.5+14)/2)*PI()*((31.21+32.16)/200)^2</f>
        <v>3.7059125103449904</v>
      </c>
      <c r="AD69" s="54"/>
      <c r="AE69" s="54"/>
      <c r="AF69" s="54"/>
      <c r="AH69" s="54">
        <f t="shared" si="29"/>
        <v>0.36682919094620847</v>
      </c>
      <c r="AJ69" s="54">
        <f t="shared" si="7"/>
        <v>0.36682919094620847</v>
      </c>
      <c r="AK69" s="54"/>
      <c r="AL69" s="54"/>
      <c r="AM69" s="83"/>
      <c r="AN69" s="83"/>
      <c r="AO69" s="83"/>
      <c r="AP69" s="83"/>
      <c r="AU69" s="21" t="s">
        <v>2</v>
      </c>
      <c r="AV69" s="21" t="s">
        <v>2023</v>
      </c>
      <c r="AW69" s="21" t="s">
        <v>2557</v>
      </c>
      <c r="BB69" s="23"/>
    </row>
    <row r="70" spans="1:54" s="21" customFormat="1" x14ac:dyDescent="0.3">
      <c r="A70" s="21" t="s">
        <v>2545</v>
      </c>
      <c r="B70" s="21" t="s">
        <v>777</v>
      </c>
      <c r="C70" s="21" t="s">
        <v>2476</v>
      </c>
      <c r="D70" s="21" t="s">
        <v>2477</v>
      </c>
      <c r="E70" s="21">
        <v>1993</v>
      </c>
      <c r="F70" s="21" t="s">
        <v>2663</v>
      </c>
      <c r="G70" s="21" t="s">
        <v>2478</v>
      </c>
      <c r="H70" s="21" t="s">
        <v>217</v>
      </c>
      <c r="J70" s="21" t="s">
        <v>2479</v>
      </c>
      <c r="K70" s="82" t="s">
        <v>361</v>
      </c>
      <c r="L70" s="21">
        <v>3</v>
      </c>
      <c r="M70" s="21">
        <v>3</v>
      </c>
      <c r="O70" s="21">
        <v>6.5</v>
      </c>
      <c r="S70" s="21">
        <v>6.1</v>
      </c>
      <c r="T70" s="21" t="s">
        <v>2771</v>
      </c>
      <c r="U70" s="21">
        <v>3.8</v>
      </c>
      <c r="AC70" s="21">
        <v>4.0999999999999996</v>
      </c>
      <c r="AH70" s="54">
        <f t="shared" si="29"/>
        <v>0.58461538461538454</v>
      </c>
      <c r="AI70" s="54">
        <f>AC70/S70</f>
        <v>0.67213114754098358</v>
      </c>
      <c r="AJ70" s="54">
        <f>AH70+AI70</f>
        <v>1.256746532156368</v>
      </c>
      <c r="AK70" s="54"/>
      <c r="AL70" s="54"/>
      <c r="AQ70" s="21">
        <f>175*0.17</f>
        <v>29.750000000000004</v>
      </c>
      <c r="AR70" s="21" t="s">
        <v>14</v>
      </c>
      <c r="AS70" s="21" t="s">
        <v>2</v>
      </c>
      <c r="AU70" s="21" t="s">
        <v>2</v>
      </c>
      <c r="AV70" s="21" t="s">
        <v>2</v>
      </c>
      <c r="AW70" s="21" t="s">
        <v>2504</v>
      </c>
    </row>
    <row r="71" spans="1:54" x14ac:dyDescent="0.3">
      <c r="A71" s="10" t="s">
        <v>2545</v>
      </c>
      <c r="B71" s="10" t="s">
        <v>777</v>
      </c>
      <c r="C71" s="10" t="s">
        <v>2476</v>
      </c>
      <c r="D71" s="10" t="s">
        <v>2477</v>
      </c>
      <c r="E71" s="10">
        <v>1993</v>
      </c>
      <c r="F71" s="10" t="s">
        <v>2663</v>
      </c>
      <c r="G71" s="10" t="s">
        <v>2478</v>
      </c>
      <c r="H71" s="10" t="s">
        <v>217</v>
      </c>
      <c r="J71" s="10" t="s">
        <v>2480</v>
      </c>
      <c r="K71" s="16" t="s">
        <v>361</v>
      </c>
      <c r="L71" s="10">
        <v>3</v>
      </c>
      <c r="M71" s="10">
        <v>3</v>
      </c>
      <c r="N71" s="10"/>
      <c r="O71" s="10">
        <v>26.7</v>
      </c>
      <c r="S71" s="10">
        <v>6.1</v>
      </c>
      <c r="T71" s="10" t="s">
        <v>2771</v>
      </c>
      <c r="U71">
        <v>11.9</v>
      </c>
      <c r="AC71">
        <v>3.6</v>
      </c>
      <c r="AH71" s="14">
        <f t="shared" si="29"/>
        <v>0.44569288389513112</v>
      </c>
      <c r="AI71" s="14">
        <f>AC71/S71</f>
        <v>0.59016393442622961</v>
      </c>
      <c r="AJ71" s="14">
        <f t="shared" ref="AJ71:AJ83" si="30">AH71+AI71</f>
        <v>1.0358568183213608</v>
      </c>
      <c r="AK71" s="14"/>
      <c r="AL71" s="14"/>
      <c r="AQ71" s="10">
        <f t="shared" ref="AQ71:AQ73" si="31">175*0.17</f>
        <v>29.750000000000004</v>
      </c>
      <c r="AR71" s="10" t="s">
        <v>14</v>
      </c>
      <c r="AS71" s="10" t="s">
        <v>2</v>
      </c>
      <c r="AT71" s="10"/>
      <c r="AU71" s="10" t="s">
        <v>2</v>
      </c>
      <c r="AV71" s="10" t="s">
        <v>2</v>
      </c>
      <c r="AW71" s="10" t="s">
        <v>2504</v>
      </c>
    </row>
    <row r="72" spans="1:54" x14ac:dyDescent="0.3">
      <c r="A72" s="10" t="s">
        <v>2545</v>
      </c>
      <c r="B72" s="10" t="s">
        <v>777</v>
      </c>
      <c r="C72" s="10" t="s">
        <v>2476</v>
      </c>
      <c r="D72" s="10" t="s">
        <v>2477</v>
      </c>
      <c r="E72" s="10">
        <v>1993</v>
      </c>
      <c r="F72" s="10" t="s">
        <v>2663</v>
      </c>
      <c r="G72" s="10" t="s">
        <v>2478</v>
      </c>
      <c r="H72" s="10" t="s">
        <v>217</v>
      </c>
      <c r="J72" s="10" t="s">
        <v>2479</v>
      </c>
      <c r="K72" s="16" t="s">
        <v>73</v>
      </c>
      <c r="L72" s="10">
        <v>3</v>
      </c>
      <c r="M72" s="10">
        <v>3</v>
      </c>
      <c r="N72" s="10"/>
      <c r="O72" s="10">
        <v>6.5</v>
      </c>
      <c r="S72" s="10">
        <v>4.0999999999999996</v>
      </c>
      <c r="T72" s="10" t="s">
        <v>2771</v>
      </c>
      <c r="U72">
        <v>4.5999999999999996</v>
      </c>
      <c r="AC72">
        <v>2.6</v>
      </c>
      <c r="AH72" s="14">
        <f t="shared" si="29"/>
        <v>0.70769230769230762</v>
      </c>
      <c r="AI72" s="14">
        <f>AC72/S72</f>
        <v>0.63414634146341475</v>
      </c>
      <c r="AJ72" s="14">
        <f t="shared" si="30"/>
        <v>1.3418386491557224</v>
      </c>
      <c r="AK72" s="14"/>
      <c r="AL72" s="14"/>
      <c r="AQ72" s="10">
        <f t="shared" si="31"/>
        <v>29.750000000000004</v>
      </c>
      <c r="AR72" s="10" t="s">
        <v>14</v>
      </c>
      <c r="AS72" s="10" t="s">
        <v>2</v>
      </c>
      <c r="AT72" s="10"/>
      <c r="AU72" s="10" t="s">
        <v>2</v>
      </c>
      <c r="AV72" s="10" t="s">
        <v>2</v>
      </c>
      <c r="AW72" s="10" t="s">
        <v>2504</v>
      </c>
    </row>
    <row r="73" spans="1:54" x14ac:dyDescent="0.3">
      <c r="A73" s="10" t="s">
        <v>2545</v>
      </c>
      <c r="B73" s="10" t="s">
        <v>777</v>
      </c>
      <c r="C73" s="10" t="s">
        <v>2476</v>
      </c>
      <c r="D73" s="10" t="s">
        <v>2477</v>
      </c>
      <c r="E73" s="10">
        <v>1993</v>
      </c>
      <c r="F73" s="10" t="s">
        <v>2663</v>
      </c>
      <c r="G73" s="10" t="s">
        <v>2478</v>
      </c>
      <c r="H73" s="10" t="s">
        <v>217</v>
      </c>
      <c r="J73" s="10" t="s">
        <v>2480</v>
      </c>
      <c r="K73" s="16" t="s">
        <v>73</v>
      </c>
      <c r="L73" s="10">
        <v>3</v>
      </c>
      <c r="M73" s="10">
        <v>3</v>
      </c>
      <c r="N73" s="10"/>
      <c r="O73" s="10">
        <v>26.7</v>
      </c>
      <c r="S73" s="10">
        <v>4.0999999999999996</v>
      </c>
      <c r="T73" s="10" t="s">
        <v>2771</v>
      </c>
      <c r="U73">
        <v>12.2</v>
      </c>
      <c r="AC73">
        <v>2.6</v>
      </c>
      <c r="AH73" s="14">
        <f t="shared" si="29"/>
        <v>0.45692883895131087</v>
      </c>
      <c r="AI73" s="14">
        <f>AC73/S73</f>
        <v>0.63414634146341475</v>
      </c>
      <c r="AJ73" s="14">
        <f t="shared" si="30"/>
        <v>1.0910751804147256</v>
      </c>
      <c r="AK73" s="14"/>
      <c r="AL73" s="14"/>
      <c r="AQ73" s="10">
        <f t="shared" si="31"/>
        <v>29.750000000000004</v>
      </c>
      <c r="AR73" s="10" t="s">
        <v>14</v>
      </c>
      <c r="AS73" s="10" t="s">
        <v>2</v>
      </c>
      <c r="AT73" s="10"/>
      <c r="AU73" s="10" t="s">
        <v>2</v>
      </c>
      <c r="AV73" s="10" t="s">
        <v>2</v>
      </c>
      <c r="AW73" s="10" t="s">
        <v>2504</v>
      </c>
    </row>
    <row r="74" spans="1:54" x14ac:dyDescent="0.3">
      <c r="A74" s="10" t="s">
        <v>2501</v>
      </c>
      <c r="B74" s="10" t="s">
        <v>131</v>
      </c>
      <c r="C74" s="10" t="s">
        <v>422</v>
      </c>
      <c r="D74" s="10" t="s">
        <v>2502</v>
      </c>
      <c r="E74" s="10">
        <v>1993</v>
      </c>
      <c r="F74" s="10" t="s">
        <v>2663</v>
      </c>
      <c r="G74" s="10" t="s">
        <v>2503</v>
      </c>
      <c r="H74" s="10" t="s">
        <v>217</v>
      </c>
      <c r="I74" s="10" t="s">
        <v>834</v>
      </c>
      <c r="J74" s="10" t="s">
        <v>63</v>
      </c>
      <c r="K74" s="16" t="s">
        <v>361</v>
      </c>
      <c r="L74" s="10">
        <v>2</v>
      </c>
      <c r="M74" s="10">
        <v>2</v>
      </c>
      <c r="N74" s="10"/>
      <c r="O74" s="10">
        <v>3.99</v>
      </c>
      <c r="U74">
        <v>4.33</v>
      </c>
      <c r="AH74" s="14">
        <f t="shared" si="29"/>
        <v>1.0852130325814535</v>
      </c>
      <c r="AI74" s="14"/>
      <c r="AJ74" s="14">
        <f t="shared" si="30"/>
        <v>1.0852130325814535</v>
      </c>
      <c r="AK74" s="14"/>
      <c r="AL74" s="14"/>
      <c r="AQ74">
        <v>50</v>
      </c>
      <c r="AR74" s="10" t="s">
        <v>14</v>
      </c>
      <c r="AU74" s="10" t="s">
        <v>2</v>
      </c>
      <c r="AV74" s="10" t="s">
        <v>2</v>
      </c>
      <c r="AW74" s="10" t="s">
        <v>2505</v>
      </c>
    </row>
    <row r="75" spans="1:54" x14ac:dyDescent="0.3">
      <c r="A75" s="10" t="s">
        <v>2501</v>
      </c>
      <c r="B75" s="10" t="s">
        <v>131</v>
      </c>
      <c r="C75" s="10" t="s">
        <v>422</v>
      </c>
      <c r="D75" s="10" t="s">
        <v>2502</v>
      </c>
      <c r="E75" s="10">
        <v>1993</v>
      </c>
      <c r="F75" s="10" t="s">
        <v>2663</v>
      </c>
      <c r="G75" s="10" t="s">
        <v>2503</v>
      </c>
      <c r="H75" s="10" t="s">
        <v>217</v>
      </c>
      <c r="I75" t="s">
        <v>833</v>
      </c>
      <c r="J75" s="10" t="s">
        <v>63</v>
      </c>
      <c r="K75" s="16" t="s">
        <v>361</v>
      </c>
      <c r="L75" s="10">
        <v>2</v>
      </c>
      <c r="M75" s="10">
        <v>2</v>
      </c>
      <c r="N75" s="10"/>
      <c r="O75" s="10">
        <v>0.83</v>
      </c>
      <c r="U75">
        <v>1.1200000000000001</v>
      </c>
      <c r="AH75" s="14">
        <f t="shared" si="29"/>
        <v>1.3493975903614459</v>
      </c>
      <c r="AJ75" s="14">
        <f t="shared" si="30"/>
        <v>1.3493975903614459</v>
      </c>
      <c r="AK75" s="14"/>
      <c r="AL75" s="14"/>
      <c r="AQ75">
        <v>50</v>
      </c>
      <c r="AR75" s="10" t="s">
        <v>14</v>
      </c>
      <c r="AU75" s="10" t="s">
        <v>2</v>
      </c>
      <c r="AV75" s="10" t="s">
        <v>2</v>
      </c>
      <c r="AW75" s="10" t="s">
        <v>2505</v>
      </c>
    </row>
    <row r="76" spans="1:54" x14ac:dyDescent="0.3">
      <c r="A76" s="10" t="s">
        <v>2501</v>
      </c>
      <c r="B76" s="10" t="s">
        <v>131</v>
      </c>
      <c r="C76" s="10" t="s">
        <v>422</v>
      </c>
      <c r="D76" s="10" t="s">
        <v>2502</v>
      </c>
      <c r="E76" s="10">
        <v>1994</v>
      </c>
      <c r="F76" s="10" t="s">
        <v>2663</v>
      </c>
      <c r="G76" s="10" t="s">
        <v>2503</v>
      </c>
      <c r="H76" s="10" t="s">
        <v>217</v>
      </c>
      <c r="I76" s="10" t="s">
        <v>834</v>
      </c>
      <c r="J76" s="10" t="s">
        <v>63</v>
      </c>
      <c r="K76" s="16" t="s">
        <v>361</v>
      </c>
      <c r="L76" s="10">
        <v>2</v>
      </c>
      <c r="M76" s="10">
        <v>2</v>
      </c>
      <c r="N76" s="10"/>
      <c r="O76" s="10">
        <v>6.7</v>
      </c>
      <c r="U76">
        <v>7.76</v>
      </c>
      <c r="AH76" s="14">
        <f t="shared" si="29"/>
        <v>1.1582089552238806</v>
      </c>
      <c r="AJ76" s="14">
        <f t="shared" si="30"/>
        <v>1.1582089552238806</v>
      </c>
      <c r="AK76" s="14"/>
      <c r="AL76" s="14"/>
      <c r="AQ76">
        <v>50</v>
      </c>
      <c r="AR76" s="10" t="s">
        <v>14</v>
      </c>
      <c r="AU76" s="10" t="s">
        <v>2</v>
      </c>
      <c r="AV76" s="10" t="s">
        <v>2</v>
      </c>
      <c r="AW76" s="10" t="s">
        <v>2505</v>
      </c>
    </row>
    <row r="77" spans="1:54" x14ac:dyDescent="0.3">
      <c r="A77" s="10" t="s">
        <v>2501</v>
      </c>
      <c r="B77" s="10" t="s">
        <v>131</v>
      </c>
      <c r="C77" s="10" t="s">
        <v>422</v>
      </c>
      <c r="D77" s="10" t="s">
        <v>2502</v>
      </c>
      <c r="E77" s="10">
        <v>1994</v>
      </c>
      <c r="F77" s="10" t="s">
        <v>2663</v>
      </c>
      <c r="G77" s="10" t="s">
        <v>2503</v>
      </c>
      <c r="H77" s="10" t="s">
        <v>217</v>
      </c>
      <c r="I77" t="s">
        <v>833</v>
      </c>
      <c r="J77" s="10" t="s">
        <v>63</v>
      </c>
      <c r="K77" s="16" t="s">
        <v>361</v>
      </c>
      <c r="L77" s="10">
        <v>2</v>
      </c>
      <c r="M77" s="10">
        <v>2</v>
      </c>
      <c r="N77" s="10"/>
      <c r="O77" s="10">
        <v>4.8600000000000003</v>
      </c>
      <c r="U77">
        <v>5.0599999999999996</v>
      </c>
      <c r="AH77" s="14">
        <f t="shared" si="29"/>
        <v>1.0411522633744854</v>
      </c>
      <c r="AJ77" s="14">
        <f t="shared" si="30"/>
        <v>1.0411522633744854</v>
      </c>
      <c r="AK77" s="14"/>
      <c r="AL77" s="14"/>
      <c r="AQ77">
        <v>50</v>
      </c>
      <c r="AR77" s="10" t="s">
        <v>14</v>
      </c>
      <c r="AU77" s="10" t="s">
        <v>2</v>
      </c>
      <c r="AV77" s="10" t="s">
        <v>2</v>
      </c>
      <c r="AW77" s="10" t="s">
        <v>2505</v>
      </c>
    </row>
    <row r="78" spans="1:54" x14ac:dyDescent="0.3">
      <c r="A78" s="10" t="s">
        <v>2501</v>
      </c>
      <c r="B78" s="10" t="s">
        <v>131</v>
      </c>
      <c r="C78" s="10" t="s">
        <v>422</v>
      </c>
      <c r="D78" s="10" t="s">
        <v>2502</v>
      </c>
      <c r="E78" s="10">
        <v>1995</v>
      </c>
      <c r="F78" s="10" t="s">
        <v>2663</v>
      </c>
      <c r="G78" s="10" t="s">
        <v>2503</v>
      </c>
      <c r="H78" s="10" t="s">
        <v>217</v>
      </c>
      <c r="I78" s="10" t="s">
        <v>834</v>
      </c>
      <c r="J78" s="10" t="s">
        <v>63</v>
      </c>
      <c r="K78" s="16" t="s">
        <v>361</v>
      </c>
      <c r="L78" s="10">
        <v>2</v>
      </c>
      <c r="M78" s="10">
        <v>2</v>
      </c>
      <c r="N78" s="10"/>
      <c r="O78" s="10">
        <v>4.05</v>
      </c>
      <c r="U78">
        <v>4.4000000000000004</v>
      </c>
      <c r="AH78" s="14">
        <f t="shared" si="29"/>
        <v>1.0864197530864199</v>
      </c>
      <c r="AJ78" s="14">
        <f t="shared" si="30"/>
        <v>1.0864197530864199</v>
      </c>
      <c r="AK78" s="14"/>
      <c r="AL78" s="14"/>
      <c r="AQ78">
        <v>50</v>
      </c>
      <c r="AR78" s="10" t="s">
        <v>14</v>
      </c>
      <c r="AU78" s="10" t="s">
        <v>2</v>
      </c>
      <c r="AV78" s="10" t="s">
        <v>2</v>
      </c>
      <c r="AW78" s="10" t="s">
        <v>2505</v>
      </c>
    </row>
    <row r="79" spans="1:54" x14ac:dyDescent="0.3">
      <c r="A79" s="10" t="s">
        <v>2501</v>
      </c>
      <c r="B79" s="10" t="s">
        <v>131</v>
      </c>
      <c r="C79" s="10" t="s">
        <v>422</v>
      </c>
      <c r="D79" s="10" t="s">
        <v>2502</v>
      </c>
      <c r="E79" s="10">
        <v>1995</v>
      </c>
      <c r="F79" s="10" t="s">
        <v>2663</v>
      </c>
      <c r="G79" s="10" t="s">
        <v>2503</v>
      </c>
      <c r="H79" s="10" t="s">
        <v>217</v>
      </c>
      <c r="I79" t="s">
        <v>833</v>
      </c>
      <c r="J79" s="10" t="s">
        <v>63</v>
      </c>
      <c r="K79" s="16" t="s">
        <v>361</v>
      </c>
      <c r="L79" s="10">
        <v>2</v>
      </c>
      <c r="M79" s="10">
        <v>2</v>
      </c>
      <c r="N79" s="10"/>
      <c r="O79" s="10">
        <v>8.0500000000000007</v>
      </c>
      <c r="U79">
        <v>8.2200000000000006</v>
      </c>
      <c r="AH79" s="14">
        <f t="shared" si="29"/>
        <v>1.0211180124223602</v>
      </c>
      <c r="AJ79" s="14">
        <f t="shared" si="30"/>
        <v>1.0211180124223602</v>
      </c>
      <c r="AK79" s="14"/>
      <c r="AL79" s="14"/>
      <c r="AQ79">
        <v>50</v>
      </c>
      <c r="AR79" s="10" t="s">
        <v>14</v>
      </c>
      <c r="AU79" s="10" t="s">
        <v>2</v>
      </c>
      <c r="AV79" s="10" t="s">
        <v>2</v>
      </c>
      <c r="AW79" s="10" t="s">
        <v>2505</v>
      </c>
    </row>
    <row r="80" spans="1:54" x14ac:dyDescent="0.3">
      <c r="A80" s="10" t="s">
        <v>2501</v>
      </c>
      <c r="B80" s="10" t="s">
        <v>131</v>
      </c>
      <c r="C80" s="10" t="s">
        <v>422</v>
      </c>
      <c r="D80" s="10" t="s">
        <v>2502</v>
      </c>
      <c r="E80" s="10">
        <v>1996</v>
      </c>
      <c r="F80" s="10" t="s">
        <v>2663</v>
      </c>
      <c r="G80" s="10" t="s">
        <v>2503</v>
      </c>
      <c r="H80" s="10" t="s">
        <v>217</v>
      </c>
      <c r="I80" s="10" t="s">
        <v>834</v>
      </c>
      <c r="J80" s="10" t="s">
        <v>63</v>
      </c>
      <c r="K80" s="16" t="s">
        <v>361</v>
      </c>
      <c r="L80" s="10">
        <v>2</v>
      </c>
      <c r="M80" s="10">
        <v>2</v>
      </c>
      <c r="N80" s="10"/>
      <c r="O80" s="10">
        <v>4.67</v>
      </c>
      <c r="U80">
        <v>5.7</v>
      </c>
      <c r="AH80" s="14">
        <f t="shared" si="29"/>
        <v>1.220556745182013</v>
      </c>
      <c r="AJ80" s="14">
        <f t="shared" si="30"/>
        <v>1.220556745182013</v>
      </c>
      <c r="AK80" s="14"/>
      <c r="AL80" s="14"/>
      <c r="AQ80">
        <v>50</v>
      </c>
      <c r="AR80" s="10" t="s">
        <v>14</v>
      </c>
      <c r="AU80" s="10" t="s">
        <v>2</v>
      </c>
      <c r="AV80" s="10" t="s">
        <v>2</v>
      </c>
      <c r="AW80" s="10" t="s">
        <v>2505</v>
      </c>
    </row>
    <row r="81" spans="1:49" x14ac:dyDescent="0.3">
      <c r="A81" s="10" t="s">
        <v>2501</v>
      </c>
      <c r="B81" s="10" t="s">
        <v>131</v>
      </c>
      <c r="C81" s="10" t="s">
        <v>422</v>
      </c>
      <c r="D81" s="10" t="s">
        <v>2502</v>
      </c>
      <c r="E81" s="10">
        <v>1996</v>
      </c>
      <c r="F81" s="10" t="s">
        <v>2663</v>
      </c>
      <c r="G81" s="10" t="s">
        <v>2503</v>
      </c>
      <c r="H81" s="10" t="s">
        <v>217</v>
      </c>
      <c r="I81" t="s">
        <v>833</v>
      </c>
      <c r="J81" s="10" t="s">
        <v>63</v>
      </c>
      <c r="K81" s="16" t="s">
        <v>361</v>
      </c>
      <c r="L81" s="10">
        <v>2</v>
      </c>
      <c r="M81" s="10">
        <v>2</v>
      </c>
      <c r="N81" s="10"/>
      <c r="O81" s="10">
        <v>0.64</v>
      </c>
      <c r="U81">
        <v>0.55000000000000004</v>
      </c>
      <c r="AH81" s="14">
        <f t="shared" si="29"/>
        <v>0.859375</v>
      </c>
      <c r="AJ81" s="14">
        <f t="shared" si="30"/>
        <v>0.859375</v>
      </c>
      <c r="AK81" s="14"/>
      <c r="AL81" s="14"/>
      <c r="AQ81">
        <v>50</v>
      </c>
      <c r="AR81" s="10" t="s">
        <v>14</v>
      </c>
      <c r="AU81" s="10" t="s">
        <v>2</v>
      </c>
      <c r="AV81" s="10" t="s">
        <v>2</v>
      </c>
      <c r="AW81" s="10" t="s">
        <v>2505</v>
      </c>
    </row>
    <row r="82" spans="1:49" x14ac:dyDescent="0.3">
      <c r="A82" s="10" t="s">
        <v>2501</v>
      </c>
      <c r="B82" s="10" t="s">
        <v>131</v>
      </c>
      <c r="C82" s="10" t="s">
        <v>422</v>
      </c>
      <c r="D82" s="10" t="s">
        <v>2502</v>
      </c>
      <c r="E82" s="10">
        <v>1997</v>
      </c>
      <c r="F82" s="10" t="s">
        <v>2663</v>
      </c>
      <c r="G82" s="10" t="s">
        <v>2503</v>
      </c>
      <c r="H82" s="10" t="s">
        <v>217</v>
      </c>
      <c r="I82" s="10" t="s">
        <v>834</v>
      </c>
      <c r="J82" s="10" t="s">
        <v>63</v>
      </c>
      <c r="K82" s="16" t="s">
        <v>361</v>
      </c>
      <c r="L82" s="10">
        <v>2</v>
      </c>
      <c r="M82" s="10">
        <v>2</v>
      </c>
      <c r="N82" s="10"/>
      <c r="O82" s="10">
        <v>2.23</v>
      </c>
      <c r="U82">
        <v>1.86</v>
      </c>
      <c r="AH82" s="14">
        <f t="shared" si="29"/>
        <v>0.83408071748878931</v>
      </c>
      <c r="AJ82" s="14">
        <f t="shared" si="30"/>
        <v>0.83408071748878931</v>
      </c>
      <c r="AK82" s="14"/>
      <c r="AL82" s="14"/>
      <c r="AQ82">
        <v>50</v>
      </c>
      <c r="AR82" s="10" t="s">
        <v>14</v>
      </c>
      <c r="AU82" s="10" t="s">
        <v>2</v>
      </c>
      <c r="AV82" s="10" t="s">
        <v>2</v>
      </c>
      <c r="AW82" s="10" t="s">
        <v>2505</v>
      </c>
    </row>
    <row r="83" spans="1:49" x14ac:dyDescent="0.3">
      <c r="A83" s="10" t="s">
        <v>2501</v>
      </c>
      <c r="B83" s="10" t="s">
        <v>131</v>
      </c>
      <c r="C83" s="10" t="s">
        <v>422</v>
      </c>
      <c r="D83" s="10" t="s">
        <v>2502</v>
      </c>
      <c r="E83" s="10">
        <v>1997</v>
      </c>
      <c r="F83" s="10" t="s">
        <v>2663</v>
      </c>
      <c r="G83" s="10" t="s">
        <v>2503</v>
      </c>
      <c r="H83" s="10" t="s">
        <v>217</v>
      </c>
      <c r="I83" t="s">
        <v>833</v>
      </c>
      <c r="J83" s="10" t="s">
        <v>63</v>
      </c>
      <c r="K83" s="16" t="s">
        <v>361</v>
      </c>
      <c r="L83" s="10">
        <v>2</v>
      </c>
      <c r="M83" s="10">
        <v>2</v>
      </c>
      <c r="N83" s="10"/>
      <c r="O83" s="10">
        <v>8.06</v>
      </c>
      <c r="U83">
        <v>7.51</v>
      </c>
      <c r="AH83" s="14">
        <f t="shared" si="29"/>
        <v>0.93176178660049624</v>
      </c>
      <c r="AJ83" s="14">
        <f t="shared" si="30"/>
        <v>0.93176178660049624</v>
      </c>
      <c r="AK83" s="14"/>
      <c r="AL83" s="14"/>
      <c r="AQ83">
        <v>50</v>
      </c>
      <c r="AR83" s="10" t="s">
        <v>14</v>
      </c>
      <c r="AU83" s="10" t="s">
        <v>2</v>
      </c>
      <c r="AV83" s="10" t="s">
        <v>2</v>
      </c>
      <c r="AW83" s="10" t="s">
        <v>2505</v>
      </c>
    </row>
    <row r="84" spans="1:49" x14ac:dyDescent="0.3">
      <c r="A84" s="10" t="s">
        <v>2501</v>
      </c>
      <c r="B84" s="10" t="s">
        <v>131</v>
      </c>
      <c r="C84" s="10" t="s">
        <v>422</v>
      </c>
      <c r="D84" s="10" t="s">
        <v>2502</v>
      </c>
      <c r="E84" s="10">
        <v>1993</v>
      </c>
      <c r="F84" s="10" t="s">
        <v>2663</v>
      </c>
      <c r="G84" s="10" t="s">
        <v>2506</v>
      </c>
      <c r="H84" s="10" t="s">
        <v>217</v>
      </c>
      <c r="I84" s="10" t="s">
        <v>834</v>
      </c>
      <c r="J84" s="10" t="s">
        <v>63</v>
      </c>
      <c r="K84" s="16" t="s">
        <v>361</v>
      </c>
      <c r="L84" s="10">
        <v>2</v>
      </c>
      <c r="M84" s="10">
        <v>2</v>
      </c>
      <c r="N84" s="10"/>
      <c r="O84" s="10">
        <v>3.99</v>
      </c>
      <c r="U84">
        <v>3.98</v>
      </c>
      <c r="AH84" s="14">
        <f t="shared" si="29"/>
        <v>0.99749373433583954</v>
      </c>
      <c r="AI84" s="14"/>
      <c r="AJ84" s="14">
        <f t="shared" ref="AJ84:AJ93" si="32">AH84+AI84</f>
        <v>0.99749373433583954</v>
      </c>
      <c r="AK84" s="14"/>
      <c r="AL84" s="14"/>
      <c r="AQ84">
        <v>50</v>
      </c>
      <c r="AR84" s="10" t="s">
        <v>14</v>
      </c>
      <c r="AU84" s="10" t="s">
        <v>2</v>
      </c>
      <c r="AV84" s="10" t="s">
        <v>2</v>
      </c>
      <c r="AW84" s="10" t="s">
        <v>2505</v>
      </c>
    </row>
    <row r="85" spans="1:49" x14ac:dyDescent="0.3">
      <c r="A85" s="10" t="s">
        <v>2501</v>
      </c>
      <c r="B85" s="10" t="s">
        <v>131</v>
      </c>
      <c r="C85" s="10" t="s">
        <v>422</v>
      </c>
      <c r="D85" s="10" t="s">
        <v>2502</v>
      </c>
      <c r="E85" s="10">
        <v>1993</v>
      </c>
      <c r="F85" s="10" t="s">
        <v>2663</v>
      </c>
      <c r="G85" s="10" t="s">
        <v>2506</v>
      </c>
      <c r="H85" s="10" t="s">
        <v>217</v>
      </c>
      <c r="I85" t="s">
        <v>833</v>
      </c>
      <c r="J85" s="10" t="s">
        <v>63</v>
      </c>
      <c r="K85" s="16" t="s">
        <v>361</v>
      </c>
      <c r="L85" s="10">
        <v>2</v>
      </c>
      <c r="M85" s="10">
        <v>2</v>
      </c>
      <c r="N85" s="10"/>
      <c r="O85" s="10">
        <v>0.83</v>
      </c>
      <c r="U85">
        <v>0.82</v>
      </c>
      <c r="AH85" s="14">
        <f t="shared" si="29"/>
        <v>0.98795180722891562</v>
      </c>
      <c r="AJ85" s="14">
        <f t="shared" si="32"/>
        <v>0.98795180722891562</v>
      </c>
      <c r="AK85" s="14"/>
      <c r="AL85" s="14"/>
      <c r="AQ85">
        <v>50</v>
      </c>
      <c r="AR85" s="10" t="s">
        <v>14</v>
      </c>
      <c r="AU85" s="10" t="s">
        <v>2</v>
      </c>
      <c r="AV85" s="10" t="s">
        <v>2</v>
      </c>
      <c r="AW85" s="10" t="s">
        <v>2505</v>
      </c>
    </row>
    <row r="86" spans="1:49" x14ac:dyDescent="0.3">
      <c r="A86" s="10" t="s">
        <v>2501</v>
      </c>
      <c r="B86" s="10" t="s">
        <v>131</v>
      </c>
      <c r="C86" s="10" t="s">
        <v>422</v>
      </c>
      <c r="D86" s="10" t="s">
        <v>2502</v>
      </c>
      <c r="E86" s="10">
        <v>1994</v>
      </c>
      <c r="F86" s="10" t="s">
        <v>2663</v>
      </c>
      <c r="G86" s="10" t="s">
        <v>2506</v>
      </c>
      <c r="H86" s="10" t="s">
        <v>217</v>
      </c>
      <c r="I86" s="10" t="s">
        <v>834</v>
      </c>
      <c r="J86" s="10" t="s">
        <v>63</v>
      </c>
      <c r="K86" s="16" t="s">
        <v>361</v>
      </c>
      <c r="L86" s="10">
        <v>2</v>
      </c>
      <c r="M86" s="10">
        <v>2</v>
      </c>
      <c r="N86" s="10"/>
      <c r="O86" s="10">
        <v>6.7</v>
      </c>
      <c r="U86">
        <v>7.23</v>
      </c>
      <c r="AH86" s="14">
        <f t="shared" si="29"/>
        <v>1.0791044776119403</v>
      </c>
      <c r="AJ86" s="14">
        <f t="shared" si="32"/>
        <v>1.0791044776119403</v>
      </c>
      <c r="AK86" s="14"/>
      <c r="AL86" s="14"/>
      <c r="AQ86">
        <v>50</v>
      </c>
      <c r="AR86" s="10" t="s">
        <v>14</v>
      </c>
      <c r="AU86" s="10" t="s">
        <v>2</v>
      </c>
      <c r="AV86" s="10" t="s">
        <v>2</v>
      </c>
      <c r="AW86" s="10" t="s">
        <v>2505</v>
      </c>
    </row>
    <row r="87" spans="1:49" x14ac:dyDescent="0.3">
      <c r="A87" s="10" t="s">
        <v>2501</v>
      </c>
      <c r="B87" s="10" t="s">
        <v>131</v>
      </c>
      <c r="C87" s="10" t="s">
        <v>422</v>
      </c>
      <c r="D87" s="10" t="s">
        <v>2502</v>
      </c>
      <c r="E87" s="10">
        <v>1994</v>
      </c>
      <c r="F87" s="10" t="s">
        <v>2663</v>
      </c>
      <c r="G87" s="10" t="s">
        <v>2506</v>
      </c>
      <c r="H87" s="10" t="s">
        <v>217</v>
      </c>
      <c r="I87" t="s">
        <v>833</v>
      </c>
      <c r="J87" s="10" t="s">
        <v>63</v>
      </c>
      <c r="K87" s="16" t="s">
        <v>361</v>
      </c>
      <c r="L87" s="10">
        <v>2</v>
      </c>
      <c r="M87" s="10">
        <v>2</v>
      </c>
      <c r="N87" s="10"/>
      <c r="O87" s="10">
        <v>4.8600000000000003</v>
      </c>
      <c r="U87">
        <v>4.1100000000000003</v>
      </c>
      <c r="AH87" s="14">
        <f t="shared" si="29"/>
        <v>0.84567901234567899</v>
      </c>
      <c r="AJ87" s="14">
        <f t="shared" si="32"/>
        <v>0.84567901234567899</v>
      </c>
      <c r="AK87" s="14"/>
      <c r="AL87" s="14"/>
      <c r="AQ87">
        <v>50</v>
      </c>
      <c r="AR87" s="10" t="s">
        <v>14</v>
      </c>
      <c r="AU87" s="10" t="s">
        <v>2</v>
      </c>
      <c r="AV87" s="10" t="s">
        <v>2</v>
      </c>
      <c r="AW87" s="10" t="s">
        <v>2505</v>
      </c>
    </row>
    <row r="88" spans="1:49" x14ac:dyDescent="0.3">
      <c r="A88" s="10" t="s">
        <v>2501</v>
      </c>
      <c r="B88" s="10" t="s">
        <v>131</v>
      </c>
      <c r="C88" s="10" t="s">
        <v>422</v>
      </c>
      <c r="D88" s="10" t="s">
        <v>2502</v>
      </c>
      <c r="E88" s="10">
        <v>1995</v>
      </c>
      <c r="F88" s="10" t="s">
        <v>2663</v>
      </c>
      <c r="G88" s="10" t="s">
        <v>2506</v>
      </c>
      <c r="H88" s="10" t="s">
        <v>217</v>
      </c>
      <c r="I88" s="10" t="s">
        <v>834</v>
      </c>
      <c r="J88" s="10" t="s">
        <v>63</v>
      </c>
      <c r="K88" s="16" t="s">
        <v>361</v>
      </c>
      <c r="L88" s="10">
        <v>2</v>
      </c>
      <c r="M88" s="10">
        <v>2</v>
      </c>
      <c r="N88" s="10"/>
      <c r="O88" s="10">
        <v>4.05</v>
      </c>
      <c r="U88">
        <v>4.01</v>
      </c>
      <c r="AH88" s="14">
        <f t="shared" si="29"/>
        <v>0.99012345679012348</v>
      </c>
      <c r="AJ88" s="14">
        <f t="shared" si="32"/>
        <v>0.99012345679012348</v>
      </c>
      <c r="AK88" s="14"/>
      <c r="AL88" s="14"/>
      <c r="AQ88">
        <v>50</v>
      </c>
      <c r="AR88" s="10" t="s">
        <v>14</v>
      </c>
      <c r="AU88" s="10" t="s">
        <v>2</v>
      </c>
      <c r="AV88" s="10" t="s">
        <v>2</v>
      </c>
      <c r="AW88" s="10" t="s">
        <v>2505</v>
      </c>
    </row>
    <row r="89" spans="1:49" x14ac:dyDescent="0.3">
      <c r="A89" s="10" t="s">
        <v>2501</v>
      </c>
      <c r="B89" s="10" t="s">
        <v>131</v>
      </c>
      <c r="C89" s="10" t="s">
        <v>422</v>
      </c>
      <c r="D89" s="10" t="s">
        <v>2502</v>
      </c>
      <c r="E89" s="10">
        <v>1995</v>
      </c>
      <c r="F89" s="10" t="s">
        <v>2663</v>
      </c>
      <c r="G89" s="10" t="s">
        <v>2506</v>
      </c>
      <c r="H89" s="10" t="s">
        <v>217</v>
      </c>
      <c r="I89" t="s">
        <v>833</v>
      </c>
      <c r="J89" s="10" t="s">
        <v>63</v>
      </c>
      <c r="K89" s="16" t="s">
        <v>361</v>
      </c>
      <c r="L89" s="10">
        <v>2</v>
      </c>
      <c r="M89" s="10">
        <v>2</v>
      </c>
      <c r="N89" s="10"/>
      <c r="O89" s="10">
        <v>8.0500000000000007</v>
      </c>
      <c r="U89">
        <v>6.64</v>
      </c>
      <c r="AH89" s="14">
        <f t="shared" si="29"/>
        <v>0.82484472049689428</v>
      </c>
      <c r="AJ89" s="14">
        <f t="shared" si="32"/>
        <v>0.82484472049689428</v>
      </c>
      <c r="AK89" s="14"/>
      <c r="AL89" s="14"/>
      <c r="AQ89">
        <v>50</v>
      </c>
      <c r="AR89" s="10" t="s">
        <v>14</v>
      </c>
      <c r="AU89" s="10" t="s">
        <v>2</v>
      </c>
      <c r="AV89" s="10" t="s">
        <v>2</v>
      </c>
      <c r="AW89" s="10" t="s">
        <v>2505</v>
      </c>
    </row>
    <row r="90" spans="1:49" x14ac:dyDescent="0.3">
      <c r="A90" s="10" t="s">
        <v>2501</v>
      </c>
      <c r="B90" s="10" t="s">
        <v>131</v>
      </c>
      <c r="C90" s="10" t="s">
        <v>422</v>
      </c>
      <c r="D90" s="10" t="s">
        <v>2502</v>
      </c>
      <c r="E90" s="10">
        <v>1996</v>
      </c>
      <c r="F90" s="10" t="s">
        <v>2663</v>
      </c>
      <c r="G90" s="10" t="s">
        <v>2506</v>
      </c>
      <c r="H90" s="10" t="s">
        <v>217</v>
      </c>
      <c r="I90" s="10" t="s">
        <v>834</v>
      </c>
      <c r="J90" s="10" t="s">
        <v>63</v>
      </c>
      <c r="K90" s="16" t="s">
        <v>361</v>
      </c>
      <c r="L90" s="10">
        <v>2</v>
      </c>
      <c r="M90" s="10">
        <v>2</v>
      </c>
      <c r="N90" s="10"/>
      <c r="O90" s="10">
        <v>4.67</v>
      </c>
      <c r="U90">
        <v>4.68</v>
      </c>
      <c r="AH90" s="14">
        <f t="shared" si="29"/>
        <v>1.0021413276231264</v>
      </c>
      <c r="AJ90" s="14">
        <f t="shared" si="32"/>
        <v>1.0021413276231264</v>
      </c>
      <c r="AK90" s="14"/>
      <c r="AL90" s="14"/>
      <c r="AQ90">
        <v>50</v>
      </c>
      <c r="AR90" s="10" t="s">
        <v>14</v>
      </c>
      <c r="AU90" s="10" t="s">
        <v>2</v>
      </c>
      <c r="AV90" s="10" t="s">
        <v>2</v>
      </c>
      <c r="AW90" s="10" t="s">
        <v>2505</v>
      </c>
    </row>
    <row r="91" spans="1:49" x14ac:dyDescent="0.3">
      <c r="A91" s="10" t="s">
        <v>2501</v>
      </c>
      <c r="B91" s="10" t="s">
        <v>131</v>
      </c>
      <c r="C91" s="10" t="s">
        <v>422</v>
      </c>
      <c r="D91" s="10" t="s">
        <v>2502</v>
      </c>
      <c r="E91" s="10">
        <v>1996</v>
      </c>
      <c r="F91" s="10" t="s">
        <v>2663</v>
      </c>
      <c r="G91" s="10" t="s">
        <v>2506</v>
      </c>
      <c r="H91" s="10" t="s">
        <v>217</v>
      </c>
      <c r="I91" t="s">
        <v>833</v>
      </c>
      <c r="J91" s="10" t="s">
        <v>63</v>
      </c>
      <c r="K91" s="16" t="s">
        <v>361</v>
      </c>
      <c r="L91" s="10">
        <v>2</v>
      </c>
      <c r="M91" s="10">
        <v>2</v>
      </c>
      <c r="N91" s="10"/>
      <c r="O91" s="10">
        <v>0.64</v>
      </c>
      <c r="U91">
        <v>0.81</v>
      </c>
      <c r="AH91" s="14">
        <f t="shared" si="29"/>
        <v>1.265625</v>
      </c>
      <c r="AJ91" s="14">
        <f t="shared" si="32"/>
        <v>1.265625</v>
      </c>
      <c r="AK91" s="14"/>
      <c r="AL91" s="14"/>
      <c r="AQ91">
        <v>50</v>
      </c>
      <c r="AR91" s="10" t="s">
        <v>14</v>
      </c>
      <c r="AU91" s="10" t="s">
        <v>2</v>
      </c>
      <c r="AV91" s="10" t="s">
        <v>2</v>
      </c>
      <c r="AW91" s="10" t="s">
        <v>2505</v>
      </c>
    </row>
    <row r="92" spans="1:49" x14ac:dyDescent="0.3">
      <c r="A92" s="10" t="s">
        <v>2501</v>
      </c>
      <c r="B92" s="10" t="s">
        <v>131</v>
      </c>
      <c r="C92" s="10" t="s">
        <v>422</v>
      </c>
      <c r="D92" s="10" t="s">
        <v>2502</v>
      </c>
      <c r="E92" s="10">
        <v>1997</v>
      </c>
      <c r="F92" s="10" t="s">
        <v>2663</v>
      </c>
      <c r="G92" s="10" t="s">
        <v>2506</v>
      </c>
      <c r="H92" s="10" t="s">
        <v>217</v>
      </c>
      <c r="I92" s="10" t="s">
        <v>834</v>
      </c>
      <c r="J92" s="10" t="s">
        <v>63</v>
      </c>
      <c r="K92" s="16" t="s">
        <v>361</v>
      </c>
      <c r="L92" s="10">
        <v>2</v>
      </c>
      <c r="M92" s="10">
        <v>2</v>
      </c>
      <c r="N92" s="10"/>
      <c r="O92" s="10">
        <v>2.23</v>
      </c>
      <c r="U92">
        <v>2.21</v>
      </c>
      <c r="AH92" s="14">
        <f t="shared" si="29"/>
        <v>0.99103139013452912</v>
      </c>
      <c r="AJ92" s="14">
        <f t="shared" si="32"/>
        <v>0.99103139013452912</v>
      </c>
      <c r="AK92" s="14"/>
      <c r="AL92" s="14"/>
      <c r="AQ92">
        <v>50</v>
      </c>
      <c r="AR92" s="10" t="s">
        <v>14</v>
      </c>
      <c r="AU92" s="10" t="s">
        <v>2</v>
      </c>
      <c r="AV92" s="10" t="s">
        <v>2</v>
      </c>
      <c r="AW92" s="10" t="s">
        <v>2505</v>
      </c>
    </row>
    <row r="93" spans="1:49" x14ac:dyDescent="0.3">
      <c r="A93" s="10" t="s">
        <v>2501</v>
      </c>
      <c r="B93" s="10" t="s">
        <v>131</v>
      </c>
      <c r="C93" s="10" t="s">
        <v>422</v>
      </c>
      <c r="D93" s="10" t="s">
        <v>2502</v>
      </c>
      <c r="E93" s="10">
        <v>1997</v>
      </c>
      <c r="F93" s="10" t="s">
        <v>2663</v>
      </c>
      <c r="G93" s="10" t="s">
        <v>2506</v>
      </c>
      <c r="H93" s="10" t="s">
        <v>217</v>
      </c>
      <c r="I93" t="s">
        <v>833</v>
      </c>
      <c r="J93" s="10" t="s">
        <v>63</v>
      </c>
      <c r="K93" s="16" t="s">
        <v>361</v>
      </c>
      <c r="L93" s="10">
        <v>2</v>
      </c>
      <c r="M93" s="10">
        <v>2</v>
      </c>
      <c r="N93" s="10"/>
      <c r="O93" s="10">
        <v>8.06</v>
      </c>
      <c r="U93">
        <v>6.51</v>
      </c>
      <c r="AH93" s="14">
        <f t="shared" si="29"/>
        <v>0.8076923076923076</v>
      </c>
      <c r="AJ93" s="14">
        <f t="shared" si="32"/>
        <v>0.8076923076923076</v>
      </c>
      <c r="AK93" s="14"/>
      <c r="AL93" s="14"/>
      <c r="AQ93">
        <v>50</v>
      </c>
      <c r="AR93" s="10" t="s">
        <v>14</v>
      </c>
      <c r="AU93" s="10" t="s">
        <v>2</v>
      </c>
      <c r="AV93" s="10" t="s">
        <v>2</v>
      </c>
      <c r="AW93" s="10" t="s">
        <v>2505</v>
      </c>
    </row>
    <row r="105" spans="1:10" x14ac:dyDescent="0.3">
      <c r="A105" s="6"/>
      <c r="B105" s="6"/>
      <c r="C105" s="6"/>
      <c r="D105" s="6"/>
      <c r="E105" s="6"/>
      <c r="F105" s="6"/>
      <c r="G105" s="6"/>
      <c r="H105" s="6"/>
      <c r="I105" s="6"/>
      <c r="J105" s="6"/>
    </row>
    <row r="106" spans="1:10" x14ac:dyDescent="0.3">
      <c r="A106" s="6"/>
      <c r="B106" s="6"/>
      <c r="C106" s="6"/>
      <c r="D106" s="6"/>
      <c r="E106" s="6"/>
      <c r="F106" s="6"/>
      <c r="G106" s="6"/>
      <c r="H106" s="6"/>
      <c r="I106" s="6"/>
      <c r="J106" s="6"/>
    </row>
    <row r="107" spans="1:10" x14ac:dyDescent="0.3">
      <c r="A107" s="6"/>
      <c r="B107" s="6"/>
      <c r="C107" s="6"/>
      <c r="D107" s="6"/>
      <c r="E107" s="6"/>
      <c r="F107" s="6"/>
      <c r="G107" s="6"/>
      <c r="H107" s="6"/>
      <c r="I107" s="6"/>
      <c r="J107" s="6"/>
    </row>
    <row r="108" spans="1:10" x14ac:dyDescent="0.3">
      <c r="A108" s="6"/>
      <c r="B108" s="6"/>
      <c r="C108" s="6"/>
      <c r="D108" s="6"/>
      <c r="E108" s="6"/>
      <c r="F108" s="6"/>
      <c r="G108" s="6"/>
      <c r="H108" s="6"/>
      <c r="I108" s="6"/>
      <c r="J108" s="6"/>
    </row>
    <row r="109" spans="1:10" x14ac:dyDescent="0.3">
      <c r="A109" s="6"/>
      <c r="B109" s="6"/>
      <c r="C109" s="6"/>
      <c r="D109" s="6"/>
      <c r="E109" s="6"/>
      <c r="F109" s="6"/>
      <c r="G109" s="6"/>
      <c r="H109" s="6"/>
      <c r="I109" s="6"/>
      <c r="J109" s="6"/>
    </row>
    <row r="110" spans="1:10" x14ac:dyDescent="0.3">
      <c r="A110" s="6"/>
      <c r="B110" s="6"/>
      <c r="C110" s="6"/>
      <c r="D110" s="6"/>
      <c r="E110" s="6"/>
      <c r="F110" s="6"/>
      <c r="G110" s="6"/>
      <c r="H110" s="6"/>
      <c r="I110" s="6"/>
      <c r="J110" s="6"/>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F258-379D-4B38-8810-8D81A001E2DB}">
  <dimension ref="A1:BK377"/>
  <sheetViews>
    <sheetView zoomScale="70" zoomScaleNormal="70" workbookViewId="0">
      <pane ySplit="1" topLeftCell="A2" activePane="bottomLeft" state="frozen"/>
      <selection pane="bottomLeft" activeCell="C2" sqref="C2"/>
    </sheetView>
  </sheetViews>
  <sheetFormatPr defaultRowHeight="14.4" x14ac:dyDescent="0.3"/>
  <cols>
    <col min="1" max="1" width="15.88671875" bestFit="1" customWidth="1"/>
    <col min="3" max="3" width="16.33203125" bestFit="1" customWidth="1"/>
    <col min="4" max="4" width="17.6640625" customWidth="1"/>
    <col min="5" max="6" width="10.5546875" customWidth="1"/>
    <col min="7" max="7" width="10.33203125" bestFit="1" customWidth="1"/>
    <col min="9" max="9" width="44.5546875" bestFit="1" customWidth="1"/>
    <col min="10" max="10" width="10.5546875" bestFit="1" customWidth="1"/>
    <col min="11" max="11" width="10.5546875" customWidth="1"/>
    <col min="15" max="15" width="21.109375" bestFit="1" customWidth="1"/>
    <col min="16" max="16" width="9.6640625" bestFit="1" customWidth="1"/>
    <col min="17" max="17" width="21.109375" bestFit="1" customWidth="1"/>
    <col min="18" max="18" width="10" bestFit="1" customWidth="1"/>
    <col min="19" max="19" width="16.109375" bestFit="1" customWidth="1"/>
    <col min="20" max="20" width="7.6640625" bestFit="1" customWidth="1"/>
    <col min="21" max="21" width="21.109375" customWidth="1"/>
    <col min="23" max="23" width="19.109375" bestFit="1" customWidth="1"/>
    <col min="24" max="24" width="17.6640625" bestFit="1" customWidth="1"/>
    <col min="25" max="25" width="16" customWidth="1"/>
    <col min="26" max="26" width="6.88671875" customWidth="1"/>
    <col min="27" max="27" width="13.33203125" customWidth="1"/>
    <col min="28" max="28" width="21.21875" bestFit="1" customWidth="1"/>
    <col min="29" max="29" width="13.6640625" customWidth="1"/>
    <col min="30" max="32" width="12.33203125" customWidth="1"/>
    <col min="33" max="33" width="24.109375" bestFit="1" customWidth="1"/>
    <col min="34" max="34" width="7.109375" bestFit="1" customWidth="1"/>
    <col min="35" max="35" width="21.109375" bestFit="1" customWidth="1"/>
    <col min="36" max="36" width="19.6640625" bestFit="1" customWidth="1"/>
    <col min="37" max="38" width="19.6640625" customWidth="1"/>
    <col min="56" max="56" width="9.109375" style="10"/>
    <col min="58" max="58" width="222.88671875" bestFit="1" customWidth="1"/>
  </cols>
  <sheetData>
    <row r="1" spans="1:58" x14ac:dyDescent="0.3">
      <c r="A1" s="77" t="s">
        <v>9</v>
      </c>
      <c r="B1" s="77" t="s">
        <v>26</v>
      </c>
      <c r="C1" s="77" t="s">
        <v>25</v>
      </c>
      <c r="D1" s="77" t="s">
        <v>27</v>
      </c>
      <c r="E1" s="77" t="s">
        <v>832</v>
      </c>
      <c r="F1" s="77" t="s">
        <v>2659</v>
      </c>
      <c r="G1" s="77" t="s">
        <v>15</v>
      </c>
      <c r="H1" s="77" t="s">
        <v>16</v>
      </c>
      <c r="I1" s="77" t="s">
        <v>2629</v>
      </c>
      <c r="J1" s="77" t="s">
        <v>10</v>
      </c>
      <c r="K1" s="77" t="s">
        <v>48</v>
      </c>
      <c r="L1" s="77" t="s">
        <v>1671</v>
      </c>
      <c r="M1" s="77" t="s">
        <v>1672</v>
      </c>
      <c r="N1" s="77" t="s">
        <v>2395</v>
      </c>
      <c r="O1" s="77" t="s">
        <v>2672</v>
      </c>
      <c r="P1" s="77" t="s">
        <v>2686</v>
      </c>
      <c r="Q1" s="77" t="s">
        <v>44</v>
      </c>
      <c r="R1" s="77" t="s">
        <v>2687</v>
      </c>
      <c r="S1" s="77" t="s">
        <v>2559</v>
      </c>
      <c r="T1" s="77" t="s">
        <v>2788</v>
      </c>
      <c r="U1" s="77" t="s">
        <v>951</v>
      </c>
      <c r="V1" s="77" t="s">
        <v>953</v>
      </c>
      <c r="W1" s="77" t="s">
        <v>2772</v>
      </c>
      <c r="X1" s="77" t="s">
        <v>2774</v>
      </c>
      <c r="Y1" s="77" t="s">
        <v>2695</v>
      </c>
      <c r="Z1" s="77" t="s">
        <v>2720</v>
      </c>
      <c r="AA1" s="77" t="s">
        <v>2696</v>
      </c>
      <c r="AB1" s="77" t="s">
        <v>2719</v>
      </c>
      <c r="AC1" s="77" t="s">
        <v>2697</v>
      </c>
      <c r="AD1" s="77" t="s">
        <v>2721</v>
      </c>
      <c r="AE1" s="77" t="s">
        <v>2698</v>
      </c>
      <c r="AF1" s="77" t="s">
        <v>2722</v>
      </c>
      <c r="AG1" s="77" t="s">
        <v>2762</v>
      </c>
      <c r="AH1" s="77" t="s">
        <v>2776</v>
      </c>
      <c r="AI1" s="77" t="s">
        <v>2778</v>
      </c>
      <c r="AJ1" s="77" t="s">
        <v>2780</v>
      </c>
      <c r="AK1" s="77" t="s">
        <v>2782</v>
      </c>
      <c r="AL1" s="77" t="s">
        <v>2784</v>
      </c>
      <c r="AM1" s="77" t="s">
        <v>388</v>
      </c>
      <c r="AN1" s="77" t="s">
        <v>2598</v>
      </c>
      <c r="AO1" s="77" t="s">
        <v>19</v>
      </c>
      <c r="AP1" s="77" t="s">
        <v>20</v>
      </c>
      <c r="AQ1" s="77" t="s">
        <v>1963</v>
      </c>
      <c r="AR1" s="77" t="s">
        <v>21</v>
      </c>
      <c r="AS1" s="77" t="s">
        <v>727</v>
      </c>
      <c r="AT1" s="77" t="s">
        <v>728</v>
      </c>
      <c r="AU1" s="77" t="s">
        <v>1999</v>
      </c>
      <c r="AV1" s="77" t="s">
        <v>2000</v>
      </c>
      <c r="AW1" s="77" t="s">
        <v>2001</v>
      </c>
      <c r="AX1" s="77" t="s">
        <v>2002</v>
      </c>
      <c r="AY1" s="77" t="s">
        <v>2004</v>
      </c>
      <c r="AZ1" s="77" t="s">
        <v>2033</v>
      </c>
      <c r="BA1" s="77" t="s">
        <v>2032</v>
      </c>
      <c r="BB1" s="77" t="s">
        <v>2034</v>
      </c>
      <c r="BC1" s="77" t="s">
        <v>12</v>
      </c>
      <c r="BD1" s="77" t="s">
        <v>1991</v>
      </c>
      <c r="BE1" s="77" t="s">
        <v>2414</v>
      </c>
      <c r="BF1" s="77" t="s">
        <v>2392</v>
      </c>
    </row>
    <row r="2" spans="1:58" x14ac:dyDescent="0.3">
      <c r="A2" t="s">
        <v>64</v>
      </c>
      <c r="B2" t="s">
        <v>50</v>
      </c>
      <c r="C2" t="s">
        <v>52</v>
      </c>
      <c r="D2" t="s">
        <v>51</v>
      </c>
      <c r="E2" s="4">
        <v>1993</v>
      </c>
      <c r="F2" s="4" t="s">
        <v>2312</v>
      </c>
      <c r="G2" t="s">
        <v>2583</v>
      </c>
      <c r="H2" t="s">
        <v>17</v>
      </c>
      <c r="I2" t="s">
        <v>927</v>
      </c>
      <c r="J2" t="s">
        <v>53</v>
      </c>
      <c r="K2" s="4" t="s">
        <v>55</v>
      </c>
      <c r="L2">
        <v>3</v>
      </c>
      <c r="M2">
        <v>3</v>
      </c>
      <c r="O2">
        <v>640</v>
      </c>
      <c r="Y2">
        <v>592</v>
      </c>
      <c r="AA2">
        <f>Y2</f>
        <v>592</v>
      </c>
      <c r="AO2" s="3">
        <f t="shared" ref="AO2:AO25" si="0">Y2/O2</f>
        <v>0.92500000000000004</v>
      </c>
      <c r="AR2" s="3">
        <f>AO2</f>
        <v>0.92500000000000004</v>
      </c>
      <c r="AS2" s="3"/>
      <c r="AT2" s="3"/>
      <c r="AU2" s="36"/>
      <c r="AV2" s="36"/>
      <c r="AW2" s="36"/>
      <c r="AX2" s="36"/>
      <c r="AY2" s="36"/>
      <c r="AZ2">
        <v>0</v>
      </c>
      <c r="BC2" t="s">
        <v>2</v>
      </c>
      <c r="BD2" s="10" t="s">
        <v>2</v>
      </c>
      <c r="BE2" t="s">
        <v>2023</v>
      </c>
      <c r="BF2" t="s">
        <v>932</v>
      </c>
    </row>
    <row r="3" spans="1:58" x14ac:dyDescent="0.3">
      <c r="A3" t="s">
        <v>64</v>
      </c>
      <c r="B3" t="s">
        <v>50</v>
      </c>
      <c r="C3" t="s">
        <v>52</v>
      </c>
      <c r="D3" t="s">
        <v>51</v>
      </c>
      <c r="E3" s="4">
        <v>1994</v>
      </c>
      <c r="F3" s="4" t="s">
        <v>2312</v>
      </c>
      <c r="G3" t="s">
        <v>2583</v>
      </c>
      <c r="H3" t="s">
        <v>17</v>
      </c>
      <c r="I3" t="s">
        <v>927</v>
      </c>
      <c r="J3" t="s">
        <v>53</v>
      </c>
      <c r="K3" s="4" t="s">
        <v>55</v>
      </c>
      <c r="L3">
        <v>3</v>
      </c>
      <c r="M3">
        <v>3</v>
      </c>
      <c r="O3">
        <v>523</v>
      </c>
      <c r="Y3">
        <v>469</v>
      </c>
      <c r="AA3">
        <f t="shared" ref="AA3:AA31" si="1">Y3</f>
        <v>469</v>
      </c>
      <c r="AO3" s="3">
        <f t="shared" si="0"/>
        <v>0.89674952198852775</v>
      </c>
      <c r="AR3" s="3">
        <f t="shared" ref="AR3:AR25" si="2">AO3</f>
        <v>0.89674952198852775</v>
      </c>
      <c r="AS3" s="3"/>
      <c r="AT3" s="3"/>
      <c r="AU3" s="36"/>
      <c r="AV3" s="36"/>
      <c r="AW3" s="36"/>
      <c r="AX3" s="36"/>
      <c r="AY3" s="36"/>
      <c r="AZ3">
        <v>0</v>
      </c>
      <c r="BC3" t="s">
        <v>2</v>
      </c>
      <c r="BD3" s="10" t="s">
        <v>2</v>
      </c>
      <c r="BE3" t="s">
        <v>2023</v>
      </c>
      <c r="BF3" t="s">
        <v>932</v>
      </c>
    </row>
    <row r="4" spans="1:58" x14ac:dyDescent="0.3">
      <c r="A4" t="s">
        <v>64</v>
      </c>
      <c r="B4" t="s">
        <v>50</v>
      </c>
      <c r="C4" t="s">
        <v>52</v>
      </c>
      <c r="D4" t="s">
        <v>51</v>
      </c>
      <c r="E4" s="4">
        <v>1993</v>
      </c>
      <c r="F4" s="4" t="s">
        <v>2312</v>
      </c>
      <c r="G4" t="s">
        <v>2583</v>
      </c>
      <c r="H4" t="s">
        <v>17</v>
      </c>
      <c r="I4" t="s">
        <v>928</v>
      </c>
      <c r="J4" t="s">
        <v>53</v>
      </c>
      <c r="K4" s="4" t="s">
        <v>55</v>
      </c>
      <c r="L4">
        <v>3</v>
      </c>
      <c r="M4">
        <v>3</v>
      </c>
      <c r="O4">
        <v>1163</v>
      </c>
      <c r="Y4">
        <v>1018</v>
      </c>
      <c r="AA4">
        <f t="shared" si="1"/>
        <v>1018</v>
      </c>
      <c r="AO4" s="3">
        <f t="shared" si="0"/>
        <v>0.87532244196044717</v>
      </c>
      <c r="AR4" s="3">
        <f t="shared" si="2"/>
        <v>0.87532244196044717</v>
      </c>
      <c r="AS4" s="3"/>
      <c r="AT4" s="3"/>
      <c r="AU4" s="36"/>
      <c r="AV4" s="36"/>
      <c r="AW4" s="36"/>
      <c r="AX4" s="36"/>
      <c r="AY4" s="36"/>
      <c r="AZ4">
        <v>20</v>
      </c>
      <c r="BC4" t="s">
        <v>2</v>
      </c>
      <c r="BD4" s="10" t="s">
        <v>2</v>
      </c>
      <c r="BE4" t="s">
        <v>2023</v>
      </c>
      <c r="BF4" t="s">
        <v>932</v>
      </c>
    </row>
    <row r="5" spans="1:58" x14ac:dyDescent="0.3">
      <c r="A5" t="s">
        <v>64</v>
      </c>
      <c r="B5" t="s">
        <v>50</v>
      </c>
      <c r="C5" t="s">
        <v>52</v>
      </c>
      <c r="D5" t="s">
        <v>51</v>
      </c>
      <c r="E5" s="4">
        <v>1994</v>
      </c>
      <c r="F5" s="4" t="s">
        <v>2312</v>
      </c>
      <c r="G5" t="s">
        <v>2583</v>
      </c>
      <c r="H5" t="s">
        <v>17</v>
      </c>
      <c r="I5" t="s">
        <v>928</v>
      </c>
      <c r="J5" t="s">
        <v>53</v>
      </c>
      <c r="K5" s="4" t="s">
        <v>55</v>
      </c>
      <c r="L5">
        <v>3</v>
      </c>
      <c r="M5">
        <v>3</v>
      </c>
      <c r="O5">
        <v>1037</v>
      </c>
      <c r="Y5">
        <v>893</v>
      </c>
      <c r="AA5">
        <f t="shared" si="1"/>
        <v>893</v>
      </c>
      <c r="AO5" s="3">
        <f t="shared" si="0"/>
        <v>0.86113789778206362</v>
      </c>
      <c r="AR5" s="3">
        <f t="shared" si="2"/>
        <v>0.86113789778206362</v>
      </c>
      <c r="AS5" s="3"/>
      <c r="AT5" s="3"/>
      <c r="AU5" s="36"/>
      <c r="AV5" s="36"/>
      <c r="AW5" s="36"/>
      <c r="AX5" s="36"/>
      <c r="AY5" s="36"/>
      <c r="AZ5">
        <v>20</v>
      </c>
      <c r="BC5" t="s">
        <v>2</v>
      </c>
      <c r="BD5" s="10" t="s">
        <v>2</v>
      </c>
      <c r="BE5" t="s">
        <v>2023</v>
      </c>
      <c r="BF5" t="s">
        <v>932</v>
      </c>
    </row>
    <row r="6" spans="1:58" x14ac:dyDescent="0.3">
      <c r="A6" t="s">
        <v>64</v>
      </c>
      <c r="B6" t="s">
        <v>50</v>
      </c>
      <c r="C6" t="s">
        <v>52</v>
      </c>
      <c r="D6" t="s">
        <v>51</v>
      </c>
      <c r="E6" s="4">
        <v>1993</v>
      </c>
      <c r="F6" s="4" t="s">
        <v>2312</v>
      </c>
      <c r="G6" t="s">
        <v>2583</v>
      </c>
      <c r="H6" t="s">
        <v>17</v>
      </c>
      <c r="I6" t="s">
        <v>929</v>
      </c>
      <c r="J6" t="s">
        <v>53</v>
      </c>
      <c r="K6" s="4" t="s">
        <v>55</v>
      </c>
      <c r="L6">
        <v>3</v>
      </c>
      <c r="M6">
        <v>3</v>
      </c>
      <c r="O6">
        <v>1496</v>
      </c>
      <c r="Y6">
        <v>1320</v>
      </c>
      <c r="AA6">
        <f t="shared" si="1"/>
        <v>1320</v>
      </c>
      <c r="AO6" s="3">
        <f t="shared" si="0"/>
        <v>0.88235294117647056</v>
      </c>
      <c r="AR6" s="3">
        <f t="shared" si="2"/>
        <v>0.88235294117647056</v>
      </c>
      <c r="AS6" s="3"/>
      <c r="AT6" s="3"/>
      <c r="AU6" s="36"/>
      <c r="AV6" s="36"/>
      <c r="AW6" s="36"/>
      <c r="AX6" s="36"/>
      <c r="AY6" s="36"/>
      <c r="AZ6">
        <v>40</v>
      </c>
      <c r="BC6" t="s">
        <v>2</v>
      </c>
      <c r="BD6" s="10" t="s">
        <v>2</v>
      </c>
      <c r="BE6" t="s">
        <v>2023</v>
      </c>
      <c r="BF6" t="s">
        <v>932</v>
      </c>
    </row>
    <row r="7" spans="1:58" x14ac:dyDescent="0.3">
      <c r="A7" t="s">
        <v>64</v>
      </c>
      <c r="B7" t="s">
        <v>50</v>
      </c>
      <c r="C7" t="s">
        <v>52</v>
      </c>
      <c r="D7" t="s">
        <v>51</v>
      </c>
      <c r="E7" s="4">
        <v>1994</v>
      </c>
      <c r="F7" s="4" t="s">
        <v>2312</v>
      </c>
      <c r="G7" t="s">
        <v>2583</v>
      </c>
      <c r="H7" t="s">
        <v>17</v>
      </c>
      <c r="I7" t="s">
        <v>929</v>
      </c>
      <c r="J7" t="s">
        <v>53</v>
      </c>
      <c r="K7" s="4" t="s">
        <v>55</v>
      </c>
      <c r="L7">
        <v>3</v>
      </c>
      <c r="M7">
        <v>3</v>
      </c>
      <c r="O7">
        <v>1302</v>
      </c>
      <c r="Y7">
        <v>1166</v>
      </c>
      <c r="AA7">
        <f t="shared" si="1"/>
        <v>1166</v>
      </c>
      <c r="AO7" s="3">
        <f t="shared" si="0"/>
        <v>0.89554531490015366</v>
      </c>
      <c r="AR7" s="3">
        <f t="shared" si="2"/>
        <v>0.89554531490015366</v>
      </c>
      <c r="AS7" s="3"/>
      <c r="AT7" s="3"/>
      <c r="AU7" s="36"/>
      <c r="AV7" s="36"/>
      <c r="AW7" s="36"/>
      <c r="AX7" s="36"/>
      <c r="AY7" s="36"/>
      <c r="AZ7">
        <v>40</v>
      </c>
      <c r="BC7" t="s">
        <v>2</v>
      </c>
      <c r="BD7" s="10" t="s">
        <v>2</v>
      </c>
      <c r="BE7" t="s">
        <v>2023</v>
      </c>
      <c r="BF7" t="s">
        <v>932</v>
      </c>
    </row>
    <row r="8" spans="1:58" x14ac:dyDescent="0.3">
      <c r="A8" t="s">
        <v>64</v>
      </c>
      <c r="B8" t="s">
        <v>50</v>
      </c>
      <c r="C8" t="s">
        <v>52</v>
      </c>
      <c r="D8" t="s">
        <v>51</v>
      </c>
      <c r="E8" s="4">
        <v>1993</v>
      </c>
      <c r="F8" s="4" t="s">
        <v>2312</v>
      </c>
      <c r="G8" t="s">
        <v>2583</v>
      </c>
      <c r="H8" t="s">
        <v>17</v>
      </c>
      <c r="I8" t="s">
        <v>930</v>
      </c>
      <c r="J8" t="s">
        <v>53</v>
      </c>
      <c r="K8" s="4" t="s">
        <v>55</v>
      </c>
      <c r="L8">
        <v>3</v>
      </c>
      <c r="M8">
        <v>3</v>
      </c>
      <c r="O8">
        <v>1645</v>
      </c>
      <c r="Y8">
        <v>1405</v>
      </c>
      <c r="AA8">
        <f t="shared" si="1"/>
        <v>1405</v>
      </c>
      <c r="AO8" s="3">
        <f t="shared" si="0"/>
        <v>0.85410334346504557</v>
      </c>
      <c r="AR8" s="3">
        <f t="shared" si="2"/>
        <v>0.85410334346504557</v>
      </c>
      <c r="AS8" s="3"/>
      <c r="AT8" s="3"/>
      <c r="AU8" s="36"/>
      <c r="AV8" s="36"/>
      <c r="AW8" s="36"/>
      <c r="AX8" s="36"/>
      <c r="AY8" s="36"/>
      <c r="AZ8">
        <v>60</v>
      </c>
      <c r="BC8" t="s">
        <v>2</v>
      </c>
      <c r="BD8" s="10" t="s">
        <v>2</v>
      </c>
      <c r="BE8" t="s">
        <v>2023</v>
      </c>
      <c r="BF8" t="s">
        <v>932</v>
      </c>
    </row>
    <row r="9" spans="1:58" x14ac:dyDescent="0.3">
      <c r="A9" t="s">
        <v>64</v>
      </c>
      <c r="B9" t="s">
        <v>50</v>
      </c>
      <c r="C9" t="s">
        <v>52</v>
      </c>
      <c r="D9" t="s">
        <v>51</v>
      </c>
      <c r="E9" s="4">
        <v>1994</v>
      </c>
      <c r="F9" s="4" t="s">
        <v>2312</v>
      </c>
      <c r="G9" t="s">
        <v>2583</v>
      </c>
      <c r="H9" t="s">
        <v>17</v>
      </c>
      <c r="I9" t="s">
        <v>930</v>
      </c>
      <c r="J9" t="s">
        <v>53</v>
      </c>
      <c r="K9" s="4" t="s">
        <v>55</v>
      </c>
      <c r="L9">
        <v>3</v>
      </c>
      <c r="M9">
        <v>3</v>
      </c>
      <c r="O9">
        <v>1425</v>
      </c>
      <c r="Y9">
        <v>1237</v>
      </c>
      <c r="AA9">
        <f t="shared" si="1"/>
        <v>1237</v>
      </c>
      <c r="AO9" s="3">
        <f t="shared" si="0"/>
        <v>0.86807017543859644</v>
      </c>
      <c r="AR9" s="3">
        <f t="shared" si="2"/>
        <v>0.86807017543859644</v>
      </c>
      <c r="AS9" s="3"/>
      <c r="AT9" s="3"/>
      <c r="AU9" s="36"/>
      <c r="AV9" s="36"/>
      <c r="AW9" s="36"/>
      <c r="AX9" s="36"/>
      <c r="AY9" s="36"/>
      <c r="AZ9">
        <v>60</v>
      </c>
      <c r="BC9" t="s">
        <v>2</v>
      </c>
      <c r="BD9" s="10" t="s">
        <v>2</v>
      </c>
      <c r="BE9" t="s">
        <v>2023</v>
      </c>
      <c r="BF9" t="s">
        <v>932</v>
      </c>
    </row>
    <row r="10" spans="1:58" x14ac:dyDescent="0.3">
      <c r="A10" t="s">
        <v>64</v>
      </c>
      <c r="B10" t="s">
        <v>50</v>
      </c>
      <c r="C10" t="s">
        <v>52</v>
      </c>
      <c r="D10" t="s">
        <v>51</v>
      </c>
      <c r="E10" s="4">
        <v>1993</v>
      </c>
      <c r="F10" s="4" t="s">
        <v>2312</v>
      </c>
      <c r="G10" t="s">
        <v>2583</v>
      </c>
      <c r="H10" t="s">
        <v>17</v>
      </c>
      <c r="I10" t="s">
        <v>927</v>
      </c>
      <c r="J10" t="s">
        <v>53</v>
      </c>
      <c r="K10" s="4" t="s">
        <v>931</v>
      </c>
      <c r="L10">
        <v>3</v>
      </c>
      <c r="M10">
        <v>3</v>
      </c>
      <c r="O10">
        <v>640</v>
      </c>
      <c r="Y10">
        <v>526</v>
      </c>
      <c r="AA10">
        <f t="shared" si="1"/>
        <v>526</v>
      </c>
      <c r="AO10" s="3">
        <f t="shared" si="0"/>
        <v>0.82187500000000002</v>
      </c>
      <c r="AR10" s="3">
        <f t="shared" si="2"/>
        <v>0.82187500000000002</v>
      </c>
      <c r="AS10" s="3"/>
      <c r="AT10" s="3"/>
      <c r="AU10" s="36"/>
      <c r="AV10" s="36"/>
      <c r="AW10" s="36"/>
      <c r="AX10" s="36"/>
      <c r="AY10" s="36"/>
      <c r="AZ10">
        <v>0</v>
      </c>
      <c r="BC10" t="s">
        <v>2</v>
      </c>
      <c r="BD10" s="10" t="s">
        <v>2</v>
      </c>
      <c r="BE10" t="s">
        <v>2023</v>
      </c>
      <c r="BF10" t="s">
        <v>932</v>
      </c>
    </row>
    <row r="11" spans="1:58" x14ac:dyDescent="0.3">
      <c r="A11" t="s">
        <v>64</v>
      </c>
      <c r="B11" t="s">
        <v>50</v>
      </c>
      <c r="C11" t="s">
        <v>52</v>
      </c>
      <c r="D11" t="s">
        <v>51</v>
      </c>
      <c r="E11" s="4">
        <v>1994</v>
      </c>
      <c r="F11" s="4" t="s">
        <v>2312</v>
      </c>
      <c r="G11" t="s">
        <v>2583</v>
      </c>
      <c r="H11" t="s">
        <v>17</v>
      </c>
      <c r="I11" t="s">
        <v>927</v>
      </c>
      <c r="J11" t="s">
        <v>53</v>
      </c>
      <c r="K11" s="4" t="s">
        <v>931</v>
      </c>
      <c r="L11">
        <v>3</v>
      </c>
      <c r="M11">
        <v>3</v>
      </c>
      <c r="O11">
        <v>523</v>
      </c>
      <c r="Y11">
        <v>407</v>
      </c>
      <c r="AA11">
        <f t="shared" si="1"/>
        <v>407</v>
      </c>
      <c r="AO11" s="3">
        <f t="shared" si="0"/>
        <v>0.77820267686424471</v>
      </c>
      <c r="AR11" s="3">
        <f t="shared" si="2"/>
        <v>0.77820267686424471</v>
      </c>
      <c r="AS11" s="3"/>
      <c r="AT11" s="3"/>
      <c r="AU11" s="36"/>
      <c r="AV11" s="36"/>
      <c r="AW11" s="36"/>
      <c r="AX11" s="36"/>
      <c r="AY11" s="36"/>
      <c r="AZ11">
        <v>0</v>
      </c>
      <c r="BC11" t="s">
        <v>2</v>
      </c>
      <c r="BD11" s="10" t="s">
        <v>2</v>
      </c>
      <c r="BE11" t="s">
        <v>2023</v>
      </c>
      <c r="BF11" t="s">
        <v>932</v>
      </c>
    </row>
    <row r="12" spans="1:58" x14ac:dyDescent="0.3">
      <c r="A12" t="s">
        <v>64</v>
      </c>
      <c r="B12" t="s">
        <v>50</v>
      </c>
      <c r="C12" t="s">
        <v>52</v>
      </c>
      <c r="D12" t="s">
        <v>51</v>
      </c>
      <c r="E12" s="4">
        <v>1993</v>
      </c>
      <c r="F12" s="4" t="s">
        <v>2312</v>
      </c>
      <c r="G12" t="s">
        <v>2583</v>
      </c>
      <c r="H12" t="s">
        <v>17</v>
      </c>
      <c r="I12" t="s">
        <v>928</v>
      </c>
      <c r="J12" t="s">
        <v>53</v>
      </c>
      <c r="K12" s="4" t="s">
        <v>931</v>
      </c>
      <c r="L12">
        <v>3</v>
      </c>
      <c r="M12">
        <v>3</v>
      </c>
      <c r="O12">
        <v>1163</v>
      </c>
      <c r="Y12">
        <v>915</v>
      </c>
      <c r="AA12">
        <f t="shared" si="1"/>
        <v>915</v>
      </c>
      <c r="AO12" s="3">
        <f t="shared" si="0"/>
        <v>0.7867583834909716</v>
      </c>
      <c r="AR12" s="3">
        <f t="shared" si="2"/>
        <v>0.7867583834909716</v>
      </c>
      <c r="AS12" s="3"/>
      <c r="AT12" s="3"/>
      <c r="AU12" s="36"/>
      <c r="AV12" s="36"/>
      <c r="AW12" s="36"/>
      <c r="AX12" s="36"/>
      <c r="AY12" s="36"/>
      <c r="AZ12">
        <v>20</v>
      </c>
      <c r="BC12" t="s">
        <v>2</v>
      </c>
      <c r="BD12" s="10" t="s">
        <v>2</v>
      </c>
      <c r="BE12" t="s">
        <v>2023</v>
      </c>
      <c r="BF12" t="s">
        <v>932</v>
      </c>
    </row>
    <row r="13" spans="1:58" x14ac:dyDescent="0.3">
      <c r="A13" t="s">
        <v>64</v>
      </c>
      <c r="B13" t="s">
        <v>50</v>
      </c>
      <c r="C13" t="s">
        <v>52</v>
      </c>
      <c r="D13" t="s">
        <v>51</v>
      </c>
      <c r="E13" s="4">
        <v>1994</v>
      </c>
      <c r="F13" s="4" t="s">
        <v>2312</v>
      </c>
      <c r="G13" t="s">
        <v>2583</v>
      </c>
      <c r="H13" t="s">
        <v>17</v>
      </c>
      <c r="I13" t="s">
        <v>928</v>
      </c>
      <c r="J13" t="s">
        <v>53</v>
      </c>
      <c r="K13" s="4" t="s">
        <v>931</v>
      </c>
      <c r="L13">
        <v>3</v>
      </c>
      <c r="M13">
        <v>3</v>
      </c>
      <c r="O13">
        <v>1037</v>
      </c>
      <c r="Y13">
        <v>792</v>
      </c>
      <c r="AA13">
        <f t="shared" si="1"/>
        <v>792</v>
      </c>
      <c r="AO13" s="3">
        <f t="shared" si="0"/>
        <v>0.76374156219864997</v>
      </c>
      <c r="AR13" s="3">
        <f t="shared" si="2"/>
        <v>0.76374156219864997</v>
      </c>
      <c r="AS13" s="3"/>
      <c r="AT13" s="3"/>
      <c r="AU13" s="36"/>
      <c r="AV13" s="36"/>
      <c r="AW13" s="36"/>
      <c r="AX13" s="36"/>
      <c r="AY13" s="36"/>
      <c r="AZ13">
        <v>20</v>
      </c>
      <c r="BC13" t="s">
        <v>2</v>
      </c>
      <c r="BD13" s="10" t="s">
        <v>2</v>
      </c>
      <c r="BE13" t="s">
        <v>2023</v>
      </c>
      <c r="BF13" t="s">
        <v>932</v>
      </c>
    </row>
    <row r="14" spans="1:58" x14ac:dyDescent="0.3">
      <c r="A14" t="s">
        <v>64</v>
      </c>
      <c r="B14" t="s">
        <v>50</v>
      </c>
      <c r="C14" t="s">
        <v>52</v>
      </c>
      <c r="D14" t="s">
        <v>51</v>
      </c>
      <c r="E14" s="4">
        <v>1993</v>
      </c>
      <c r="F14" s="4" t="s">
        <v>2312</v>
      </c>
      <c r="G14" t="s">
        <v>2583</v>
      </c>
      <c r="H14" t="s">
        <v>17</v>
      </c>
      <c r="I14" t="s">
        <v>929</v>
      </c>
      <c r="J14" t="s">
        <v>53</v>
      </c>
      <c r="K14" s="4" t="s">
        <v>931</v>
      </c>
      <c r="L14">
        <v>3</v>
      </c>
      <c r="M14">
        <v>3</v>
      </c>
      <c r="O14">
        <v>1496</v>
      </c>
      <c r="Y14">
        <v>1178</v>
      </c>
      <c r="AA14">
        <f t="shared" si="1"/>
        <v>1178</v>
      </c>
      <c r="AO14" s="3">
        <f t="shared" si="0"/>
        <v>0.78743315508021394</v>
      </c>
      <c r="AR14" s="3">
        <f t="shared" si="2"/>
        <v>0.78743315508021394</v>
      </c>
      <c r="AS14" s="3"/>
      <c r="AT14" s="3"/>
      <c r="AU14" s="36"/>
      <c r="AV14" s="36"/>
      <c r="AW14" s="36"/>
      <c r="AX14" s="36"/>
      <c r="AY14" s="36"/>
      <c r="AZ14">
        <v>40</v>
      </c>
      <c r="BC14" t="s">
        <v>2</v>
      </c>
      <c r="BD14" s="10" t="s">
        <v>2</v>
      </c>
      <c r="BE14" t="s">
        <v>2023</v>
      </c>
      <c r="BF14" t="s">
        <v>932</v>
      </c>
    </row>
    <row r="15" spans="1:58" x14ac:dyDescent="0.3">
      <c r="A15" t="s">
        <v>64</v>
      </c>
      <c r="B15" t="s">
        <v>50</v>
      </c>
      <c r="C15" t="s">
        <v>52</v>
      </c>
      <c r="D15" t="s">
        <v>51</v>
      </c>
      <c r="E15" s="4">
        <v>1994</v>
      </c>
      <c r="F15" s="4" t="s">
        <v>2312</v>
      </c>
      <c r="G15" t="s">
        <v>2583</v>
      </c>
      <c r="H15" t="s">
        <v>17</v>
      </c>
      <c r="I15" t="s">
        <v>929</v>
      </c>
      <c r="J15" t="s">
        <v>53</v>
      </c>
      <c r="K15" s="4" t="s">
        <v>931</v>
      </c>
      <c r="L15">
        <v>3</v>
      </c>
      <c r="M15">
        <v>3</v>
      </c>
      <c r="O15">
        <v>1302</v>
      </c>
      <c r="Y15">
        <v>1066</v>
      </c>
      <c r="AA15">
        <f t="shared" si="1"/>
        <v>1066</v>
      </c>
      <c r="AO15" s="3">
        <f t="shared" si="0"/>
        <v>0.81874039938556065</v>
      </c>
      <c r="AR15" s="3">
        <f t="shared" si="2"/>
        <v>0.81874039938556065</v>
      </c>
      <c r="AS15" s="3"/>
      <c r="AT15" s="3"/>
      <c r="AU15" s="36"/>
      <c r="AV15" s="36"/>
      <c r="AW15" s="36"/>
      <c r="AX15" s="36"/>
      <c r="AY15" s="36"/>
      <c r="AZ15">
        <v>40</v>
      </c>
      <c r="BC15" t="s">
        <v>2</v>
      </c>
      <c r="BD15" s="10" t="s">
        <v>2</v>
      </c>
      <c r="BE15" t="s">
        <v>2023</v>
      </c>
      <c r="BF15" t="s">
        <v>932</v>
      </c>
    </row>
    <row r="16" spans="1:58" x14ac:dyDescent="0.3">
      <c r="A16" t="s">
        <v>64</v>
      </c>
      <c r="B16" t="s">
        <v>50</v>
      </c>
      <c r="C16" t="s">
        <v>52</v>
      </c>
      <c r="D16" t="s">
        <v>51</v>
      </c>
      <c r="E16" s="4">
        <v>1993</v>
      </c>
      <c r="F16" s="4" t="s">
        <v>2312</v>
      </c>
      <c r="G16" t="s">
        <v>2583</v>
      </c>
      <c r="H16" t="s">
        <v>17</v>
      </c>
      <c r="I16" t="s">
        <v>930</v>
      </c>
      <c r="J16" t="s">
        <v>53</v>
      </c>
      <c r="K16" s="4" t="s">
        <v>931</v>
      </c>
      <c r="L16">
        <v>3</v>
      </c>
      <c r="M16">
        <v>3</v>
      </c>
      <c r="O16">
        <v>1645</v>
      </c>
      <c r="Y16">
        <v>1192</v>
      </c>
      <c r="AA16">
        <f t="shared" si="1"/>
        <v>1192</v>
      </c>
      <c r="AO16" s="3">
        <f t="shared" si="0"/>
        <v>0.72462006079027352</v>
      </c>
      <c r="AR16" s="3">
        <f t="shared" si="2"/>
        <v>0.72462006079027352</v>
      </c>
      <c r="AS16" s="3"/>
      <c r="AT16" s="3"/>
      <c r="AU16" s="36"/>
      <c r="AV16" s="36"/>
      <c r="AW16" s="36"/>
      <c r="AX16" s="36"/>
      <c r="AY16" s="36"/>
      <c r="AZ16">
        <v>60</v>
      </c>
      <c r="BC16" t="s">
        <v>2</v>
      </c>
      <c r="BD16" s="10" t="s">
        <v>2</v>
      </c>
      <c r="BE16" t="s">
        <v>2023</v>
      </c>
      <c r="BF16" t="s">
        <v>932</v>
      </c>
    </row>
    <row r="17" spans="1:58" x14ac:dyDescent="0.3">
      <c r="A17" t="s">
        <v>64</v>
      </c>
      <c r="B17" t="s">
        <v>50</v>
      </c>
      <c r="C17" t="s">
        <v>52</v>
      </c>
      <c r="D17" t="s">
        <v>51</v>
      </c>
      <c r="E17" s="4">
        <v>1994</v>
      </c>
      <c r="F17" s="4" t="s">
        <v>2312</v>
      </c>
      <c r="G17" t="s">
        <v>2583</v>
      </c>
      <c r="H17" t="s">
        <v>17</v>
      </c>
      <c r="I17" t="s">
        <v>930</v>
      </c>
      <c r="J17" t="s">
        <v>53</v>
      </c>
      <c r="K17" s="4" t="s">
        <v>931</v>
      </c>
      <c r="L17">
        <v>3</v>
      </c>
      <c r="M17">
        <v>3</v>
      </c>
      <c r="O17">
        <v>1425</v>
      </c>
      <c r="Y17">
        <v>1038</v>
      </c>
      <c r="AA17">
        <f t="shared" si="1"/>
        <v>1038</v>
      </c>
      <c r="AO17" s="3">
        <f t="shared" si="0"/>
        <v>0.72842105263157897</v>
      </c>
      <c r="AR17" s="3">
        <f t="shared" si="2"/>
        <v>0.72842105263157897</v>
      </c>
      <c r="AS17" s="3"/>
      <c r="AT17" s="3"/>
      <c r="AU17" s="36"/>
      <c r="AV17" s="36"/>
      <c r="AW17" s="36"/>
      <c r="AX17" s="36"/>
      <c r="AY17" s="36"/>
      <c r="AZ17">
        <v>60</v>
      </c>
      <c r="BC17" t="s">
        <v>2</v>
      </c>
      <c r="BD17" s="10" t="s">
        <v>2</v>
      </c>
      <c r="BE17" t="s">
        <v>2023</v>
      </c>
      <c r="BF17" t="s">
        <v>932</v>
      </c>
    </row>
    <row r="18" spans="1:58" x14ac:dyDescent="0.3">
      <c r="A18" t="s">
        <v>64</v>
      </c>
      <c r="B18" t="s">
        <v>50</v>
      </c>
      <c r="C18" t="s">
        <v>52</v>
      </c>
      <c r="D18" t="s">
        <v>51</v>
      </c>
      <c r="E18" s="4">
        <v>1993</v>
      </c>
      <c r="F18" s="4" t="s">
        <v>2312</v>
      </c>
      <c r="G18" t="s">
        <v>2583</v>
      </c>
      <c r="H18" t="s">
        <v>17</v>
      </c>
      <c r="I18" t="s">
        <v>927</v>
      </c>
      <c r="J18" t="s">
        <v>53</v>
      </c>
      <c r="K18" t="s">
        <v>54</v>
      </c>
      <c r="L18">
        <v>3</v>
      </c>
      <c r="M18">
        <v>3</v>
      </c>
      <c r="O18">
        <v>640</v>
      </c>
      <c r="Y18">
        <v>469</v>
      </c>
      <c r="AA18">
        <f t="shared" si="1"/>
        <v>469</v>
      </c>
      <c r="AO18" s="3">
        <f t="shared" si="0"/>
        <v>0.73281249999999998</v>
      </c>
      <c r="AR18" s="3">
        <f t="shared" si="2"/>
        <v>0.73281249999999998</v>
      </c>
      <c r="AS18" s="3"/>
      <c r="AT18" s="3"/>
      <c r="AU18" s="36"/>
      <c r="AV18" s="36"/>
      <c r="AW18" s="36"/>
      <c r="AX18" s="36"/>
      <c r="AY18" s="36"/>
      <c r="AZ18">
        <v>0</v>
      </c>
      <c r="BC18" t="s">
        <v>2</v>
      </c>
      <c r="BD18" s="10" t="s">
        <v>2</v>
      </c>
      <c r="BE18" t="s">
        <v>2023</v>
      </c>
      <c r="BF18" t="s">
        <v>932</v>
      </c>
    </row>
    <row r="19" spans="1:58" x14ac:dyDescent="0.3">
      <c r="A19" t="s">
        <v>64</v>
      </c>
      <c r="B19" t="s">
        <v>50</v>
      </c>
      <c r="C19" t="s">
        <v>52</v>
      </c>
      <c r="D19" t="s">
        <v>51</v>
      </c>
      <c r="E19" s="4">
        <v>1994</v>
      </c>
      <c r="F19" s="4" t="s">
        <v>2312</v>
      </c>
      <c r="G19" t="s">
        <v>2583</v>
      </c>
      <c r="H19" t="s">
        <v>17</v>
      </c>
      <c r="I19" t="s">
        <v>927</v>
      </c>
      <c r="J19" t="s">
        <v>53</v>
      </c>
      <c r="K19" t="s">
        <v>54</v>
      </c>
      <c r="L19">
        <v>3</v>
      </c>
      <c r="M19">
        <v>3</v>
      </c>
      <c r="O19">
        <v>523</v>
      </c>
      <c r="Y19">
        <v>322</v>
      </c>
      <c r="AA19">
        <f t="shared" si="1"/>
        <v>322</v>
      </c>
      <c r="AO19" s="3">
        <f t="shared" si="0"/>
        <v>0.61567877629063095</v>
      </c>
      <c r="AR19" s="3">
        <f t="shared" si="2"/>
        <v>0.61567877629063095</v>
      </c>
      <c r="AS19" s="3"/>
      <c r="AT19" s="3"/>
      <c r="AU19" s="36"/>
      <c r="AV19" s="36"/>
      <c r="AW19" s="36"/>
      <c r="AX19" s="36"/>
      <c r="AY19" s="36"/>
      <c r="AZ19">
        <v>0</v>
      </c>
      <c r="BC19" t="s">
        <v>2</v>
      </c>
      <c r="BD19" s="10" t="s">
        <v>2</v>
      </c>
      <c r="BE19" t="s">
        <v>2023</v>
      </c>
      <c r="BF19" t="s">
        <v>932</v>
      </c>
    </row>
    <row r="20" spans="1:58" x14ac:dyDescent="0.3">
      <c r="A20" t="s">
        <v>64</v>
      </c>
      <c r="B20" t="s">
        <v>50</v>
      </c>
      <c r="C20" t="s">
        <v>52</v>
      </c>
      <c r="D20" t="s">
        <v>51</v>
      </c>
      <c r="E20" s="4">
        <v>1993</v>
      </c>
      <c r="F20" s="4" t="s">
        <v>2312</v>
      </c>
      <c r="G20" t="s">
        <v>2583</v>
      </c>
      <c r="H20" t="s">
        <v>17</v>
      </c>
      <c r="I20" t="s">
        <v>928</v>
      </c>
      <c r="J20" t="s">
        <v>53</v>
      </c>
      <c r="K20" t="s">
        <v>54</v>
      </c>
      <c r="L20">
        <v>3</v>
      </c>
      <c r="M20">
        <v>3</v>
      </c>
      <c r="O20">
        <v>1163</v>
      </c>
      <c r="Y20">
        <v>897</v>
      </c>
      <c r="AA20">
        <f t="shared" si="1"/>
        <v>897</v>
      </c>
      <c r="AO20" s="3">
        <f t="shared" si="0"/>
        <v>0.77128116938950986</v>
      </c>
      <c r="AR20" s="3">
        <f t="shared" si="2"/>
        <v>0.77128116938950986</v>
      </c>
      <c r="AS20" s="3"/>
      <c r="AT20" s="3"/>
      <c r="AU20" s="36"/>
      <c r="AV20" s="36"/>
      <c r="AW20" s="36"/>
      <c r="AX20" s="36"/>
      <c r="AY20" s="36"/>
      <c r="AZ20">
        <v>20</v>
      </c>
      <c r="BC20" t="s">
        <v>2</v>
      </c>
      <c r="BD20" s="10" t="s">
        <v>2</v>
      </c>
      <c r="BE20" t="s">
        <v>2023</v>
      </c>
      <c r="BF20" t="s">
        <v>932</v>
      </c>
    </row>
    <row r="21" spans="1:58" x14ac:dyDescent="0.3">
      <c r="A21" t="s">
        <v>64</v>
      </c>
      <c r="B21" t="s">
        <v>50</v>
      </c>
      <c r="C21" t="s">
        <v>52</v>
      </c>
      <c r="D21" t="s">
        <v>51</v>
      </c>
      <c r="E21" s="4">
        <v>1994</v>
      </c>
      <c r="F21" s="4" t="s">
        <v>2312</v>
      </c>
      <c r="G21" t="s">
        <v>2583</v>
      </c>
      <c r="H21" t="s">
        <v>17</v>
      </c>
      <c r="I21" t="s">
        <v>928</v>
      </c>
      <c r="J21" t="s">
        <v>53</v>
      </c>
      <c r="K21" t="s">
        <v>54</v>
      </c>
      <c r="L21">
        <v>3</v>
      </c>
      <c r="M21">
        <v>3</v>
      </c>
      <c r="O21">
        <v>1037</v>
      </c>
      <c r="Y21">
        <v>694</v>
      </c>
      <c r="AA21">
        <f t="shared" si="1"/>
        <v>694</v>
      </c>
      <c r="AO21" s="3">
        <f t="shared" si="0"/>
        <v>0.66923818707810989</v>
      </c>
      <c r="AR21" s="3">
        <f t="shared" si="2"/>
        <v>0.66923818707810989</v>
      </c>
      <c r="AS21" s="3"/>
      <c r="AT21" s="3"/>
      <c r="AU21" s="36"/>
      <c r="AV21" s="36"/>
      <c r="AW21" s="36"/>
      <c r="AX21" s="36"/>
      <c r="AY21" s="36"/>
      <c r="AZ21">
        <v>20</v>
      </c>
      <c r="BC21" t="s">
        <v>2</v>
      </c>
      <c r="BD21" s="10" t="s">
        <v>2</v>
      </c>
      <c r="BE21" t="s">
        <v>2023</v>
      </c>
      <c r="BF21" t="s">
        <v>932</v>
      </c>
    </row>
    <row r="22" spans="1:58" x14ac:dyDescent="0.3">
      <c r="A22" t="s">
        <v>64</v>
      </c>
      <c r="B22" t="s">
        <v>50</v>
      </c>
      <c r="C22" t="s">
        <v>52</v>
      </c>
      <c r="D22" t="s">
        <v>51</v>
      </c>
      <c r="E22" s="4">
        <v>1993</v>
      </c>
      <c r="F22" s="4" t="s">
        <v>2312</v>
      </c>
      <c r="G22" t="s">
        <v>2583</v>
      </c>
      <c r="H22" t="s">
        <v>17</v>
      </c>
      <c r="I22" t="s">
        <v>929</v>
      </c>
      <c r="J22" t="s">
        <v>53</v>
      </c>
      <c r="K22" t="s">
        <v>54</v>
      </c>
      <c r="L22">
        <v>3</v>
      </c>
      <c r="M22">
        <v>3</v>
      </c>
      <c r="O22">
        <v>1496</v>
      </c>
      <c r="Y22">
        <v>920</v>
      </c>
      <c r="AA22">
        <f t="shared" si="1"/>
        <v>920</v>
      </c>
      <c r="AO22" s="3">
        <f t="shared" si="0"/>
        <v>0.61497326203208558</v>
      </c>
      <c r="AR22" s="3">
        <f t="shared" si="2"/>
        <v>0.61497326203208558</v>
      </c>
      <c r="AS22" s="3"/>
      <c r="AT22" s="3"/>
      <c r="AU22" s="36"/>
      <c r="AV22" s="36"/>
      <c r="AW22" s="36"/>
      <c r="AX22" s="36"/>
      <c r="AY22" s="36"/>
      <c r="AZ22">
        <v>40</v>
      </c>
      <c r="BC22" t="s">
        <v>2</v>
      </c>
      <c r="BD22" s="10" t="s">
        <v>2</v>
      </c>
      <c r="BE22" t="s">
        <v>2023</v>
      </c>
      <c r="BF22" t="s">
        <v>932</v>
      </c>
    </row>
    <row r="23" spans="1:58" x14ac:dyDescent="0.3">
      <c r="A23" t="s">
        <v>64</v>
      </c>
      <c r="B23" t="s">
        <v>50</v>
      </c>
      <c r="C23" t="s">
        <v>52</v>
      </c>
      <c r="D23" t="s">
        <v>51</v>
      </c>
      <c r="E23" s="4">
        <v>1994</v>
      </c>
      <c r="F23" s="4" t="s">
        <v>2312</v>
      </c>
      <c r="G23" t="s">
        <v>2583</v>
      </c>
      <c r="H23" t="s">
        <v>17</v>
      </c>
      <c r="I23" t="s">
        <v>929</v>
      </c>
      <c r="J23" t="s">
        <v>53</v>
      </c>
      <c r="K23" t="s">
        <v>54</v>
      </c>
      <c r="L23">
        <v>3</v>
      </c>
      <c r="M23">
        <v>3</v>
      </c>
      <c r="O23">
        <v>1302</v>
      </c>
      <c r="Y23">
        <v>765</v>
      </c>
      <c r="AA23">
        <f t="shared" si="1"/>
        <v>765</v>
      </c>
      <c r="AO23" s="3">
        <f t="shared" si="0"/>
        <v>0.5875576036866359</v>
      </c>
      <c r="AR23" s="3">
        <f t="shared" si="2"/>
        <v>0.5875576036866359</v>
      </c>
      <c r="AS23" s="3"/>
      <c r="AT23" s="3"/>
      <c r="AU23" s="36"/>
      <c r="AV23" s="36"/>
      <c r="AW23" s="36"/>
      <c r="AX23" s="36"/>
      <c r="AY23" s="36"/>
      <c r="AZ23">
        <v>40</v>
      </c>
      <c r="BC23" t="s">
        <v>2</v>
      </c>
      <c r="BD23" s="10" t="s">
        <v>2</v>
      </c>
      <c r="BE23" t="s">
        <v>2023</v>
      </c>
      <c r="BF23" t="s">
        <v>932</v>
      </c>
    </row>
    <row r="24" spans="1:58" x14ac:dyDescent="0.3">
      <c r="A24" t="s">
        <v>64</v>
      </c>
      <c r="B24" t="s">
        <v>50</v>
      </c>
      <c r="C24" t="s">
        <v>52</v>
      </c>
      <c r="D24" t="s">
        <v>51</v>
      </c>
      <c r="E24" s="4">
        <v>1993</v>
      </c>
      <c r="F24" s="4" t="s">
        <v>2312</v>
      </c>
      <c r="G24" t="s">
        <v>2583</v>
      </c>
      <c r="H24" t="s">
        <v>17</v>
      </c>
      <c r="I24" t="s">
        <v>930</v>
      </c>
      <c r="J24" t="s">
        <v>53</v>
      </c>
      <c r="K24" t="s">
        <v>54</v>
      </c>
      <c r="L24">
        <v>3</v>
      </c>
      <c r="M24">
        <v>3</v>
      </c>
      <c r="O24">
        <v>1645</v>
      </c>
      <c r="Y24">
        <v>911</v>
      </c>
      <c r="AA24">
        <f t="shared" si="1"/>
        <v>911</v>
      </c>
      <c r="AO24" s="3">
        <f t="shared" si="0"/>
        <v>0.55379939209726448</v>
      </c>
      <c r="AR24" s="3">
        <f t="shared" si="2"/>
        <v>0.55379939209726448</v>
      </c>
      <c r="AS24" s="3"/>
      <c r="AT24" s="3"/>
      <c r="AU24" s="36"/>
      <c r="AV24" s="36"/>
      <c r="AW24" s="36"/>
      <c r="AX24" s="36"/>
      <c r="AY24" s="36"/>
      <c r="AZ24">
        <v>60</v>
      </c>
      <c r="BC24" t="s">
        <v>2</v>
      </c>
      <c r="BD24" s="10" t="s">
        <v>2</v>
      </c>
      <c r="BE24" t="s">
        <v>2023</v>
      </c>
      <c r="BF24" t="s">
        <v>932</v>
      </c>
    </row>
    <row r="25" spans="1:58" x14ac:dyDescent="0.3">
      <c r="A25" t="s">
        <v>64</v>
      </c>
      <c r="B25" t="s">
        <v>50</v>
      </c>
      <c r="C25" t="s">
        <v>52</v>
      </c>
      <c r="D25" t="s">
        <v>51</v>
      </c>
      <c r="E25" s="4">
        <v>1994</v>
      </c>
      <c r="F25" s="4" t="s">
        <v>2312</v>
      </c>
      <c r="G25" t="s">
        <v>2583</v>
      </c>
      <c r="H25" t="s">
        <v>17</v>
      </c>
      <c r="I25" t="s">
        <v>930</v>
      </c>
      <c r="J25" t="s">
        <v>53</v>
      </c>
      <c r="K25" t="s">
        <v>54</v>
      </c>
      <c r="L25">
        <v>3</v>
      </c>
      <c r="M25">
        <v>3</v>
      </c>
      <c r="O25">
        <v>1425</v>
      </c>
      <c r="Y25">
        <v>783</v>
      </c>
      <c r="AA25">
        <f t="shared" si="1"/>
        <v>783</v>
      </c>
      <c r="AO25" s="3">
        <f t="shared" si="0"/>
        <v>0.54947368421052634</v>
      </c>
      <c r="AR25" s="3">
        <f t="shared" si="2"/>
        <v>0.54947368421052634</v>
      </c>
      <c r="AS25" s="3"/>
      <c r="AT25" s="3"/>
      <c r="AU25" s="36"/>
      <c r="AV25" s="36"/>
      <c r="AW25" s="36"/>
      <c r="AX25" s="36"/>
      <c r="AY25" s="36"/>
      <c r="AZ25">
        <v>60</v>
      </c>
      <c r="BC25" t="s">
        <v>2</v>
      </c>
      <c r="BD25" s="10" t="s">
        <v>2</v>
      </c>
      <c r="BE25" t="s">
        <v>2023</v>
      </c>
      <c r="BF25" t="s">
        <v>932</v>
      </c>
    </row>
    <row r="26" spans="1:58" x14ac:dyDescent="0.3">
      <c r="A26" t="s">
        <v>49</v>
      </c>
      <c r="B26" t="s">
        <v>60</v>
      </c>
      <c r="C26" t="s">
        <v>59</v>
      </c>
      <c r="E26" s="4"/>
      <c r="F26" s="4" t="s">
        <v>2312</v>
      </c>
      <c r="G26" t="s">
        <v>2583</v>
      </c>
      <c r="H26" t="s">
        <v>17</v>
      </c>
      <c r="J26" t="s">
        <v>56</v>
      </c>
      <c r="K26" s="4" t="s">
        <v>57</v>
      </c>
      <c r="L26">
        <v>29</v>
      </c>
      <c r="M26">
        <v>29</v>
      </c>
      <c r="O26">
        <v>820</v>
      </c>
      <c r="Y26">
        <v>1250</v>
      </c>
      <c r="AA26">
        <f t="shared" si="1"/>
        <v>1250</v>
      </c>
      <c r="AM26" s="5"/>
      <c r="AN26" s="5"/>
      <c r="AO26" s="3">
        <f>AA26/O26</f>
        <v>1.524390243902439</v>
      </c>
      <c r="AR26">
        <f>AO26</f>
        <v>1.524390243902439</v>
      </c>
      <c r="AU26" s="36"/>
      <c r="AV26" s="36"/>
      <c r="AW26" s="36"/>
      <c r="AX26" s="36"/>
      <c r="AY26" s="36"/>
      <c r="BD26" s="10" t="s">
        <v>2</v>
      </c>
      <c r="BE26" t="s">
        <v>2023</v>
      </c>
      <c r="BF26" t="s">
        <v>1909</v>
      </c>
    </row>
    <row r="27" spans="1:58" s="26" customFormat="1" x14ac:dyDescent="0.3">
      <c r="A27" s="26" t="s">
        <v>66</v>
      </c>
      <c r="B27" s="26" t="s">
        <v>65</v>
      </c>
      <c r="C27" s="26" t="s">
        <v>67</v>
      </c>
      <c r="D27" s="26" t="s">
        <v>68</v>
      </c>
      <c r="E27" s="34"/>
      <c r="F27" s="4" t="s">
        <v>2312</v>
      </c>
      <c r="G27" s="10" t="s">
        <v>2583</v>
      </c>
      <c r="H27" s="10" t="s">
        <v>17</v>
      </c>
      <c r="J27" s="26" t="s">
        <v>69</v>
      </c>
      <c r="K27" s="34" t="s">
        <v>57</v>
      </c>
      <c r="L27" s="26">
        <v>27</v>
      </c>
      <c r="M27" s="10">
        <v>27</v>
      </c>
      <c r="O27" s="26">
        <v>1.55</v>
      </c>
      <c r="Y27" s="26">
        <v>2.42</v>
      </c>
      <c r="AA27" s="14">
        <f>Y27-(AL27)*Y27/10000</f>
        <v>2.419802190816299</v>
      </c>
      <c r="AI27" s="26">
        <f>(5+10.6)/2</f>
        <v>7.8</v>
      </c>
      <c r="AJ27" s="26">
        <f>(20+67)/2</f>
        <v>43.5</v>
      </c>
      <c r="AK27" s="26">
        <f>(10+1)/2</f>
        <v>5.5</v>
      </c>
      <c r="AL27" s="26">
        <f>AK27*PI()*((AJ27/100)^2)/4</f>
        <v>0.81739332107885176</v>
      </c>
      <c r="AO27" s="20">
        <f>Y27/O27</f>
        <v>1.5612903225806452</v>
      </c>
      <c r="AR27" s="20">
        <f>AO27</f>
        <v>1.5612903225806452</v>
      </c>
      <c r="AS27" s="20"/>
      <c r="AT27" s="20"/>
      <c r="AU27" s="44"/>
      <c r="AV27" s="44"/>
      <c r="AW27" s="44"/>
      <c r="AX27" s="44"/>
      <c r="AY27" s="44"/>
      <c r="BD27" s="10" t="s">
        <v>2</v>
      </c>
      <c r="BE27" s="26" t="s">
        <v>2023</v>
      </c>
      <c r="BF27" s="26" t="s">
        <v>2585</v>
      </c>
    </row>
    <row r="28" spans="1:58" x14ac:dyDescent="0.3">
      <c r="A28" t="s">
        <v>45</v>
      </c>
      <c r="B28" t="s">
        <v>46</v>
      </c>
      <c r="E28" s="4">
        <v>2008</v>
      </c>
      <c r="F28" s="4" t="s">
        <v>2312</v>
      </c>
      <c r="G28" t="s">
        <v>2583</v>
      </c>
      <c r="H28" t="s">
        <v>17</v>
      </c>
      <c r="J28" t="s">
        <v>63</v>
      </c>
      <c r="K28" s="4" t="s">
        <v>55</v>
      </c>
      <c r="L28">
        <v>15</v>
      </c>
      <c r="M28">
        <v>15</v>
      </c>
      <c r="O28">
        <v>1300</v>
      </c>
      <c r="Y28">
        <v>4100</v>
      </c>
      <c r="AA28">
        <f t="shared" si="1"/>
        <v>4100</v>
      </c>
      <c r="AL28" s="17"/>
      <c r="AM28" s="5"/>
      <c r="AN28" s="5"/>
      <c r="AO28" s="3">
        <f>Y28/O28</f>
        <v>3.1538461538461537</v>
      </c>
      <c r="AR28" s="3">
        <f>AO28</f>
        <v>3.1538461538461537</v>
      </c>
      <c r="AS28" s="3"/>
      <c r="AT28" s="3"/>
      <c r="AU28" s="36"/>
      <c r="AV28" s="36"/>
      <c r="AW28" s="36"/>
      <c r="AX28" s="36"/>
      <c r="AY28" s="36"/>
      <c r="AZ28">
        <v>0</v>
      </c>
      <c r="BD28" s="10" t="s">
        <v>2</v>
      </c>
      <c r="BE28" t="s">
        <v>2023</v>
      </c>
      <c r="BF28" s="6" t="s">
        <v>1910</v>
      </c>
    </row>
    <row r="29" spans="1:58" x14ac:dyDescent="0.3">
      <c r="A29" t="s">
        <v>74</v>
      </c>
      <c r="B29" t="s">
        <v>46</v>
      </c>
      <c r="E29" s="4" t="s">
        <v>922</v>
      </c>
      <c r="F29" s="4" t="s">
        <v>2312</v>
      </c>
      <c r="G29" s="10" t="s">
        <v>75</v>
      </c>
      <c r="H29" s="10" t="s">
        <v>76</v>
      </c>
      <c r="I29" s="4" t="s">
        <v>925</v>
      </c>
      <c r="J29" t="s">
        <v>63</v>
      </c>
      <c r="K29" s="4" t="s">
        <v>73</v>
      </c>
      <c r="L29">
        <v>48</v>
      </c>
      <c r="M29">
        <v>48</v>
      </c>
      <c r="O29">
        <v>1000</v>
      </c>
      <c r="Y29">
        <v>3600</v>
      </c>
      <c r="AA29">
        <f t="shared" si="1"/>
        <v>3600</v>
      </c>
      <c r="AC29" s="6">
        <v>15000</v>
      </c>
      <c r="AD29" s="6"/>
      <c r="AE29" s="6">
        <f>AC29</f>
        <v>15000</v>
      </c>
      <c r="AF29" s="6"/>
      <c r="AL29" s="17"/>
      <c r="AO29" s="3">
        <f>Y29/O29</f>
        <v>3.6</v>
      </c>
      <c r="AP29" s="3"/>
      <c r="AQ29" s="3"/>
      <c r="AR29" s="3">
        <f>AO29+AP29</f>
        <v>3.6</v>
      </c>
      <c r="AS29" s="3"/>
      <c r="AT29" s="3"/>
      <c r="AU29" s="36"/>
      <c r="AV29" s="36"/>
      <c r="AW29" s="36"/>
      <c r="AX29" s="36"/>
      <c r="AY29" s="36"/>
      <c r="AZ29">
        <v>0</v>
      </c>
      <c r="BD29" s="10" t="s">
        <v>2</v>
      </c>
      <c r="BE29" t="s">
        <v>2023</v>
      </c>
      <c r="BF29" s="6" t="s">
        <v>1911</v>
      </c>
    </row>
    <row r="30" spans="1:58" x14ac:dyDescent="0.3">
      <c r="A30" t="s">
        <v>74</v>
      </c>
      <c r="B30" t="s">
        <v>46</v>
      </c>
      <c r="E30" s="4" t="s">
        <v>923</v>
      </c>
      <c r="F30" s="4" t="s">
        <v>2312</v>
      </c>
      <c r="G30" s="10" t="s">
        <v>75</v>
      </c>
      <c r="H30" s="10" t="s">
        <v>76</v>
      </c>
      <c r="I30" s="4" t="s">
        <v>925</v>
      </c>
      <c r="J30" t="s">
        <v>63</v>
      </c>
      <c r="K30" s="4" t="s">
        <v>73</v>
      </c>
      <c r="L30">
        <v>48</v>
      </c>
      <c r="M30">
        <v>48</v>
      </c>
      <c r="O30">
        <v>1200</v>
      </c>
      <c r="Y30">
        <v>2000</v>
      </c>
      <c r="AA30">
        <f t="shared" si="1"/>
        <v>2000</v>
      </c>
      <c r="AC30" s="6">
        <v>15000</v>
      </c>
      <c r="AD30" s="6"/>
      <c r="AE30" s="6">
        <f t="shared" ref="AE30:AE31" si="3">AC30</f>
        <v>15000</v>
      </c>
      <c r="AF30" s="6"/>
      <c r="AL30" s="17"/>
      <c r="AO30" s="3">
        <f>Y30/O30</f>
        <v>1.6666666666666667</v>
      </c>
      <c r="AP30" s="3"/>
      <c r="AQ30" s="3"/>
      <c r="AR30" s="3">
        <f t="shared" ref="AR30:AR31" si="4">AO30+AP30</f>
        <v>1.6666666666666667</v>
      </c>
      <c r="AS30" s="3"/>
      <c r="AT30" s="3"/>
      <c r="AU30" s="36"/>
      <c r="AV30" s="36"/>
      <c r="AW30" s="36"/>
      <c r="AX30" s="36"/>
      <c r="AY30" s="36"/>
      <c r="AZ30">
        <v>0</v>
      </c>
      <c r="BD30" s="10" t="s">
        <v>2</v>
      </c>
      <c r="BE30" t="s">
        <v>2023</v>
      </c>
      <c r="BF30" s="6" t="s">
        <v>1911</v>
      </c>
    </row>
    <row r="31" spans="1:58" x14ac:dyDescent="0.3">
      <c r="A31" t="s">
        <v>74</v>
      </c>
      <c r="B31" t="s">
        <v>46</v>
      </c>
      <c r="E31" s="4" t="s">
        <v>924</v>
      </c>
      <c r="F31" s="4" t="s">
        <v>2312</v>
      </c>
      <c r="G31" s="10" t="s">
        <v>75</v>
      </c>
      <c r="H31" s="10" t="s">
        <v>76</v>
      </c>
      <c r="I31" s="4" t="s">
        <v>925</v>
      </c>
      <c r="J31" t="s">
        <v>63</v>
      </c>
      <c r="K31" s="4" t="s">
        <v>73</v>
      </c>
      <c r="L31">
        <v>48</v>
      </c>
      <c r="M31">
        <v>48</v>
      </c>
      <c r="O31">
        <v>400</v>
      </c>
      <c r="Y31">
        <v>1600</v>
      </c>
      <c r="AA31">
        <f t="shared" si="1"/>
        <v>1600</v>
      </c>
      <c r="AC31" s="6">
        <v>15000</v>
      </c>
      <c r="AD31" s="6"/>
      <c r="AE31" s="6">
        <f t="shared" si="3"/>
        <v>15000</v>
      </c>
      <c r="AF31" s="6"/>
      <c r="AL31" s="17"/>
      <c r="AO31" s="3">
        <f>Y31/O31</f>
        <v>4</v>
      </c>
      <c r="AP31" s="3"/>
      <c r="AQ31" s="3"/>
      <c r="AR31" s="3">
        <f t="shared" si="4"/>
        <v>4</v>
      </c>
      <c r="AS31" s="3"/>
      <c r="AT31" s="3"/>
      <c r="AU31" s="36"/>
      <c r="AV31" s="36"/>
      <c r="AW31" s="36"/>
      <c r="AX31" s="36"/>
      <c r="AY31" s="36"/>
      <c r="AZ31">
        <v>0</v>
      </c>
      <c r="BD31" s="10" t="s">
        <v>2</v>
      </c>
      <c r="BE31" t="s">
        <v>2023</v>
      </c>
      <c r="BF31" s="6" t="s">
        <v>1911</v>
      </c>
    </row>
    <row r="32" spans="1:58" x14ac:dyDescent="0.3">
      <c r="A32" t="s">
        <v>926</v>
      </c>
      <c r="B32" t="s">
        <v>72</v>
      </c>
      <c r="C32" t="s">
        <v>933</v>
      </c>
      <c r="E32" s="4"/>
      <c r="F32" s="4" t="s">
        <v>2312</v>
      </c>
      <c r="G32" s="10" t="s">
        <v>78</v>
      </c>
      <c r="H32" s="10" t="s">
        <v>76</v>
      </c>
      <c r="I32" s="4" t="s">
        <v>925</v>
      </c>
      <c r="J32" t="s">
        <v>63</v>
      </c>
      <c r="K32" s="4" t="s">
        <v>77</v>
      </c>
      <c r="L32">
        <v>152</v>
      </c>
      <c r="M32">
        <v>152</v>
      </c>
      <c r="AC32" s="6"/>
      <c r="AD32" s="6"/>
      <c r="AE32" s="6"/>
      <c r="AF32" s="6"/>
      <c r="AL32" s="17"/>
      <c r="AO32" s="3">
        <v>1.625</v>
      </c>
      <c r="AP32" s="3"/>
      <c r="AQ32" s="3"/>
      <c r="AR32" s="3">
        <f>AO32</f>
        <v>1.625</v>
      </c>
      <c r="AS32" s="3"/>
      <c r="AT32" s="3"/>
      <c r="AU32" s="36"/>
      <c r="AV32" s="36"/>
      <c r="AW32" s="36"/>
      <c r="AX32" s="36"/>
      <c r="AY32" s="36"/>
      <c r="AZ32">
        <v>0</v>
      </c>
      <c r="BA32" s="6" t="s">
        <v>2584</v>
      </c>
      <c r="BD32" s="10" t="s">
        <v>2</v>
      </c>
      <c r="BE32" t="s">
        <v>2023</v>
      </c>
      <c r="BF32" t="s">
        <v>932</v>
      </c>
    </row>
    <row r="33" spans="1:58" x14ac:dyDescent="0.3">
      <c r="A33" t="s">
        <v>926</v>
      </c>
      <c r="B33" t="s">
        <v>72</v>
      </c>
      <c r="C33" t="s">
        <v>933</v>
      </c>
      <c r="E33" s="4"/>
      <c r="F33" s="4" t="s">
        <v>2312</v>
      </c>
      <c r="G33" s="10" t="s">
        <v>78</v>
      </c>
      <c r="H33" s="10" t="s">
        <v>76</v>
      </c>
      <c r="I33" s="4" t="s">
        <v>925</v>
      </c>
      <c r="J33" t="s">
        <v>63</v>
      </c>
      <c r="K33" s="4" t="s">
        <v>73</v>
      </c>
      <c r="L33">
        <v>152</v>
      </c>
      <c r="M33">
        <v>152</v>
      </c>
      <c r="AC33" s="6"/>
      <c r="AD33" s="6"/>
      <c r="AE33" s="6"/>
      <c r="AF33" s="6"/>
      <c r="AL33" s="17"/>
      <c r="AO33" s="3">
        <v>1.7</v>
      </c>
      <c r="AP33" s="3"/>
      <c r="AQ33" s="3"/>
      <c r="AR33" s="3">
        <f t="shared" ref="AR33:AR37" si="5">AO33</f>
        <v>1.7</v>
      </c>
      <c r="AS33" s="3"/>
      <c r="AT33" s="3"/>
      <c r="AU33" s="36"/>
      <c r="AV33" s="36"/>
      <c r="AW33" s="36"/>
      <c r="AX33" s="36"/>
      <c r="AY33" s="36"/>
      <c r="AZ33">
        <v>0</v>
      </c>
      <c r="BA33" s="6" t="s">
        <v>2584</v>
      </c>
      <c r="BD33" s="10" t="s">
        <v>2</v>
      </c>
      <c r="BE33" t="s">
        <v>2023</v>
      </c>
      <c r="BF33" t="s">
        <v>932</v>
      </c>
    </row>
    <row r="34" spans="1:58" x14ac:dyDescent="0.3">
      <c r="A34" t="s">
        <v>926</v>
      </c>
      <c r="B34" t="s">
        <v>72</v>
      </c>
      <c r="C34" t="s">
        <v>933</v>
      </c>
      <c r="E34" s="4"/>
      <c r="F34" s="4" t="s">
        <v>2312</v>
      </c>
      <c r="G34" s="10" t="s">
        <v>78</v>
      </c>
      <c r="H34" s="10" t="s">
        <v>76</v>
      </c>
      <c r="I34" s="4" t="s">
        <v>925</v>
      </c>
      <c r="J34" t="s">
        <v>63</v>
      </c>
      <c r="K34" s="4" t="s">
        <v>934</v>
      </c>
      <c r="L34">
        <v>152</v>
      </c>
      <c r="M34">
        <v>152</v>
      </c>
      <c r="AC34" s="6"/>
      <c r="AD34" s="6"/>
      <c r="AE34" s="6"/>
      <c r="AF34" s="6"/>
      <c r="AL34" s="17"/>
      <c r="AO34" s="3">
        <v>1.714</v>
      </c>
      <c r="AP34" s="3"/>
      <c r="AQ34" s="3"/>
      <c r="AR34" s="3">
        <f t="shared" si="5"/>
        <v>1.714</v>
      </c>
      <c r="AS34" s="3"/>
      <c r="AT34" s="3"/>
      <c r="AU34" s="36"/>
      <c r="AV34" s="36"/>
      <c r="AW34" s="36"/>
      <c r="AX34" s="36"/>
      <c r="AY34" s="36"/>
      <c r="AZ34">
        <v>0</v>
      </c>
      <c r="BA34" s="6" t="s">
        <v>2584</v>
      </c>
      <c r="BD34" s="10" t="s">
        <v>2</v>
      </c>
      <c r="BE34" t="s">
        <v>2023</v>
      </c>
      <c r="BF34" t="s">
        <v>932</v>
      </c>
    </row>
    <row r="35" spans="1:58" x14ac:dyDescent="0.3">
      <c r="A35" t="s">
        <v>926</v>
      </c>
      <c r="B35" t="s">
        <v>72</v>
      </c>
      <c r="C35" t="s">
        <v>933</v>
      </c>
      <c r="E35" s="4"/>
      <c r="F35" s="4" t="s">
        <v>2312</v>
      </c>
      <c r="G35" s="10" t="s">
        <v>78</v>
      </c>
      <c r="H35" s="10" t="s">
        <v>76</v>
      </c>
      <c r="I35" s="4" t="s">
        <v>935</v>
      </c>
      <c r="J35" t="s">
        <v>63</v>
      </c>
      <c r="K35" s="4" t="s">
        <v>77</v>
      </c>
      <c r="L35">
        <v>152</v>
      </c>
      <c r="M35">
        <v>152</v>
      </c>
      <c r="AC35" s="6"/>
      <c r="AD35" s="6"/>
      <c r="AE35" s="6"/>
      <c r="AF35" s="6"/>
      <c r="AL35" s="17"/>
      <c r="AO35" s="3">
        <v>1.778</v>
      </c>
      <c r="AP35" s="3"/>
      <c r="AQ35" s="3"/>
      <c r="AR35" s="3">
        <f t="shared" si="5"/>
        <v>1.778</v>
      </c>
      <c r="AS35" s="3"/>
      <c r="AT35" s="3"/>
      <c r="AU35" s="36"/>
      <c r="AV35" s="36"/>
      <c r="AW35" s="36"/>
      <c r="AX35" s="36"/>
      <c r="AY35" s="36"/>
      <c r="AZ35">
        <v>0</v>
      </c>
      <c r="BA35" s="6" t="s">
        <v>2584</v>
      </c>
      <c r="BD35" s="10" t="s">
        <v>2</v>
      </c>
      <c r="BE35" t="s">
        <v>2023</v>
      </c>
      <c r="BF35" t="s">
        <v>932</v>
      </c>
    </row>
    <row r="36" spans="1:58" x14ac:dyDescent="0.3">
      <c r="A36" t="s">
        <v>926</v>
      </c>
      <c r="B36" t="s">
        <v>72</v>
      </c>
      <c r="C36" t="s">
        <v>933</v>
      </c>
      <c r="E36" s="4"/>
      <c r="F36" s="4" t="s">
        <v>2312</v>
      </c>
      <c r="G36" s="10" t="s">
        <v>78</v>
      </c>
      <c r="H36" s="10" t="s">
        <v>76</v>
      </c>
      <c r="I36" s="4" t="s">
        <v>935</v>
      </c>
      <c r="J36" t="s">
        <v>63</v>
      </c>
      <c r="K36" s="4" t="s">
        <v>73</v>
      </c>
      <c r="L36">
        <v>152</v>
      </c>
      <c r="M36">
        <v>152</v>
      </c>
      <c r="AC36" s="6"/>
      <c r="AD36" s="6"/>
      <c r="AE36" s="6"/>
      <c r="AF36" s="6"/>
      <c r="AL36" s="17"/>
      <c r="AO36" s="3">
        <v>1.7929999999999999</v>
      </c>
      <c r="AP36" s="3"/>
      <c r="AQ36" s="3"/>
      <c r="AR36" s="3">
        <f t="shared" si="5"/>
        <v>1.7929999999999999</v>
      </c>
      <c r="AS36" s="3"/>
      <c r="AT36" s="3"/>
      <c r="AU36" s="36"/>
      <c r="AV36" s="36"/>
      <c r="AW36" s="36"/>
      <c r="AX36" s="36"/>
      <c r="AY36" s="36"/>
      <c r="AZ36">
        <v>0</v>
      </c>
      <c r="BA36" s="6" t="s">
        <v>2584</v>
      </c>
      <c r="BD36" s="10" t="s">
        <v>2</v>
      </c>
      <c r="BE36" t="s">
        <v>2023</v>
      </c>
      <c r="BF36" t="s">
        <v>932</v>
      </c>
    </row>
    <row r="37" spans="1:58" x14ac:dyDescent="0.3">
      <c r="A37" t="s">
        <v>926</v>
      </c>
      <c r="B37" t="s">
        <v>72</v>
      </c>
      <c r="C37" t="s">
        <v>933</v>
      </c>
      <c r="E37" s="4"/>
      <c r="F37" s="4" t="s">
        <v>2312</v>
      </c>
      <c r="G37" s="10" t="s">
        <v>78</v>
      </c>
      <c r="H37" s="10" t="s">
        <v>76</v>
      </c>
      <c r="I37" s="4" t="s">
        <v>935</v>
      </c>
      <c r="J37" t="s">
        <v>63</v>
      </c>
      <c r="K37" s="4" t="s">
        <v>934</v>
      </c>
      <c r="L37">
        <v>152</v>
      </c>
      <c r="M37">
        <v>152</v>
      </c>
      <c r="AC37" s="6"/>
      <c r="AD37" s="6"/>
      <c r="AE37" s="6"/>
      <c r="AF37" s="6"/>
      <c r="AL37" s="17"/>
      <c r="AO37" s="3">
        <v>1.806</v>
      </c>
      <c r="AP37" s="3"/>
      <c r="AQ37" s="3"/>
      <c r="AR37" s="3">
        <f t="shared" si="5"/>
        <v>1.806</v>
      </c>
      <c r="AS37" s="3"/>
      <c r="AT37" s="3"/>
      <c r="AU37" s="36"/>
      <c r="AV37" s="36"/>
      <c r="AW37" s="36"/>
      <c r="AX37" s="36"/>
      <c r="AY37" s="36"/>
      <c r="AZ37">
        <v>0</v>
      </c>
      <c r="BA37" s="6" t="s">
        <v>2584</v>
      </c>
      <c r="BD37" s="10" t="s">
        <v>2</v>
      </c>
      <c r="BE37" t="s">
        <v>2023</v>
      </c>
      <c r="BF37" t="s">
        <v>932</v>
      </c>
    </row>
    <row r="38" spans="1:58" x14ac:dyDescent="0.3">
      <c r="A38" t="s">
        <v>152</v>
      </c>
      <c r="B38" t="s">
        <v>131</v>
      </c>
      <c r="C38" t="s">
        <v>153</v>
      </c>
      <c r="D38" s="4" t="s">
        <v>154</v>
      </c>
      <c r="E38" s="4"/>
      <c r="F38" s="4" t="s">
        <v>2312</v>
      </c>
      <c r="G38" s="4" t="s">
        <v>161</v>
      </c>
      <c r="H38" s="10" t="s">
        <v>17</v>
      </c>
      <c r="I38" t="s">
        <v>157</v>
      </c>
      <c r="J38" t="s">
        <v>63</v>
      </c>
      <c r="K38" s="4" t="s">
        <v>155</v>
      </c>
      <c r="L38">
        <v>5</v>
      </c>
      <c r="M38">
        <v>5</v>
      </c>
      <c r="O38" s="5">
        <f>10000*29.6/216</f>
        <v>1370.3703703703704</v>
      </c>
      <c r="P38" s="5">
        <f>120.37*SQRT(M38)</f>
        <v>269.15550245164968</v>
      </c>
      <c r="Y38" s="5">
        <f>20.7*10000/216</f>
        <v>958.33333333333337</v>
      </c>
      <c r="Z38" s="5">
        <f>76.85*SQRT(M38)</f>
        <v>171.84182407085882</v>
      </c>
      <c r="AA38" s="5">
        <f>Y38</f>
        <v>958.33333333333337</v>
      </c>
      <c r="AB38" s="5">
        <f>Z38</f>
        <v>171.84182407085882</v>
      </c>
      <c r="AG38" s="5"/>
      <c r="AH38" s="5"/>
      <c r="AI38" s="5"/>
      <c r="AJ38" s="5"/>
      <c r="AK38" s="5"/>
      <c r="AL38" s="17"/>
      <c r="AO38" s="3">
        <f t="shared" ref="AO38:AO69" si="6">Y38/O38</f>
        <v>0.69932432432432434</v>
      </c>
      <c r="AR38" s="3">
        <f>AO38</f>
        <v>0.69932432432432434</v>
      </c>
      <c r="AS38" s="3"/>
      <c r="AT38" s="3"/>
      <c r="AU38" s="36">
        <f>(AB38^2)/(O38^2)+(P38^2)*(AA38^2)/(O38^4)</f>
        <v>3.4591029883602117E-2</v>
      </c>
      <c r="AV38" s="36"/>
      <c r="AW38" s="36"/>
      <c r="AX38" s="36">
        <f t="shared" ref="AX38:AX42" si="7">AU38+AV38+AW38</f>
        <v>3.4591029883602117E-2</v>
      </c>
      <c r="AY38" s="36">
        <f>SQRT(AX38)/AR38</f>
        <v>0.26595190889700965</v>
      </c>
      <c r="BD38" s="10" t="s">
        <v>2</v>
      </c>
      <c r="BE38" t="s">
        <v>3</v>
      </c>
      <c r="BF38" t="s">
        <v>2586</v>
      </c>
    </row>
    <row r="39" spans="1:58" x14ac:dyDescent="0.3">
      <c r="A39" t="s">
        <v>152</v>
      </c>
      <c r="B39" t="s">
        <v>131</v>
      </c>
      <c r="C39" t="s">
        <v>153</v>
      </c>
      <c r="D39" s="4" t="s">
        <v>154</v>
      </c>
      <c r="E39" s="4"/>
      <c r="F39" s="4" t="s">
        <v>2312</v>
      </c>
      <c r="G39" s="4" t="s">
        <v>161</v>
      </c>
      <c r="H39" s="10" t="s">
        <v>17</v>
      </c>
      <c r="I39" t="s">
        <v>156</v>
      </c>
      <c r="J39" t="s">
        <v>63</v>
      </c>
      <c r="K39" s="4" t="s">
        <v>155</v>
      </c>
      <c r="L39">
        <v>5</v>
      </c>
      <c r="M39">
        <v>5</v>
      </c>
      <c r="O39" s="5">
        <f t="shared" ref="O39:O42" si="8">10000*29.6/216</f>
        <v>1370.3703703703704</v>
      </c>
      <c r="P39" s="5">
        <f>120.37*SQRT(M39)</f>
        <v>269.15550245164968</v>
      </c>
      <c r="Y39" s="5">
        <f>25*10000/216</f>
        <v>1157.4074074074074</v>
      </c>
      <c r="Z39" s="5">
        <f>68.06*SQRT(M39)</f>
        <v>152.18678654863569</v>
      </c>
      <c r="AA39" s="5">
        <f t="shared" ref="AA39:AA102" si="9">Y39</f>
        <v>1157.4074074074074</v>
      </c>
      <c r="AB39" s="5">
        <f t="shared" ref="AB39:AB42" si="10">Z39</f>
        <v>152.18678654863569</v>
      </c>
      <c r="AG39" s="5"/>
      <c r="AH39" s="5"/>
      <c r="AI39" s="5"/>
      <c r="AJ39" s="5"/>
      <c r="AK39" s="5"/>
      <c r="AL39" s="17"/>
      <c r="AO39" s="3">
        <f t="shared" si="6"/>
        <v>0.84459459459459452</v>
      </c>
      <c r="AR39" s="3">
        <f t="shared" ref="AR39:AR42" si="11">AO39</f>
        <v>0.84459459459459452</v>
      </c>
      <c r="AS39" s="3"/>
      <c r="AT39" s="3"/>
      <c r="AU39" s="36">
        <f>(AB39^2)/(O39^2)+(P39^2)*(AA39^2)/(O39^4)</f>
        <v>3.9851917297256623E-2</v>
      </c>
      <c r="AV39" s="36"/>
      <c r="AW39" s="36"/>
      <c r="AX39" s="36">
        <f t="shared" si="7"/>
        <v>3.9851917297256623E-2</v>
      </c>
      <c r="AY39" s="36">
        <f t="shared" ref="AY39:AY42" si="12">SQRT(AX39)/AR39</f>
        <v>0.23636126877020905</v>
      </c>
      <c r="BD39" s="10" t="s">
        <v>2</v>
      </c>
      <c r="BE39" t="s">
        <v>3</v>
      </c>
      <c r="BF39" t="s">
        <v>2586</v>
      </c>
    </row>
    <row r="40" spans="1:58" x14ac:dyDescent="0.3">
      <c r="A40" t="s">
        <v>152</v>
      </c>
      <c r="B40" t="s">
        <v>131</v>
      </c>
      <c r="C40" t="s">
        <v>153</v>
      </c>
      <c r="D40" s="4" t="s">
        <v>154</v>
      </c>
      <c r="E40" s="4"/>
      <c r="F40" s="4" t="s">
        <v>2312</v>
      </c>
      <c r="G40" s="4" t="s">
        <v>161</v>
      </c>
      <c r="H40" s="10" t="s">
        <v>17</v>
      </c>
      <c r="I40" t="s">
        <v>158</v>
      </c>
      <c r="J40" t="s">
        <v>63</v>
      </c>
      <c r="K40" s="4" t="s">
        <v>155</v>
      </c>
      <c r="L40">
        <v>5</v>
      </c>
      <c r="M40">
        <v>5</v>
      </c>
      <c r="O40" s="5">
        <f t="shared" si="8"/>
        <v>1370.3703703703704</v>
      </c>
      <c r="P40" s="5">
        <f>120.37*SQRT(M40)</f>
        <v>269.15550245164968</v>
      </c>
      <c r="Y40" s="5">
        <f>19.87*10000/216</f>
        <v>919.90740740740739</v>
      </c>
      <c r="Z40" s="5">
        <f>(1.73*10000/216)*SQRT(M40)</f>
        <v>179.09248153123318</v>
      </c>
      <c r="AA40" s="5">
        <f t="shared" si="9"/>
        <v>919.90740740740739</v>
      </c>
      <c r="AB40" s="5">
        <f t="shared" si="10"/>
        <v>179.09248153123318</v>
      </c>
      <c r="AL40" s="17"/>
      <c r="AO40" s="3">
        <f t="shared" si="6"/>
        <v>0.67128378378378373</v>
      </c>
      <c r="AR40" s="3">
        <f t="shared" si="11"/>
        <v>0.67128378378378373</v>
      </c>
      <c r="AS40" s="3"/>
      <c r="AT40" s="3"/>
      <c r="AU40" s="36">
        <f>(AB40^2)/(O40^2)+(P40^2)*(AA40^2)/(O40^4)</f>
        <v>3.4463370973027152E-2</v>
      </c>
      <c r="AV40" s="36"/>
      <c r="AW40" s="36"/>
      <c r="AX40" s="36">
        <f t="shared" si="7"/>
        <v>3.4463370973027152E-2</v>
      </c>
      <c r="AY40" s="36">
        <f t="shared" si="12"/>
        <v>0.27654940054113675</v>
      </c>
      <c r="BD40" s="10" t="s">
        <v>2</v>
      </c>
      <c r="BE40" t="s">
        <v>3</v>
      </c>
      <c r="BF40" t="s">
        <v>2586</v>
      </c>
    </row>
    <row r="41" spans="1:58" x14ac:dyDescent="0.3">
      <c r="A41" t="s">
        <v>152</v>
      </c>
      <c r="B41" t="s">
        <v>131</v>
      </c>
      <c r="C41" t="s">
        <v>153</v>
      </c>
      <c r="D41" s="4" t="s">
        <v>154</v>
      </c>
      <c r="E41" s="4"/>
      <c r="F41" s="4" t="s">
        <v>2312</v>
      </c>
      <c r="G41" s="4" t="s">
        <v>161</v>
      </c>
      <c r="H41" s="10" t="s">
        <v>17</v>
      </c>
      <c r="I41" t="s">
        <v>159</v>
      </c>
      <c r="J41" t="s">
        <v>63</v>
      </c>
      <c r="K41" s="4" t="s">
        <v>155</v>
      </c>
      <c r="L41">
        <v>5</v>
      </c>
      <c r="M41">
        <v>5</v>
      </c>
      <c r="O41" s="5">
        <f t="shared" si="8"/>
        <v>1370.3703703703704</v>
      </c>
      <c r="P41" s="5">
        <f>120.37*SQRT(M41)</f>
        <v>269.15550245164968</v>
      </c>
      <c r="Y41" s="5">
        <f>8.72*10000/216</f>
        <v>403.7037037037037</v>
      </c>
      <c r="Z41" s="5">
        <f>(1.22*10000/216)*SQRT(M41)</f>
        <v>126.29643206248812</v>
      </c>
      <c r="AA41" s="5">
        <f t="shared" si="9"/>
        <v>403.7037037037037</v>
      </c>
      <c r="AB41" s="5">
        <f t="shared" si="10"/>
        <v>126.29643206248812</v>
      </c>
      <c r="AL41" s="17"/>
      <c r="AO41" s="3">
        <f t="shared" si="6"/>
        <v>0.29459459459459458</v>
      </c>
      <c r="AR41" s="3">
        <f t="shared" si="11"/>
        <v>0.29459459459459458</v>
      </c>
      <c r="AS41" s="3"/>
      <c r="AT41" s="3"/>
      <c r="AU41" s="36">
        <f>(AB41^2)/(O41^2)+(P41^2)*(AA41^2)/(O41^4)</f>
        <v>1.1841841569005758E-2</v>
      </c>
      <c r="AV41" s="36"/>
      <c r="AW41" s="36"/>
      <c r="AX41" s="36">
        <f t="shared" si="7"/>
        <v>1.1841841569005758E-2</v>
      </c>
      <c r="AY41" s="36">
        <f t="shared" si="12"/>
        <v>0.369389757705817</v>
      </c>
      <c r="BD41" s="10" t="s">
        <v>2</v>
      </c>
      <c r="BE41" t="s">
        <v>3</v>
      </c>
      <c r="BF41" t="s">
        <v>2586</v>
      </c>
    </row>
    <row r="42" spans="1:58" x14ac:dyDescent="0.3">
      <c r="A42" t="s">
        <v>152</v>
      </c>
      <c r="B42" t="s">
        <v>131</v>
      </c>
      <c r="C42" t="s">
        <v>153</v>
      </c>
      <c r="D42" s="4" t="s">
        <v>154</v>
      </c>
      <c r="E42" s="4"/>
      <c r="F42" s="4" t="s">
        <v>2312</v>
      </c>
      <c r="G42" s="4" t="s">
        <v>161</v>
      </c>
      <c r="H42" s="10" t="s">
        <v>17</v>
      </c>
      <c r="I42" t="s">
        <v>160</v>
      </c>
      <c r="J42" t="s">
        <v>63</v>
      </c>
      <c r="K42" s="4" t="s">
        <v>155</v>
      </c>
      <c r="L42">
        <v>5</v>
      </c>
      <c r="M42">
        <v>5</v>
      </c>
      <c r="O42" s="5">
        <f t="shared" si="8"/>
        <v>1370.3703703703704</v>
      </c>
      <c r="P42" s="5">
        <f>120.37*SQRT(M42)</f>
        <v>269.15550245164968</v>
      </c>
      <c r="Y42">
        <v>1530</v>
      </c>
      <c r="Z42" s="5">
        <f>(1.02*10000/216)*SQRT(M42)</f>
        <v>105.59209893749008</v>
      </c>
      <c r="AA42" s="5">
        <f t="shared" si="9"/>
        <v>1530</v>
      </c>
      <c r="AB42" s="5">
        <f t="shared" si="10"/>
        <v>105.59209893749008</v>
      </c>
      <c r="AL42" s="17"/>
      <c r="AO42" s="3">
        <f t="shared" si="6"/>
        <v>1.1164864864864865</v>
      </c>
      <c r="AR42" s="3">
        <f t="shared" si="11"/>
        <v>1.1164864864864865</v>
      </c>
      <c r="AS42" s="3"/>
      <c r="AT42" s="3"/>
      <c r="AU42" s="36">
        <f>(AB42^2)/(O42^2)+(P42^2)*(AA42^2)/(O42^4)</f>
        <v>5.4025363903832571E-2</v>
      </c>
      <c r="AV42" s="36"/>
      <c r="AW42" s="36"/>
      <c r="AX42" s="36">
        <f t="shared" si="7"/>
        <v>5.4025363903832571E-2</v>
      </c>
      <c r="AY42" s="36">
        <f t="shared" si="12"/>
        <v>0.20818305605177381</v>
      </c>
      <c r="BD42" s="10" t="s">
        <v>2</v>
      </c>
      <c r="BE42" t="s">
        <v>3</v>
      </c>
      <c r="BF42" t="s">
        <v>2586</v>
      </c>
    </row>
    <row r="43" spans="1:58" s="10" customFormat="1" x14ac:dyDescent="0.3">
      <c r="A43" s="10" t="s">
        <v>170</v>
      </c>
      <c r="B43" s="10" t="s">
        <v>131</v>
      </c>
      <c r="C43" s="10" t="s">
        <v>171</v>
      </c>
      <c r="D43" s="16" t="s">
        <v>172</v>
      </c>
      <c r="E43" s="16" t="s">
        <v>877</v>
      </c>
      <c r="F43" s="4" t="s">
        <v>2312</v>
      </c>
      <c r="G43" s="16" t="s">
        <v>161</v>
      </c>
      <c r="H43" s="16" t="s">
        <v>17</v>
      </c>
      <c r="I43" s="16" t="s">
        <v>176</v>
      </c>
      <c r="J43" s="16" t="s">
        <v>63</v>
      </c>
      <c r="K43" s="16" t="s">
        <v>77</v>
      </c>
      <c r="L43" s="10">
        <v>3</v>
      </c>
      <c r="M43">
        <v>3</v>
      </c>
      <c r="O43" s="10">
        <f>3020+2180</f>
        <v>5200</v>
      </c>
      <c r="Q43" s="10">
        <v>0</v>
      </c>
      <c r="Y43" s="10">
        <f>3090+1530</f>
        <v>4620</v>
      </c>
      <c r="AA43" s="5">
        <f t="shared" si="9"/>
        <v>4620</v>
      </c>
      <c r="AC43" s="10">
        <v>0</v>
      </c>
      <c r="AE43" s="10">
        <f>AC43</f>
        <v>0</v>
      </c>
      <c r="AL43" s="17"/>
      <c r="AO43" s="14">
        <f t="shared" si="6"/>
        <v>0.88846153846153841</v>
      </c>
      <c r="AP43" s="14"/>
      <c r="AQ43" s="14"/>
      <c r="AR43" s="14">
        <f>AO43</f>
        <v>0.88846153846153841</v>
      </c>
      <c r="AS43" s="14"/>
      <c r="AT43" s="14"/>
      <c r="AU43" s="36"/>
      <c r="AV43" s="36"/>
      <c r="AW43" s="36"/>
      <c r="AX43" s="36"/>
      <c r="AY43" s="36"/>
      <c r="AZ43" s="10">
        <v>0</v>
      </c>
      <c r="BA43" s="26" t="s">
        <v>2584</v>
      </c>
      <c r="BB43" s="10" t="s">
        <v>3</v>
      </c>
      <c r="BC43" s="10" t="s">
        <v>2</v>
      </c>
      <c r="BD43" s="10" t="s">
        <v>2</v>
      </c>
      <c r="BE43" s="10" t="s">
        <v>3</v>
      </c>
      <c r="BF43" s="10" t="s">
        <v>1314</v>
      </c>
    </row>
    <row r="44" spans="1:58" s="10" customFormat="1" x14ac:dyDescent="0.3">
      <c r="A44" s="10" t="s">
        <v>170</v>
      </c>
      <c r="B44" s="10" t="s">
        <v>131</v>
      </c>
      <c r="C44" s="10" t="s">
        <v>171</v>
      </c>
      <c r="D44" s="16" t="s">
        <v>172</v>
      </c>
      <c r="E44" s="16" t="s">
        <v>878</v>
      </c>
      <c r="F44" s="4" t="s">
        <v>2312</v>
      </c>
      <c r="G44" s="16" t="s">
        <v>161</v>
      </c>
      <c r="H44" s="16" t="s">
        <v>17</v>
      </c>
      <c r="I44" s="16" t="s">
        <v>176</v>
      </c>
      <c r="J44" s="16" t="s">
        <v>63</v>
      </c>
      <c r="K44" s="16" t="s">
        <v>77</v>
      </c>
      <c r="L44" s="10">
        <v>3</v>
      </c>
      <c r="M44">
        <v>3</v>
      </c>
      <c r="O44" s="10">
        <f>2950+1410</f>
        <v>4360</v>
      </c>
      <c r="Q44" s="10">
        <f>6680+1960</f>
        <v>8640</v>
      </c>
      <c r="Y44" s="10">
        <f>2790+860</f>
        <v>3650</v>
      </c>
      <c r="AA44" s="5">
        <f t="shared" si="9"/>
        <v>3650</v>
      </c>
      <c r="AC44" s="10">
        <f>1850+1430</f>
        <v>3280</v>
      </c>
      <c r="AE44" s="10">
        <f t="shared" ref="AE44:AE97" si="13">AC44</f>
        <v>3280</v>
      </c>
      <c r="AL44" s="17"/>
      <c r="AO44" s="14">
        <f t="shared" si="6"/>
        <v>0.83715596330275233</v>
      </c>
      <c r="AP44" s="14">
        <f t="shared" ref="AP44:AP60" si="14">AC44/Q44</f>
        <v>0.37962962962962965</v>
      </c>
      <c r="AQ44" s="14"/>
      <c r="AR44" s="14">
        <f t="shared" ref="AR44:AR95" si="15">AO44+AP44</f>
        <v>1.2167855929323821</v>
      </c>
      <c r="AS44" s="14"/>
      <c r="AT44" s="14"/>
      <c r="AU44" s="36"/>
      <c r="AV44" s="36"/>
      <c r="AW44" s="36"/>
      <c r="AX44" s="36"/>
      <c r="AY44" s="36"/>
      <c r="AZ44" s="10">
        <v>0</v>
      </c>
      <c r="BA44" s="26" t="s">
        <v>2584</v>
      </c>
      <c r="BB44" s="10" t="s">
        <v>3</v>
      </c>
      <c r="BC44" s="10" t="s">
        <v>2</v>
      </c>
      <c r="BD44" s="10" t="s">
        <v>2</v>
      </c>
      <c r="BE44" s="10" t="s">
        <v>3</v>
      </c>
      <c r="BF44" s="10" t="s">
        <v>1314</v>
      </c>
    </row>
    <row r="45" spans="1:58" s="10" customFormat="1" x14ac:dyDescent="0.3">
      <c r="A45" s="10" t="s">
        <v>170</v>
      </c>
      <c r="B45" s="10" t="s">
        <v>131</v>
      </c>
      <c r="C45" s="10" t="s">
        <v>171</v>
      </c>
      <c r="D45" s="16" t="s">
        <v>172</v>
      </c>
      <c r="E45" s="16" t="s">
        <v>879</v>
      </c>
      <c r="F45" s="4" t="s">
        <v>2312</v>
      </c>
      <c r="G45" s="16" t="s">
        <v>161</v>
      </c>
      <c r="H45" s="16" t="s">
        <v>17</v>
      </c>
      <c r="I45" s="16" t="s">
        <v>176</v>
      </c>
      <c r="J45" s="16" t="s">
        <v>63</v>
      </c>
      <c r="K45" s="16" t="s">
        <v>77</v>
      </c>
      <c r="L45" s="10">
        <v>3</v>
      </c>
      <c r="M45">
        <v>3</v>
      </c>
      <c r="O45" s="10">
        <f>3190+2910</f>
        <v>6100</v>
      </c>
      <c r="Q45" s="10">
        <f>2420+4920</f>
        <v>7340</v>
      </c>
      <c r="Y45" s="10">
        <f>3610+2290</f>
        <v>5900</v>
      </c>
      <c r="AA45" s="5">
        <f t="shared" si="9"/>
        <v>5900</v>
      </c>
      <c r="AC45" s="10">
        <f>980+2210</f>
        <v>3190</v>
      </c>
      <c r="AE45" s="10">
        <f t="shared" si="13"/>
        <v>3190</v>
      </c>
      <c r="AL45" s="17"/>
      <c r="AO45" s="14">
        <f t="shared" si="6"/>
        <v>0.96721311475409832</v>
      </c>
      <c r="AP45" s="14">
        <f t="shared" si="14"/>
        <v>0.43460490463215257</v>
      </c>
      <c r="AQ45" s="14"/>
      <c r="AR45" s="14">
        <f t="shared" si="15"/>
        <v>1.4018180193862508</v>
      </c>
      <c r="AS45" s="14"/>
      <c r="AT45" s="14"/>
      <c r="AU45" s="36"/>
      <c r="AV45" s="36"/>
      <c r="AW45" s="36"/>
      <c r="AX45" s="36"/>
      <c r="AY45" s="36"/>
      <c r="AZ45" s="10">
        <v>0</v>
      </c>
      <c r="BA45" s="26" t="s">
        <v>2584</v>
      </c>
      <c r="BB45" s="10" t="s">
        <v>3</v>
      </c>
      <c r="BC45" s="10" t="s">
        <v>2</v>
      </c>
      <c r="BD45" s="10" t="s">
        <v>2</v>
      </c>
      <c r="BE45" s="10" t="s">
        <v>3</v>
      </c>
      <c r="BF45" s="10" t="s">
        <v>1314</v>
      </c>
    </row>
    <row r="46" spans="1:58" s="10" customFormat="1" x14ac:dyDescent="0.3">
      <c r="A46" s="10" t="s">
        <v>170</v>
      </c>
      <c r="B46" s="10" t="s">
        <v>131</v>
      </c>
      <c r="C46" s="10" t="s">
        <v>171</v>
      </c>
      <c r="D46" s="16" t="s">
        <v>172</v>
      </c>
      <c r="E46" s="16" t="s">
        <v>882</v>
      </c>
      <c r="F46" s="4" t="s">
        <v>2312</v>
      </c>
      <c r="G46" s="16" t="s">
        <v>161</v>
      </c>
      <c r="H46" s="16" t="s">
        <v>17</v>
      </c>
      <c r="I46" s="16" t="s">
        <v>176</v>
      </c>
      <c r="J46" s="16" t="s">
        <v>63</v>
      </c>
      <c r="K46" s="16" t="s">
        <v>77</v>
      </c>
      <c r="L46" s="10">
        <v>3</v>
      </c>
      <c r="M46">
        <v>3</v>
      </c>
      <c r="O46" s="10">
        <f>3400+0</f>
        <v>3400</v>
      </c>
      <c r="Q46" s="10">
        <f>4500+400</f>
        <v>4900</v>
      </c>
      <c r="Y46" s="10">
        <f>4170+0</f>
        <v>4170</v>
      </c>
      <c r="AA46" s="5">
        <f t="shared" si="9"/>
        <v>4170</v>
      </c>
      <c r="AC46" s="10">
        <f>1220+410</f>
        <v>1630</v>
      </c>
      <c r="AE46" s="10">
        <f t="shared" si="13"/>
        <v>1630</v>
      </c>
      <c r="AL46" s="17"/>
      <c r="AO46" s="14">
        <f t="shared" si="6"/>
        <v>1.2264705882352942</v>
      </c>
      <c r="AP46" s="14">
        <f t="shared" si="14"/>
        <v>0.33265306122448979</v>
      </c>
      <c r="AQ46" s="14"/>
      <c r="AR46" s="14">
        <f t="shared" si="15"/>
        <v>1.559123649459784</v>
      </c>
      <c r="AS46" s="14"/>
      <c r="AT46" s="14"/>
      <c r="AU46" s="36"/>
      <c r="AV46" s="36"/>
      <c r="AW46" s="36"/>
      <c r="AX46" s="36"/>
      <c r="AY46" s="36"/>
      <c r="AZ46" s="10">
        <v>0</v>
      </c>
      <c r="BA46" s="26" t="s">
        <v>2584</v>
      </c>
      <c r="BB46" s="10" t="s">
        <v>3</v>
      </c>
      <c r="BC46" s="10" t="s">
        <v>2</v>
      </c>
      <c r="BD46" s="10" t="s">
        <v>2</v>
      </c>
      <c r="BE46" s="10" t="s">
        <v>3</v>
      </c>
      <c r="BF46" s="10" t="s">
        <v>1314</v>
      </c>
    </row>
    <row r="47" spans="1:58" s="10" customFormat="1" x14ac:dyDescent="0.3">
      <c r="A47" s="10" t="s">
        <v>170</v>
      </c>
      <c r="B47" s="10" t="s">
        <v>131</v>
      </c>
      <c r="C47" s="10" t="s">
        <v>171</v>
      </c>
      <c r="D47" s="16" t="s">
        <v>172</v>
      </c>
      <c r="E47" s="16" t="s">
        <v>880</v>
      </c>
      <c r="F47" s="4" t="s">
        <v>2312</v>
      </c>
      <c r="G47" s="16" t="s">
        <v>161</v>
      </c>
      <c r="H47" s="16" t="s">
        <v>17</v>
      </c>
      <c r="I47" s="16" t="s">
        <v>176</v>
      </c>
      <c r="J47" s="16" t="s">
        <v>63</v>
      </c>
      <c r="K47" s="16" t="s">
        <v>77</v>
      </c>
      <c r="L47" s="10">
        <v>3</v>
      </c>
      <c r="M47">
        <v>3</v>
      </c>
      <c r="O47" s="10">
        <f>2950+2100</f>
        <v>5050</v>
      </c>
      <c r="Q47" s="10">
        <f>4220+7260</f>
        <v>11480</v>
      </c>
      <c r="Y47" s="10">
        <f>2140+900</f>
        <v>3040</v>
      </c>
      <c r="AA47" s="5">
        <f t="shared" si="9"/>
        <v>3040</v>
      </c>
      <c r="AC47" s="10">
        <f>1770+2170</f>
        <v>3940</v>
      </c>
      <c r="AE47" s="10">
        <f t="shared" si="13"/>
        <v>3940</v>
      </c>
      <c r="AL47" s="17"/>
      <c r="AO47" s="14">
        <f t="shared" si="6"/>
        <v>0.60198019801980196</v>
      </c>
      <c r="AP47" s="14">
        <f t="shared" si="14"/>
        <v>0.343205574912892</v>
      </c>
      <c r="AQ47" s="14"/>
      <c r="AR47" s="14">
        <f t="shared" si="15"/>
        <v>0.94518577293269401</v>
      </c>
      <c r="AS47" s="14"/>
      <c r="AT47" s="14"/>
      <c r="AU47" s="36"/>
      <c r="AV47" s="36"/>
      <c r="AW47" s="36"/>
      <c r="AX47" s="36"/>
      <c r="AY47" s="36"/>
      <c r="AZ47" s="10">
        <v>0</v>
      </c>
      <c r="BA47" s="26" t="s">
        <v>2584</v>
      </c>
      <c r="BB47" s="10" t="s">
        <v>3</v>
      </c>
      <c r="BC47" s="10" t="s">
        <v>2</v>
      </c>
      <c r="BD47" s="10" t="s">
        <v>2</v>
      </c>
      <c r="BE47" s="10" t="s">
        <v>3</v>
      </c>
      <c r="BF47" s="10" t="s">
        <v>1314</v>
      </c>
    </row>
    <row r="48" spans="1:58" s="10" customFormat="1" x14ac:dyDescent="0.3">
      <c r="A48" s="10" t="s">
        <v>170</v>
      </c>
      <c r="B48" s="10" t="s">
        <v>131</v>
      </c>
      <c r="C48" s="10" t="s">
        <v>171</v>
      </c>
      <c r="D48" s="16" t="s">
        <v>172</v>
      </c>
      <c r="E48" s="16" t="s">
        <v>881</v>
      </c>
      <c r="F48" s="4" t="s">
        <v>2312</v>
      </c>
      <c r="G48" s="16" t="s">
        <v>161</v>
      </c>
      <c r="H48" s="16" t="s">
        <v>17</v>
      </c>
      <c r="I48" s="16" t="s">
        <v>176</v>
      </c>
      <c r="J48" s="16" t="s">
        <v>63</v>
      </c>
      <c r="K48" s="16" t="s">
        <v>77</v>
      </c>
      <c r="L48" s="10">
        <v>3</v>
      </c>
      <c r="M48">
        <v>3</v>
      </c>
      <c r="O48" s="10">
        <f>2920+2800</f>
        <v>5720</v>
      </c>
      <c r="Q48" s="10">
        <f>3140+8680</f>
        <v>11820</v>
      </c>
      <c r="Y48" s="10">
        <f>4400+3410</f>
        <v>7810</v>
      </c>
      <c r="AA48" s="5">
        <f t="shared" si="9"/>
        <v>7810</v>
      </c>
      <c r="AC48" s="10">
        <f>1120+2480</f>
        <v>3600</v>
      </c>
      <c r="AE48" s="10">
        <f t="shared" si="13"/>
        <v>3600</v>
      </c>
      <c r="AL48" s="17"/>
      <c r="AO48" s="14">
        <f t="shared" si="6"/>
        <v>1.3653846153846154</v>
      </c>
      <c r="AP48" s="14">
        <f t="shared" si="14"/>
        <v>0.30456852791878175</v>
      </c>
      <c r="AQ48" s="14"/>
      <c r="AR48" s="14">
        <f t="shared" si="15"/>
        <v>1.6699531433033972</v>
      </c>
      <c r="AS48" s="14"/>
      <c r="AT48" s="14"/>
      <c r="AU48" s="36"/>
      <c r="AV48" s="36"/>
      <c r="AW48" s="36"/>
      <c r="AX48" s="36"/>
      <c r="AY48" s="36"/>
      <c r="AZ48" s="10">
        <v>0</v>
      </c>
      <c r="BA48" s="26" t="s">
        <v>2584</v>
      </c>
      <c r="BB48" s="10" t="s">
        <v>3</v>
      </c>
      <c r="BC48" s="10" t="s">
        <v>2</v>
      </c>
      <c r="BD48" s="10" t="s">
        <v>2</v>
      </c>
      <c r="BE48" s="10" t="s">
        <v>3</v>
      </c>
      <c r="BF48" s="10" t="s">
        <v>1314</v>
      </c>
    </row>
    <row r="49" spans="1:58" x14ac:dyDescent="0.3">
      <c r="A49" s="10" t="s">
        <v>252</v>
      </c>
      <c r="B49" s="10" t="s">
        <v>237</v>
      </c>
      <c r="C49" s="16" t="s">
        <v>254</v>
      </c>
      <c r="D49" s="16" t="s">
        <v>253</v>
      </c>
      <c r="E49" s="10" t="s">
        <v>256</v>
      </c>
      <c r="F49" s="4" t="s">
        <v>2312</v>
      </c>
      <c r="G49" s="10" t="s">
        <v>161</v>
      </c>
      <c r="H49" s="16" t="s">
        <v>17</v>
      </c>
      <c r="J49" s="16" t="s">
        <v>255</v>
      </c>
      <c r="K49" s="4" t="s">
        <v>155</v>
      </c>
      <c r="L49" s="10">
        <v>6</v>
      </c>
      <c r="M49">
        <v>6</v>
      </c>
      <c r="N49" s="10"/>
      <c r="O49" s="10">
        <v>17300</v>
      </c>
      <c r="P49" s="10"/>
      <c r="Q49" s="10">
        <v>3140</v>
      </c>
      <c r="R49" s="10"/>
      <c r="S49" s="10"/>
      <c r="T49" s="10"/>
      <c r="U49" s="10"/>
      <c r="W49" s="10"/>
      <c r="X49" s="10"/>
      <c r="Y49" s="10">
        <v>13383</v>
      </c>
      <c r="Z49" s="10"/>
      <c r="AA49" s="5">
        <f t="shared" si="9"/>
        <v>13383</v>
      </c>
      <c r="AB49" s="10"/>
      <c r="AC49">
        <v>1050</v>
      </c>
      <c r="AE49" s="10">
        <f t="shared" si="13"/>
        <v>1050</v>
      </c>
      <c r="AL49" s="17"/>
      <c r="AO49" s="14">
        <f t="shared" si="6"/>
        <v>0.77358381502890172</v>
      </c>
      <c r="AP49" s="14">
        <f t="shared" si="14"/>
        <v>0.33439490445859871</v>
      </c>
      <c r="AQ49" s="14"/>
      <c r="AR49" s="14">
        <f t="shared" si="15"/>
        <v>1.1079787194875004</v>
      </c>
      <c r="AS49" s="14"/>
      <c r="AT49" s="14"/>
      <c r="AU49" s="36"/>
      <c r="AV49" s="36"/>
      <c r="AW49" s="36"/>
      <c r="AX49" s="36"/>
      <c r="AY49" s="36"/>
      <c r="BC49" s="10" t="s">
        <v>259</v>
      </c>
      <c r="BD49" s="10" t="s">
        <v>2</v>
      </c>
      <c r="BE49" s="10" t="s">
        <v>3</v>
      </c>
      <c r="BF49" s="10" t="s">
        <v>264</v>
      </c>
    </row>
    <row r="50" spans="1:58" x14ac:dyDescent="0.3">
      <c r="A50" s="10" t="s">
        <v>252</v>
      </c>
      <c r="B50" s="10" t="s">
        <v>237</v>
      </c>
      <c r="C50" s="16" t="s">
        <v>254</v>
      </c>
      <c r="D50" s="16" t="s">
        <v>253</v>
      </c>
      <c r="E50" s="10" t="s">
        <v>256</v>
      </c>
      <c r="F50" s="4" t="s">
        <v>2312</v>
      </c>
      <c r="G50" s="10" t="s">
        <v>161</v>
      </c>
      <c r="H50" s="16" t="s">
        <v>17</v>
      </c>
      <c r="J50" s="16" t="s">
        <v>173</v>
      </c>
      <c r="K50" s="4" t="s">
        <v>155</v>
      </c>
      <c r="L50" s="10">
        <v>6</v>
      </c>
      <c r="M50">
        <v>6</v>
      </c>
      <c r="N50" s="10"/>
      <c r="O50" s="10">
        <v>650</v>
      </c>
      <c r="P50" s="10"/>
      <c r="Q50" s="10">
        <v>3140</v>
      </c>
      <c r="R50" s="10"/>
      <c r="S50" s="10"/>
      <c r="T50" s="10"/>
      <c r="U50" s="10"/>
      <c r="W50" s="10"/>
      <c r="X50" s="10"/>
      <c r="Y50" s="10">
        <v>225</v>
      </c>
      <c r="Z50" s="10"/>
      <c r="AA50" s="5">
        <f t="shared" si="9"/>
        <v>225</v>
      </c>
      <c r="AB50" s="10"/>
      <c r="AC50">
        <v>1050</v>
      </c>
      <c r="AE50" s="10">
        <f t="shared" si="13"/>
        <v>1050</v>
      </c>
      <c r="AL50" s="17"/>
      <c r="AO50" s="14">
        <f t="shared" si="6"/>
        <v>0.34615384615384615</v>
      </c>
      <c r="AP50" s="14">
        <f t="shared" si="14"/>
        <v>0.33439490445859871</v>
      </c>
      <c r="AQ50" s="14"/>
      <c r="AR50" s="14">
        <f t="shared" si="15"/>
        <v>0.6805487506124448</v>
      </c>
      <c r="AS50" s="14"/>
      <c r="AT50" s="14"/>
      <c r="AU50" s="36"/>
      <c r="AV50" s="36"/>
      <c r="AW50" s="36"/>
      <c r="AX50" s="36"/>
      <c r="AY50" s="36"/>
      <c r="BC50" s="10" t="s">
        <v>259</v>
      </c>
      <c r="BD50" s="10" t="s">
        <v>2</v>
      </c>
      <c r="BE50" s="10" t="s">
        <v>3</v>
      </c>
      <c r="BF50" s="10" t="s">
        <v>264</v>
      </c>
    </row>
    <row r="51" spans="1:58" x14ac:dyDescent="0.3">
      <c r="A51" s="10" t="s">
        <v>252</v>
      </c>
      <c r="B51" s="10" t="s">
        <v>237</v>
      </c>
      <c r="C51" s="16" t="s">
        <v>254</v>
      </c>
      <c r="D51" s="16" t="s">
        <v>253</v>
      </c>
      <c r="E51" s="10" t="s">
        <v>256</v>
      </c>
      <c r="F51" s="4" t="s">
        <v>2312</v>
      </c>
      <c r="G51" s="10" t="s">
        <v>161</v>
      </c>
      <c r="H51" s="16" t="s">
        <v>17</v>
      </c>
      <c r="J51" s="16" t="s">
        <v>260</v>
      </c>
      <c r="K51" s="4" t="s">
        <v>155</v>
      </c>
      <c r="L51" s="10">
        <v>6</v>
      </c>
      <c r="M51">
        <v>6</v>
      </c>
      <c r="N51" s="10"/>
      <c r="O51" s="10">
        <v>5800</v>
      </c>
      <c r="P51" s="10"/>
      <c r="Q51" s="10">
        <v>3140</v>
      </c>
      <c r="R51" s="10"/>
      <c r="S51" s="10"/>
      <c r="T51" s="10"/>
      <c r="U51" s="10"/>
      <c r="W51" s="10"/>
      <c r="X51" s="10"/>
      <c r="Y51" s="10">
        <v>5408</v>
      </c>
      <c r="Z51" s="10"/>
      <c r="AA51" s="5">
        <f t="shared" si="9"/>
        <v>5408</v>
      </c>
      <c r="AB51" s="10"/>
      <c r="AC51">
        <v>1050</v>
      </c>
      <c r="AE51" s="10">
        <f t="shared" si="13"/>
        <v>1050</v>
      </c>
      <c r="AL51" s="17"/>
      <c r="AO51" s="14">
        <f t="shared" si="6"/>
        <v>0.9324137931034483</v>
      </c>
      <c r="AP51" s="14">
        <f t="shared" si="14"/>
        <v>0.33439490445859871</v>
      </c>
      <c r="AQ51" s="14"/>
      <c r="AR51" s="14">
        <f t="shared" si="15"/>
        <v>1.2668086975620469</v>
      </c>
      <c r="AS51" s="14"/>
      <c r="AT51" s="14"/>
      <c r="AU51" s="36"/>
      <c r="AV51" s="36"/>
      <c r="AW51" s="36"/>
      <c r="AX51" s="36"/>
      <c r="AY51" s="36"/>
      <c r="BC51" s="10" t="s">
        <v>259</v>
      </c>
      <c r="BD51" s="10" t="s">
        <v>2</v>
      </c>
      <c r="BE51" s="10" t="s">
        <v>3</v>
      </c>
      <c r="BF51" s="10" t="s">
        <v>264</v>
      </c>
    </row>
    <row r="52" spans="1:58" x14ac:dyDescent="0.3">
      <c r="A52" s="10" t="s">
        <v>252</v>
      </c>
      <c r="B52" s="10" t="s">
        <v>237</v>
      </c>
      <c r="C52" s="16" t="s">
        <v>254</v>
      </c>
      <c r="D52" s="16" t="s">
        <v>253</v>
      </c>
      <c r="E52" s="10" t="s">
        <v>257</v>
      </c>
      <c r="F52" s="4" t="s">
        <v>2312</v>
      </c>
      <c r="G52" s="10" t="s">
        <v>161</v>
      </c>
      <c r="H52" s="16" t="s">
        <v>17</v>
      </c>
      <c r="J52" s="16" t="s">
        <v>255</v>
      </c>
      <c r="K52" s="4" t="s">
        <v>155</v>
      </c>
      <c r="L52" s="10">
        <v>6</v>
      </c>
      <c r="M52">
        <v>6</v>
      </c>
      <c r="N52" s="10"/>
      <c r="O52" s="10">
        <v>9000</v>
      </c>
      <c r="P52" s="10"/>
      <c r="Q52" s="10">
        <f>2380+1890</f>
        <v>4270</v>
      </c>
      <c r="R52" s="10"/>
      <c r="S52" s="10"/>
      <c r="T52" s="10"/>
      <c r="U52" s="10"/>
      <c r="W52" s="10"/>
      <c r="X52" s="10"/>
      <c r="Y52" s="10">
        <v>8158</v>
      </c>
      <c r="Z52" s="10"/>
      <c r="AA52" s="5">
        <f t="shared" si="9"/>
        <v>8158</v>
      </c>
      <c r="AB52" s="10"/>
      <c r="AC52">
        <f>1300+520</f>
        <v>1820</v>
      </c>
      <c r="AE52" s="10">
        <f t="shared" si="13"/>
        <v>1820</v>
      </c>
      <c r="AL52" s="17"/>
      <c r="AO52" s="14">
        <f t="shared" si="6"/>
        <v>0.9064444444444445</v>
      </c>
      <c r="AP52" s="14">
        <f t="shared" si="14"/>
        <v>0.42622950819672129</v>
      </c>
      <c r="AQ52" s="14"/>
      <c r="AR52" s="14">
        <f t="shared" si="15"/>
        <v>1.3326739526411657</v>
      </c>
      <c r="AS52" s="14"/>
      <c r="AT52" s="14"/>
      <c r="AU52" s="36"/>
      <c r="AV52" s="36"/>
      <c r="AW52" s="36"/>
      <c r="AX52" s="36"/>
      <c r="AY52" s="36"/>
      <c r="BC52" s="10" t="s">
        <v>259</v>
      </c>
      <c r="BD52" s="10" t="s">
        <v>2</v>
      </c>
      <c r="BE52" s="10" t="s">
        <v>3</v>
      </c>
      <c r="BF52" s="10" t="s">
        <v>264</v>
      </c>
    </row>
    <row r="53" spans="1:58" x14ac:dyDescent="0.3">
      <c r="A53" s="10" t="s">
        <v>252</v>
      </c>
      <c r="B53" s="10" t="s">
        <v>237</v>
      </c>
      <c r="C53" s="16" t="s">
        <v>254</v>
      </c>
      <c r="D53" s="16" t="s">
        <v>253</v>
      </c>
      <c r="E53" s="10" t="s">
        <v>257</v>
      </c>
      <c r="F53" s="4" t="s">
        <v>2312</v>
      </c>
      <c r="G53" s="10" t="s">
        <v>161</v>
      </c>
      <c r="H53" s="16" t="s">
        <v>17</v>
      </c>
      <c r="J53" s="16" t="s">
        <v>173</v>
      </c>
      <c r="K53" s="4" t="s">
        <v>155</v>
      </c>
      <c r="L53" s="10">
        <v>6</v>
      </c>
      <c r="M53">
        <v>6</v>
      </c>
      <c r="N53" s="10"/>
      <c r="O53" s="10">
        <v>700</v>
      </c>
      <c r="P53" s="10"/>
      <c r="Q53" s="10">
        <f>2380+1890</f>
        <v>4270</v>
      </c>
      <c r="R53" s="10"/>
      <c r="S53" s="10"/>
      <c r="T53" s="10"/>
      <c r="U53" s="10"/>
      <c r="W53" s="10"/>
      <c r="X53" s="10"/>
      <c r="Y53" s="10">
        <v>807</v>
      </c>
      <c r="Z53" s="10"/>
      <c r="AA53" s="5">
        <f t="shared" si="9"/>
        <v>807</v>
      </c>
      <c r="AB53" s="10"/>
      <c r="AC53">
        <f>1300+520</f>
        <v>1820</v>
      </c>
      <c r="AE53" s="10">
        <f t="shared" si="13"/>
        <v>1820</v>
      </c>
      <c r="AL53" s="17"/>
      <c r="AO53" s="14">
        <f t="shared" si="6"/>
        <v>1.1528571428571428</v>
      </c>
      <c r="AP53" s="14">
        <f t="shared" si="14"/>
        <v>0.42622950819672129</v>
      </c>
      <c r="AQ53" s="14"/>
      <c r="AR53" s="14">
        <f t="shared" si="15"/>
        <v>1.5790866510538641</v>
      </c>
      <c r="AS53" s="14"/>
      <c r="AT53" s="14"/>
      <c r="AU53" s="36"/>
      <c r="AV53" s="36"/>
      <c r="AW53" s="36"/>
      <c r="AX53" s="36"/>
      <c r="AY53" s="36"/>
      <c r="BC53" s="10" t="s">
        <v>259</v>
      </c>
      <c r="BD53" s="10" t="s">
        <v>2</v>
      </c>
      <c r="BE53" s="10" t="s">
        <v>3</v>
      </c>
      <c r="BF53" s="10" t="s">
        <v>264</v>
      </c>
    </row>
    <row r="54" spans="1:58" x14ac:dyDescent="0.3">
      <c r="A54" s="10" t="s">
        <v>252</v>
      </c>
      <c r="B54" s="10" t="s">
        <v>237</v>
      </c>
      <c r="C54" s="16" t="s">
        <v>254</v>
      </c>
      <c r="D54" s="16" t="s">
        <v>253</v>
      </c>
      <c r="E54" s="10" t="s">
        <v>257</v>
      </c>
      <c r="F54" s="4" t="s">
        <v>2312</v>
      </c>
      <c r="G54" s="10" t="s">
        <v>161</v>
      </c>
      <c r="H54" s="16" t="s">
        <v>17</v>
      </c>
      <c r="J54" s="16" t="s">
        <v>260</v>
      </c>
      <c r="K54" s="4" t="s">
        <v>155</v>
      </c>
      <c r="L54" s="10">
        <v>6</v>
      </c>
      <c r="M54">
        <v>6</v>
      </c>
      <c r="N54" s="10"/>
      <c r="O54" s="10">
        <v>1250</v>
      </c>
      <c r="P54" s="10"/>
      <c r="Q54" s="10">
        <f>2380+1890</f>
        <v>4270</v>
      </c>
      <c r="R54" s="10"/>
      <c r="S54" s="10"/>
      <c r="T54" s="10"/>
      <c r="U54" s="10"/>
      <c r="W54" s="10"/>
      <c r="X54" s="10"/>
      <c r="Y54" s="10">
        <v>1146</v>
      </c>
      <c r="Z54" s="10"/>
      <c r="AA54" s="5">
        <f t="shared" si="9"/>
        <v>1146</v>
      </c>
      <c r="AB54" s="10"/>
      <c r="AC54">
        <f>1300+520</f>
        <v>1820</v>
      </c>
      <c r="AE54" s="10">
        <f t="shared" si="13"/>
        <v>1820</v>
      </c>
      <c r="AL54" s="17"/>
      <c r="AO54" s="14">
        <f t="shared" si="6"/>
        <v>0.91679999999999995</v>
      </c>
      <c r="AP54" s="14">
        <f t="shared" si="14"/>
        <v>0.42622950819672129</v>
      </c>
      <c r="AQ54" s="14"/>
      <c r="AR54" s="14">
        <f t="shared" si="15"/>
        <v>1.3430295081967212</v>
      </c>
      <c r="AS54" s="14"/>
      <c r="AT54" s="14"/>
      <c r="AU54" s="36"/>
      <c r="AV54" s="36"/>
      <c r="AW54" s="36"/>
      <c r="AX54" s="36"/>
      <c r="AY54" s="36"/>
      <c r="BC54" s="10" t="s">
        <v>259</v>
      </c>
      <c r="BD54" s="10" t="s">
        <v>2</v>
      </c>
      <c r="BE54" s="10" t="s">
        <v>3</v>
      </c>
      <c r="BF54" s="10" t="s">
        <v>264</v>
      </c>
    </row>
    <row r="55" spans="1:58" x14ac:dyDescent="0.3">
      <c r="A55" s="10" t="s">
        <v>252</v>
      </c>
      <c r="B55" s="10" t="s">
        <v>237</v>
      </c>
      <c r="C55" s="16" t="s">
        <v>254</v>
      </c>
      <c r="D55" s="16" t="s">
        <v>253</v>
      </c>
      <c r="E55" t="s">
        <v>258</v>
      </c>
      <c r="F55" s="4" t="s">
        <v>2312</v>
      </c>
      <c r="G55" s="10" t="s">
        <v>161</v>
      </c>
      <c r="H55" s="16" t="s">
        <v>17</v>
      </c>
      <c r="J55" s="16" t="s">
        <v>173</v>
      </c>
      <c r="K55" s="4" t="s">
        <v>155</v>
      </c>
      <c r="L55" s="10">
        <v>6</v>
      </c>
      <c r="M55">
        <v>6</v>
      </c>
      <c r="N55" s="10"/>
      <c r="O55" s="10">
        <v>2020</v>
      </c>
      <c r="P55" s="10"/>
      <c r="Q55" s="10">
        <f>6936+3550</f>
        <v>10486</v>
      </c>
      <c r="R55" s="10"/>
      <c r="S55" s="10"/>
      <c r="T55" s="10"/>
      <c r="U55" s="10"/>
      <c r="W55" s="10"/>
      <c r="X55" s="10"/>
      <c r="Y55" s="10">
        <v>1070</v>
      </c>
      <c r="Z55" s="10"/>
      <c r="AA55" s="5">
        <f t="shared" si="9"/>
        <v>1070</v>
      </c>
      <c r="AB55" s="10"/>
      <c r="AC55" s="10">
        <v>3520</v>
      </c>
      <c r="AD55" s="10"/>
      <c r="AE55" s="10">
        <f t="shared" si="13"/>
        <v>3520</v>
      </c>
      <c r="AF55" s="10"/>
      <c r="AG55" s="10"/>
      <c r="AH55" s="10"/>
      <c r="AI55" s="10"/>
      <c r="AJ55" s="10"/>
      <c r="AK55" s="10"/>
      <c r="AL55" s="17"/>
      <c r="AO55" s="14">
        <f t="shared" si="6"/>
        <v>0.52970297029702973</v>
      </c>
      <c r="AP55" s="14">
        <f t="shared" si="14"/>
        <v>0.3356856761396147</v>
      </c>
      <c r="AQ55" s="14"/>
      <c r="AR55" s="14">
        <f t="shared" si="15"/>
        <v>0.86538864643664448</v>
      </c>
      <c r="AS55" s="14"/>
      <c r="AT55" s="14"/>
      <c r="AU55" s="36"/>
      <c r="AV55" s="36"/>
      <c r="AW55" s="36"/>
      <c r="AX55" s="36"/>
      <c r="AY55" s="36"/>
      <c r="BC55" s="10" t="s">
        <v>259</v>
      </c>
      <c r="BD55" s="10" t="s">
        <v>2</v>
      </c>
      <c r="BE55" s="10" t="s">
        <v>3</v>
      </c>
      <c r="BF55" s="10" t="s">
        <v>264</v>
      </c>
    </row>
    <row r="56" spans="1:58" x14ac:dyDescent="0.3">
      <c r="A56" s="10" t="s">
        <v>252</v>
      </c>
      <c r="B56" s="10" t="s">
        <v>237</v>
      </c>
      <c r="C56" s="16" t="s">
        <v>254</v>
      </c>
      <c r="D56" s="16" t="s">
        <v>253</v>
      </c>
      <c r="E56" t="s">
        <v>258</v>
      </c>
      <c r="F56" s="4" t="s">
        <v>2312</v>
      </c>
      <c r="G56" s="10" t="s">
        <v>161</v>
      </c>
      <c r="H56" s="16" t="s">
        <v>17</v>
      </c>
      <c r="J56" s="16" t="s">
        <v>260</v>
      </c>
      <c r="K56" s="4" t="s">
        <v>155</v>
      </c>
      <c r="L56" s="10">
        <v>6</v>
      </c>
      <c r="M56">
        <v>6</v>
      </c>
      <c r="N56" s="10"/>
      <c r="O56" s="10">
        <v>4195</v>
      </c>
      <c r="P56" s="10"/>
      <c r="Q56" s="10">
        <f>6936+3550</f>
        <v>10486</v>
      </c>
      <c r="R56" s="10"/>
      <c r="S56" s="10"/>
      <c r="T56" s="10"/>
      <c r="U56" s="10"/>
      <c r="W56" s="10"/>
      <c r="X56" s="10"/>
      <c r="Y56" s="10">
        <v>4133</v>
      </c>
      <c r="Z56" s="10"/>
      <c r="AA56" s="5">
        <f t="shared" si="9"/>
        <v>4133</v>
      </c>
      <c r="AB56" s="10"/>
      <c r="AC56" s="10">
        <v>3520</v>
      </c>
      <c r="AD56" s="10"/>
      <c r="AE56" s="10">
        <f t="shared" si="13"/>
        <v>3520</v>
      </c>
      <c r="AF56" s="10"/>
      <c r="AG56" s="10"/>
      <c r="AH56" s="10"/>
      <c r="AI56" s="10"/>
      <c r="AJ56" s="10"/>
      <c r="AK56" s="10"/>
      <c r="AL56" s="17"/>
      <c r="AO56" s="14">
        <f t="shared" si="6"/>
        <v>0.98522050059594757</v>
      </c>
      <c r="AP56" s="14">
        <f t="shared" si="14"/>
        <v>0.3356856761396147</v>
      </c>
      <c r="AQ56" s="14"/>
      <c r="AR56" s="14">
        <f t="shared" si="15"/>
        <v>1.3209061767355623</v>
      </c>
      <c r="AS56" s="14"/>
      <c r="AT56" s="14"/>
      <c r="AU56" s="36"/>
      <c r="AV56" s="36"/>
      <c r="AW56" s="36"/>
      <c r="AX56" s="36"/>
      <c r="AY56" s="36"/>
      <c r="BC56" s="10" t="s">
        <v>259</v>
      </c>
      <c r="BD56" s="10" t="s">
        <v>2</v>
      </c>
      <c r="BE56" s="10" t="s">
        <v>3</v>
      </c>
      <c r="BF56" s="10" t="s">
        <v>264</v>
      </c>
    </row>
    <row r="57" spans="1:58" x14ac:dyDescent="0.3">
      <c r="A57" s="10" t="s">
        <v>252</v>
      </c>
      <c r="B57" s="10" t="s">
        <v>237</v>
      </c>
      <c r="C57" s="16" t="s">
        <v>254</v>
      </c>
      <c r="D57" s="16" t="s">
        <v>253</v>
      </c>
      <c r="E57" s="10" t="s">
        <v>261</v>
      </c>
      <c r="F57" s="4" t="s">
        <v>2312</v>
      </c>
      <c r="G57" s="10" t="s">
        <v>161</v>
      </c>
      <c r="H57" s="16" t="s">
        <v>17</v>
      </c>
      <c r="J57" s="16" t="s">
        <v>63</v>
      </c>
      <c r="K57" s="4" t="s">
        <v>155</v>
      </c>
      <c r="L57" s="10">
        <v>9</v>
      </c>
      <c r="N57" s="10"/>
      <c r="O57" s="10">
        <v>4575</v>
      </c>
      <c r="P57" s="10"/>
      <c r="Q57" s="10">
        <v>9461</v>
      </c>
      <c r="R57" s="10"/>
      <c r="S57" s="10"/>
      <c r="T57" s="10"/>
      <c r="U57" s="10"/>
      <c r="W57" s="10"/>
      <c r="X57" s="10"/>
      <c r="Y57" s="10">
        <v>3515</v>
      </c>
      <c r="Z57" s="10"/>
      <c r="AA57" s="5">
        <f t="shared" si="9"/>
        <v>3515</v>
      </c>
      <c r="AB57" s="10"/>
      <c r="AC57">
        <v>2982</v>
      </c>
      <c r="AE57" s="10">
        <f t="shared" si="13"/>
        <v>2982</v>
      </c>
      <c r="AL57" s="17"/>
      <c r="AO57" s="14">
        <f t="shared" si="6"/>
        <v>0.76830601092896178</v>
      </c>
      <c r="AP57" s="14">
        <f t="shared" si="14"/>
        <v>0.31518866927386113</v>
      </c>
      <c r="AQ57" s="14"/>
      <c r="AR57" s="14">
        <f t="shared" si="15"/>
        <v>1.0834946802028229</v>
      </c>
      <c r="AS57" s="14"/>
      <c r="AT57" s="14"/>
      <c r="AU57" s="36"/>
      <c r="AV57" s="36"/>
      <c r="AW57" s="36"/>
      <c r="AX57" s="36"/>
      <c r="AY57" s="36"/>
      <c r="BD57" s="10" t="s">
        <v>2</v>
      </c>
      <c r="BE57" s="10" t="s">
        <v>3</v>
      </c>
      <c r="BF57" s="10" t="s">
        <v>264</v>
      </c>
    </row>
    <row r="58" spans="1:58" x14ac:dyDescent="0.3">
      <c r="A58" s="10" t="s">
        <v>252</v>
      </c>
      <c r="B58" s="10" t="s">
        <v>237</v>
      </c>
      <c r="C58" s="16" t="s">
        <v>254</v>
      </c>
      <c r="D58" s="16" t="s">
        <v>253</v>
      </c>
      <c r="E58" s="10" t="s">
        <v>261</v>
      </c>
      <c r="F58" s="4" t="s">
        <v>2312</v>
      </c>
      <c r="G58" s="10" t="s">
        <v>161</v>
      </c>
      <c r="H58" s="16" t="s">
        <v>17</v>
      </c>
      <c r="J58" s="16" t="s">
        <v>265</v>
      </c>
      <c r="K58" s="4" t="s">
        <v>155</v>
      </c>
      <c r="L58" s="10">
        <v>9</v>
      </c>
      <c r="N58" s="10"/>
      <c r="O58" s="10">
        <v>16600</v>
      </c>
      <c r="P58" s="10"/>
      <c r="Q58" s="10">
        <v>9461</v>
      </c>
      <c r="R58" s="10"/>
      <c r="S58" s="10"/>
      <c r="T58" s="10"/>
      <c r="U58" s="10"/>
      <c r="W58" s="10"/>
      <c r="X58" s="10"/>
      <c r="Y58" s="10">
        <v>11188</v>
      </c>
      <c r="Z58" s="10"/>
      <c r="AA58" s="5">
        <f t="shared" si="9"/>
        <v>11188</v>
      </c>
      <c r="AB58" s="10"/>
      <c r="AC58">
        <v>2892</v>
      </c>
      <c r="AE58" s="10">
        <f t="shared" si="13"/>
        <v>2892</v>
      </c>
      <c r="AL58" s="17"/>
      <c r="AO58" s="14">
        <f t="shared" si="6"/>
        <v>0.67397590361445781</v>
      </c>
      <c r="AP58" s="14">
        <f t="shared" si="14"/>
        <v>0.30567593277666211</v>
      </c>
      <c r="AQ58" s="14"/>
      <c r="AR58" s="14">
        <f t="shared" si="15"/>
        <v>0.97965183639111997</v>
      </c>
      <c r="AS58" s="14"/>
      <c r="AT58" s="14"/>
      <c r="AU58" s="36"/>
      <c r="AV58" s="36"/>
      <c r="AW58" s="36"/>
      <c r="AX58" s="36"/>
      <c r="AY58" s="36"/>
      <c r="BD58" s="10" t="s">
        <v>2</v>
      </c>
      <c r="BE58" s="10" t="s">
        <v>3</v>
      </c>
      <c r="BF58" s="10" t="s">
        <v>264</v>
      </c>
    </row>
    <row r="59" spans="1:58" x14ac:dyDescent="0.3">
      <c r="A59" s="10" t="s">
        <v>252</v>
      </c>
      <c r="B59" s="10" t="s">
        <v>237</v>
      </c>
      <c r="C59" s="16" t="s">
        <v>254</v>
      </c>
      <c r="D59" s="16" t="s">
        <v>253</v>
      </c>
      <c r="E59" s="10" t="s">
        <v>262</v>
      </c>
      <c r="F59" s="4" t="s">
        <v>2312</v>
      </c>
      <c r="G59" s="10" t="s">
        <v>161</v>
      </c>
      <c r="H59" s="16" t="s">
        <v>17</v>
      </c>
      <c r="J59" s="16" t="s">
        <v>63</v>
      </c>
      <c r="K59" s="4" t="s">
        <v>155</v>
      </c>
      <c r="L59" s="10">
        <v>9</v>
      </c>
      <c r="N59" s="10"/>
      <c r="O59" s="10">
        <v>3921</v>
      </c>
      <c r="P59" s="10"/>
      <c r="Q59" s="10">
        <v>13600</v>
      </c>
      <c r="R59" s="10"/>
      <c r="S59" s="10"/>
      <c r="T59" s="10"/>
      <c r="U59" s="10"/>
      <c r="W59" s="10"/>
      <c r="X59" s="10"/>
      <c r="Y59" s="10">
        <v>3730</v>
      </c>
      <c r="Z59" s="10"/>
      <c r="AA59" s="5">
        <f t="shared" si="9"/>
        <v>3730</v>
      </c>
      <c r="AB59" s="10"/>
      <c r="AC59">
        <v>6441</v>
      </c>
      <c r="AE59" s="10">
        <f t="shared" si="13"/>
        <v>6441</v>
      </c>
      <c r="AL59" s="17"/>
      <c r="AO59" s="14">
        <f t="shared" si="6"/>
        <v>0.9512879367508289</v>
      </c>
      <c r="AP59" s="14">
        <f t="shared" si="14"/>
        <v>0.47360294117647062</v>
      </c>
      <c r="AQ59" s="14"/>
      <c r="AR59" s="14">
        <f t="shared" si="15"/>
        <v>1.4248908779272995</v>
      </c>
      <c r="AS59" s="14"/>
      <c r="AT59" s="14"/>
      <c r="AU59" s="36"/>
      <c r="AV59" s="36"/>
      <c r="AW59" s="36"/>
      <c r="AX59" s="36"/>
      <c r="AY59" s="36"/>
      <c r="BD59" s="10" t="s">
        <v>2</v>
      </c>
      <c r="BE59" s="10" t="s">
        <v>3</v>
      </c>
      <c r="BF59" s="10" t="s">
        <v>264</v>
      </c>
    </row>
    <row r="60" spans="1:58" x14ac:dyDescent="0.3">
      <c r="A60" s="10" t="s">
        <v>252</v>
      </c>
      <c r="B60" s="10" t="s">
        <v>237</v>
      </c>
      <c r="C60" s="16" t="s">
        <v>254</v>
      </c>
      <c r="D60" s="16" t="s">
        <v>253</v>
      </c>
      <c r="E60" s="10" t="s">
        <v>262</v>
      </c>
      <c r="F60" s="4" t="s">
        <v>2312</v>
      </c>
      <c r="G60" s="10" t="s">
        <v>161</v>
      </c>
      <c r="H60" s="16" t="s">
        <v>17</v>
      </c>
      <c r="J60" s="16" t="s">
        <v>263</v>
      </c>
      <c r="K60" s="4" t="s">
        <v>155</v>
      </c>
      <c r="L60" s="10">
        <v>9</v>
      </c>
      <c r="N60" s="10"/>
      <c r="O60" s="10">
        <v>1473</v>
      </c>
      <c r="P60" s="10"/>
      <c r="Q60" s="10">
        <v>13600</v>
      </c>
      <c r="R60" s="10"/>
      <c r="S60" s="10"/>
      <c r="T60" s="10"/>
      <c r="U60" s="10"/>
      <c r="W60" s="10"/>
      <c r="X60" s="10"/>
      <c r="Y60" s="10">
        <v>3374</v>
      </c>
      <c r="Z60" s="10"/>
      <c r="AA60" s="5">
        <f t="shared" si="9"/>
        <v>3374</v>
      </c>
      <c r="AB60" s="10"/>
      <c r="AC60">
        <v>6441</v>
      </c>
      <c r="AE60" s="10">
        <f t="shared" si="13"/>
        <v>6441</v>
      </c>
      <c r="AL60" s="17"/>
      <c r="AO60" s="14">
        <f t="shared" si="6"/>
        <v>2.2905634758995248</v>
      </c>
      <c r="AP60" s="14">
        <f t="shared" si="14"/>
        <v>0.47360294117647062</v>
      </c>
      <c r="AQ60" s="14"/>
      <c r="AR60" s="14">
        <f t="shared" si="15"/>
        <v>2.7641664170759954</v>
      </c>
      <c r="AS60" s="14"/>
      <c r="AT60" s="14"/>
      <c r="AU60" s="36"/>
      <c r="AV60" s="36"/>
      <c r="AW60" s="36"/>
      <c r="AX60" s="36"/>
      <c r="AY60" s="36"/>
      <c r="BD60" s="10" t="s">
        <v>2</v>
      </c>
      <c r="BE60" s="10" t="s">
        <v>3</v>
      </c>
      <c r="BF60" s="10" t="s">
        <v>264</v>
      </c>
    </row>
    <row r="61" spans="1:58" x14ac:dyDescent="0.3">
      <c r="A61" s="10" t="s">
        <v>372</v>
      </c>
      <c r="B61" s="10" t="s">
        <v>193</v>
      </c>
      <c r="C61" s="16" t="s">
        <v>373</v>
      </c>
      <c r="D61" s="16" t="s">
        <v>374</v>
      </c>
      <c r="E61" s="16">
        <v>1991</v>
      </c>
      <c r="F61" s="4" t="s">
        <v>2312</v>
      </c>
      <c r="G61" s="10" t="s">
        <v>380</v>
      </c>
      <c r="H61" s="16" t="s">
        <v>377</v>
      </c>
      <c r="I61" s="16"/>
      <c r="J61" s="16" t="s">
        <v>379</v>
      </c>
      <c r="K61" s="16" t="s">
        <v>382</v>
      </c>
      <c r="L61" s="10">
        <v>4</v>
      </c>
      <c r="M61">
        <v>4</v>
      </c>
      <c r="N61" s="10"/>
      <c r="O61" s="10">
        <v>269</v>
      </c>
      <c r="P61" s="10"/>
      <c r="Q61" s="10"/>
      <c r="R61" s="10"/>
      <c r="S61" s="10"/>
      <c r="T61" s="10"/>
      <c r="U61" s="10"/>
      <c r="W61" s="10"/>
      <c r="X61" s="10"/>
      <c r="Y61" s="5">
        <v>256</v>
      </c>
      <c r="Z61" s="5"/>
      <c r="AA61" s="5">
        <f t="shared" si="9"/>
        <v>256</v>
      </c>
      <c r="AB61" s="5"/>
      <c r="AE61" s="10"/>
      <c r="AL61" s="17"/>
      <c r="AM61">
        <v>855</v>
      </c>
      <c r="AO61" s="14">
        <f t="shared" si="6"/>
        <v>0.95167286245353155</v>
      </c>
      <c r="AP61" s="14"/>
      <c r="AQ61" s="14"/>
      <c r="AR61" s="14">
        <f t="shared" si="15"/>
        <v>0.95167286245353155</v>
      </c>
      <c r="AS61" s="14"/>
      <c r="AT61" s="14"/>
      <c r="AU61" s="36"/>
      <c r="AV61" s="36"/>
      <c r="AW61" s="36"/>
      <c r="AX61" s="36"/>
      <c r="AY61" s="36"/>
      <c r="AZ61">
        <f>145+21.8</f>
        <v>166.8</v>
      </c>
      <c r="BA61" t="s">
        <v>1</v>
      </c>
      <c r="BD61" s="10" t="s">
        <v>2</v>
      </c>
      <c r="BE61" s="10" t="s">
        <v>2</v>
      </c>
    </row>
    <row r="62" spans="1:58" x14ac:dyDescent="0.3">
      <c r="A62" s="10" t="s">
        <v>372</v>
      </c>
      <c r="B62" s="10" t="s">
        <v>193</v>
      </c>
      <c r="C62" s="16" t="s">
        <v>373</v>
      </c>
      <c r="D62" s="16" t="s">
        <v>374</v>
      </c>
      <c r="E62" s="16">
        <v>1992</v>
      </c>
      <c r="F62" s="4" t="s">
        <v>2312</v>
      </c>
      <c r="G62" s="10" t="s">
        <v>380</v>
      </c>
      <c r="H62" s="16" t="s">
        <v>377</v>
      </c>
      <c r="I62" s="16"/>
      <c r="J62" s="16" t="s">
        <v>379</v>
      </c>
      <c r="K62" s="16" t="s">
        <v>382</v>
      </c>
      <c r="L62" s="10">
        <v>4</v>
      </c>
      <c r="M62">
        <v>4</v>
      </c>
      <c r="N62" s="10"/>
      <c r="O62" s="10">
        <v>1535</v>
      </c>
      <c r="P62" s="10"/>
      <c r="Q62" s="10">
        <v>2452</v>
      </c>
      <c r="R62" s="10"/>
      <c r="S62" s="10"/>
      <c r="T62" s="10"/>
      <c r="U62" s="10"/>
      <c r="W62" s="10"/>
      <c r="X62" s="10"/>
      <c r="Y62" s="5">
        <v>1273</v>
      </c>
      <c r="Z62" s="5"/>
      <c r="AA62" s="5">
        <f t="shared" si="9"/>
        <v>1273</v>
      </c>
      <c r="AB62" s="5"/>
      <c r="AC62">
        <v>2794</v>
      </c>
      <c r="AE62" s="10">
        <f t="shared" si="13"/>
        <v>2794</v>
      </c>
      <c r="AL62" s="17"/>
      <c r="AM62">
        <v>855</v>
      </c>
      <c r="AO62" s="14">
        <f t="shared" si="6"/>
        <v>0.82931596091205206</v>
      </c>
      <c r="AP62" s="14">
        <f>AC62/Q62</f>
        <v>1.1394779771615009</v>
      </c>
      <c r="AQ62" s="14"/>
      <c r="AR62" s="14">
        <f t="shared" ref="AR62:AR63" si="16">AO62+AP62</f>
        <v>1.9687939380735529</v>
      </c>
      <c r="AS62" s="14"/>
      <c r="AT62" s="14"/>
      <c r="AU62" s="36"/>
      <c r="AV62" s="36"/>
      <c r="AW62" s="36"/>
      <c r="AX62" s="36"/>
      <c r="AY62" s="36"/>
      <c r="AZ62">
        <f t="shared" ref="AZ62:AZ63" si="17">145+21.8</f>
        <v>166.8</v>
      </c>
      <c r="BA62" t="s">
        <v>1</v>
      </c>
      <c r="BD62" s="10" t="s">
        <v>2</v>
      </c>
      <c r="BE62" s="10" t="s">
        <v>3</v>
      </c>
    </row>
    <row r="63" spans="1:58" x14ac:dyDescent="0.3">
      <c r="A63" s="10" t="s">
        <v>372</v>
      </c>
      <c r="B63" s="10" t="s">
        <v>193</v>
      </c>
      <c r="C63" s="16" t="s">
        <v>373</v>
      </c>
      <c r="D63" s="16" t="s">
        <v>374</v>
      </c>
      <c r="E63" s="16">
        <v>1993</v>
      </c>
      <c r="F63" s="4" t="s">
        <v>2312</v>
      </c>
      <c r="G63" s="10" t="s">
        <v>380</v>
      </c>
      <c r="H63" s="16" t="s">
        <v>377</v>
      </c>
      <c r="I63" s="16"/>
      <c r="J63" s="16" t="s">
        <v>379</v>
      </c>
      <c r="K63" s="16" t="s">
        <v>382</v>
      </c>
      <c r="L63" s="10">
        <v>4</v>
      </c>
      <c r="M63">
        <v>4</v>
      </c>
      <c r="N63" s="10"/>
      <c r="O63" s="10">
        <v>245</v>
      </c>
      <c r="P63" s="10"/>
      <c r="Q63" s="10">
        <v>3824</v>
      </c>
      <c r="R63" s="10"/>
      <c r="S63" s="10"/>
      <c r="T63" s="10"/>
      <c r="U63" s="10"/>
      <c r="W63" s="10"/>
      <c r="X63" s="10"/>
      <c r="Y63" s="5">
        <v>426</v>
      </c>
      <c r="Z63" s="5"/>
      <c r="AA63" s="5">
        <f t="shared" si="9"/>
        <v>426</v>
      </c>
      <c r="AB63" s="5"/>
      <c r="AC63">
        <v>4311</v>
      </c>
      <c r="AE63" s="10">
        <f t="shared" si="13"/>
        <v>4311</v>
      </c>
      <c r="AL63" s="17"/>
      <c r="AM63">
        <v>855</v>
      </c>
      <c r="AO63" s="14">
        <f t="shared" si="6"/>
        <v>1.7387755102040816</v>
      </c>
      <c r="AP63" s="14">
        <f>AC63/Q63</f>
        <v>1.1273535564853556</v>
      </c>
      <c r="AQ63" s="14"/>
      <c r="AR63" s="14">
        <f t="shared" si="16"/>
        <v>2.866129066689437</v>
      </c>
      <c r="AS63" s="14"/>
      <c r="AT63" s="14"/>
      <c r="AU63" s="36"/>
      <c r="AV63" s="36"/>
      <c r="AW63" s="36"/>
      <c r="AX63" s="36"/>
      <c r="AY63" s="36"/>
      <c r="AZ63">
        <f t="shared" si="17"/>
        <v>166.8</v>
      </c>
      <c r="BA63" t="s">
        <v>1</v>
      </c>
      <c r="BD63" s="10" t="s">
        <v>2</v>
      </c>
      <c r="BE63" s="10" t="s">
        <v>3</v>
      </c>
    </row>
    <row r="64" spans="1:58" x14ac:dyDescent="0.3">
      <c r="A64" s="10" t="s">
        <v>372</v>
      </c>
      <c r="B64" s="10" t="s">
        <v>193</v>
      </c>
      <c r="C64" s="16" t="s">
        <v>373</v>
      </c>
      <c r="D64" s="16" t="s">
        <v>1996</v>
      </c>
      <c r="E64" s="16">
        <v>1991</v>
      </c>
      <c r="F64" s="4" t="s">
        <v>2312</v>
      </c>
      <c r="G64" s="10" t="s">
        <v>381</v>
      </c>
      <c r="H64" s="16" t="s">
        <v>378</v>
      </c>
      <c r="J64" s="16" t="s">
        <v>379</v>
      </c>
      <c r="K64" s="16" t="s">
        <v>382</v>
      </c>
      <c r="L64" s="10">
        <v>4</v>
      </c>
      <c r="M64">
        <v>4</v>
      </c>
      <c r="N64" s="10"/>
      <c r="O64" s="10">
        <v>269</v>
      </c>
      <c r="P64" s="10"/>
      <c r="Q64" s="10"/>
      <c r="R64" s="10"/>
      <c r="S64" s="10"/>
      <c r="T64" s="10"/>
      <c r="U64" s="10"/>
      <c r="W64" s="10"/>
      <c r="X64" s="10"/>
      <c r="Y64" s="5">
        <v>227</v>
      </c>
      <c r="Z64" s="5"/>
      <c r="AA64" s="5">
        <f t="shared" si="9"/>
        <v>227</v>
      </c>
      <c r="AB64" s="5"/>
      <c r="AE64" s="10"/>
      <c r="AL64" s="17"/>
      <c r="AM64">
        <v>777</v>
      </c>
      <c r="AO64" s="14">
        <f t="shared" si="6"/>
        <v>0.84386617100371752</v>
      </c>
      <c r="AP64" s="14"/>
      <c r="AQ64" s="14"/>
      <c r="AR64" s="14">
        <f>AO64+AP64</f>
        <v>0.84386617100371752</v>
      </c>
      <c r="AS64" s="14"/>
      <c r="AT64" s="14"/>
      <c r="AU64" s="36"/>
      <c r="AV64" s="36"/>
      <c r="AW64" s="36"/>
      <c r="AX64" s="36"/>
      <c r="AY64" s="36"/>
      <c r="AZ64">
        <f>145+20.4</f>
        <v>165.4</v>
      </c>
      <c r="BA64" t="s">
        <v>1</v>
      </c>
      <c r="BD64" s="10" t="s">
        <v>2</v>
      </c>
      <c r="BE64" s="10" t="s">
        <v>2</v>
      </c>
    </row>
    <row r="65" spans="1:58" x14ac:dyDescent="0.3">
      <c r="A65" s="10" t="s">
        <v>372</v>
      </c>
      <c r="B65" s="10" t="s">
        <v>193</v>
      </c>
      <c r="C65" s="16" t="s">
        <v>373</v>
      </c>
      <c r="D65" s="16" t="s">
        <v>1996</v>
      </c>
      <c r="E65" s="16">
        <v>1992</v>
      </c>
      <c r="F65" s="4" t="s">
        <v>2312</v>
      </c>
      <c r="G65" s="10" t="s">
        <v>381</v>
      </c>
      <c r="H65" s="16" t="s">
        <v>378</v>
      </c>
      <c r="J65" s="16" t="s">
        <v>379</v>
      </c>
      <c r="K65" s="16" t="s">
        <v>382</v>
      </c>
      <c r="L65" s="10">
        <v>4</v>
      </c>
      <c r="M65">
        <v>4</v>
      </c>
      <c r="N65" s="10"/>
      <c r="O65" s="10">
        <v>1535</v>
      </c>
      <c r="P65" s="10"/>
      <c r="Q65" s="10">
        <v>2452</v>
      </c>
      <c r="R65" s="10"/>
      <c r="S65" s="10"/>
      <c r="T65" s="10"/>
      <c r="U65" s="10"/>
      <c r="W65" s="10"/>
      <c r="X65" s="10"/>
      <c r="Y65" s="5">
        <v>1466</v>
      </c>
      <c r="Z65" s="5"/>
      <c r="AA65" s="5">
        <f t="shared" si="9"/>
        <v>1466</v>
      </c>
      <c r="AB65" s="5"/>
      <c r="AC65">
        <v>2416</v>
      </c>
      <c r="AE65" s="10">
        <f t="shared" si="13"/>
        <v>2416</v>
      </c>
      <c r="AL65" s="17"/>
      <c r="AM65">
        <v>777</v>
      </c>
      <c r="AO65" s="14">
        <f t="shared" si="6"/>
        <v>0.95504885993485344</v>
      </c>
      <c r="AP65" s="14">
        <f>AC65/Q65</f>
        <v>0.9853181076672104</v>
      </c>
      <c r="AQ65" s="14"/>
      <c r="AR65" s="14">
        <f t="shared" ref="AR65:AR69" si="18">AO65+AP65</f>
        <v>1.9403669676020638</v>
      </c>
      <c r="AS65" s="14"/>
      <c r="AT65" s="14"/>
      <c r="AU65" s="36"/>
      <c r="AV65" s="36"/>
      <c r="AW65" s="36"/>
      <c r="AX65" s="36"/>
      <c r="AY65" s="36"/>
      <c r="AZ65">
        <f t="shared" ref="AZ65:AZ66" si="19">145+20.4</f>
        <v>165.4</v>
      </c>
      <c r="BA65" t="s">
        <v>1</v>
      </c>
      <c r="BD65" s="10" t="s">
        <v>2</v>
      </c>
      <c r="BE65" s="10" t="s">
        <v>3</v>
      </c>
    </row>
    <row r="66" spans="1:58" x14ac:dyDescent="0.3">
      <c r="A66" s="10" t="s">
        <v>372</v>
      </c>
      <c r="B66" s="10" t="s">
        <v>193</v>
      </c>
      <c r="C66" s="16" t="s">
        <v>373</v>
      </c>
      <c r="D66" s="16" t="s">
        <v>1996</v>
      </c>
      <c r="E66" s="16">
        <v>1993</v>
      </c>
      <c r="F66" s="4" t="s">
        <v>2312</v>
      </c>
      <c r="G66" s="10" t="s">
        <v>381</v>
      </c>
      <c r="H66" s="16" t="s">
        <v>378</v>
      </c>
      <c r="J66" s="16" t="s">
        <v>379</v>
      </c>
      <c r="K66" s="16" t="s">
        <v>382</v>
      </c>
      <c r="L66" s="10">
        <v>4</v>
      </c>
      <c r="M66">
        <v>4</v>
      </c>
      <c r="N66" s="10"/>
      <c r="O66" s="10">
        <v>245</v>
      </c>
      <c r="P66" s="10"/>
      <c r="Q66" s="10">
        <v>3824</v>
      </c>
      <c r="R66" s="10"/>
      <c r="S66" s="10"/>
      <c r="T66" s="10"/>
      <c r="U66" s="10"/>
      <c r="W66" s="10"/>
      <c r="X66" s="10"/>
      <c r="Y66" s="5">
        <v>555</v>
      </c>
      <c r="Z66" s="5"/>
      <c r="AA66" s="5">
        <f t="shared" si="9"/>
        <v>555</v>
      </c>
      <c r="AB66" s="5"/>
      <c r="AC66">
        <v>3591</v>
      </c>
      <c r="AE66" s="10">
        <f t="shared" si="13"/>
        <v>3591</v>
      </c>
      <c r="AL66" s="17"/>
      <c r="AM66">
        <v>777</v>
      </c>
      <c r="AO66" s="14">
        <f t="shared" si="6"/>
        <v>2.2653061224489797</v>
      </c>
      <c r="AP66" s="14">
        <f>AC66/Q66</f>
        <v>0.93906903765690375</v>
      </c>
      <c r="AQ66" s="14"/>
      <c r="AR66" s="14">
        <f t="shared" si="18"/>
        <v>3.2043751601058834</v>
      </c>
      <c r="AS66" s="14"/>
      <c r="AT66" s="14"/>
      <c r="AU66" s="36"/>
      <c r="AV66" s="36"/>
      <c r="AW66" s="36"/>
      <c r="AX66" s="36"/>
      <c r="AY66" s="36"/>
      <c r="AZ66">
        <f t="shared" si="19"/>
        <v>165.4</v>
      </c>
      <c r="BA66" t="s">
        <v>1</v>
      </c>
      <c r="BD66" s="10" t="s">
        <v>2</v>
      </c>
      <c r="BE66" s="10" t="s">
        <v>3</v>
      </c>
    </row>
    <row r="67" spans="1:58" x14ac:dyDescent="0.3">
      <c r="A67" s="10" t="s">
        <v>372</v>
      </c>
      <c r="B67" s="10" t="s">
        <v>193</v>
      </c>
      <c r="C67" s="16" t="s">
        <v>373</v>
      </c>
      <c r="D67" s="16" t="s">
        <v>375</v>
      </c>
      <c r="E67" s="16">
        <v>1991</v>
      </c>
      <c r="F67" s="4" t="s">
        <v>2312</v>
      </c>
      <c r="G67" s="10" t="s">
        <v>380</v>
      </c>
      <c r="H67" s="16" t="s">
        <v>377</v>
      </c>
      <c r="I67" s="16"/>
      <c r="J67" s="16" t="s">
        <v>379</v>
      </c>
      <c r="K67" s="16" t="s">
        <v>382</v>
      </c>
      <c r="L67" s="10">
        <v>4</v>
      </c>
      <c r="M67">
        <v>4</v>
      </c>
      <c r="N67" s="10"/>
      <c r="O67" s="10">
        <v>1617</v>
      </c>
      <c r="P67" s="10"/>
      <c r="Y67" s="5">
        <v>1360</v>
      </c>
      <c r="Z67" s="5"/>
      <c r="AA67" s="5">
        <f t="shared" si="9"/>
        <v>1360</v>
      </c>
      <c r="AB67" s="5"/>
      <c r="AE67" s="10"/>
      <c r="AL67" s="17"/>
      <c r="AM67">
        <v>1224</v>
      </c>
      <c r="AO67" s="14">
        <f t="shared" si="6"/>
        <v>0.84106369820655535</v>
      </c>
      <c r="AP67" s="14"/>
      <c r="AQ67" s="14"/>
      <c r="AR67" s="14">
        <f t="shared" si="18"/>
        <v>0.84106369820655535</v>
      </c>
      <c r="AS67" s="14"/>
      <c r="AT67" s="14"/>
      <c r="AU67" s="36"/>
      <c r="AV67" s="36"/>
      <c r="AW67" s="36"/>
      <c r="AX67" s="36"/>
      <c r="AY67" s="36"/>
      <c r="AZ67">
        <v>18.5</v>
      </c>
      <c r="BA67" t="s">
        <v>1</v>
      </c>
      <c r="BD67" s="10" t="s">
        <v>2</v>
      </c>
      <c r="BE67" s="10" t="s">
        <v>2</v>
      </c>
    </row>
    <row r="68" spans="1:58" x14ac:dyDescent="0.3">
      <c r="A68" s="10" t="s">
        <v>372</v>
      </c>
      <c r="B68" s="10" t="s">
        <v>193</v>
      </c>
      <c r="C68" s="16" t="s">
        <v>373</v>
      </c>
      <c r="D68" s="16" t="s">
        <v>375</v>
      </c>
      <c r="E68" s="16">
        <v>1992</v>
      </c>
      <c r="F68" s="4" t="s">
        <v>2312</v>
      </c>
      <c r="G68" s="10" t="s">
        <v>380</v>
      </c>
      <c r="H68" s="16" t="s">
        <v>377</v>
      </c>
      <c r="I68" s="16"/>
      <c r="J68" s="16" t="s">
        <v>379</v>
      </c>
      <c r="K68" s="16" t="s">
        <v>382</v>
      </c>
      <c r="L68" s="10">
        <v>4</v>
      </c>
      <c r="M68">
        <v>4</v>
      </c>
      <c r="N68" s="10"/>
      <c r="O68" s="10">
        <v>1239</v>
      </c>
      <c r="P68" s="10"/>
      <c r="Q68">
        <v>3380</v>
      </c>
      <c r="Y68" s="5">
        <v>607</v>
      </c>
      <c r="Z68" s="5"/>
      <c r="AA68" s="5">
        <f t="shared" si="9"/>
        <v>607</v>
      </c>
      <c r="AB68" s="5"/>
      <c r="AC68">
        <v>2738</v>
      </c>
      <c r="AE68" s="10">
        <f t="shared" si="13"/>
        <v>2738</v>
      </c>
      <c r="AL68" s="17"/>
      <c r="AM68">
        <v>1224</v>
      </c>
      <c r="AO68" s="14">
        <f t="shared" si="6"/>
        <v>0.48991121872477805</v>
      </c>
      <c r="AP68" s="14">
        <f>AC68/Q68</f>
        <v>0.81005917159763319</v>
      </c>
      <c r="AQ68" s="14"/>
      <c r="AR68" s="14">
        <f t="shared" si="18"/>
        <v>1.2999703903224114</v>
      </c>
      <c r="AS68" s="14"/>
      <c r="AT68" s="14"/>
      <c r="AU68" s="36"/>
      <c r="AV68" s="36"/>
      <c r="AW68" s="36"/>
      <c r="AX68" s="36"/>
      <c r="AY68" s="36"/>
      <c r="AZ68">
        <v>18.5</v>
      </c>
      <c r="BA68" t="s">
        <v>1</v>
      </c>
      <c r="BD68" s="10" t="s">
        <v>2</v>
      </c>
      <c r="BE68" s="10" t="s">
        <v>3</v>
      </c>
    </row>
    <row r="69" spans="1:58" x14ac:dyDescent="0.3">
      <c r="A69" s="10" t="s">
        <v>372</v>
      </c>
      <c r="B69" s="10" t="s">
        <v>193</v>
      </c>
      <c r="C69" s="16" t="s">
        <v>373</v>
      </c>
      <c r="D69" s="16" t="s">
        <v>375</v>
      </c>
      <c r="E69" s="16">
        <v>1993</v>
      </c>
      <c r="F69" s="4" t="s">
        <v>2312</v>
      </c>
      <c r="G69" s="10" t="s">
        <v>380</v>
      </c>
      <c r="H69" s="16" t="s">
        <v>377</v>
      </c>
      <c r="I69" s="16"/>
      <c r="J69" s="16" t="s">
        <v>379</v>
      </c>
      <c r="K69" s="16" t="s">
        <v>382</v>
      </c>
      <c r="L69" s="10">
        <v>4</v>
      </c>
      <c r="M69">
        <v>4</v>
      </c>
      <c r="N69" s="10"/>
      <c r="O69" s="10">
        <v>654</v>
      </c>
      <c r="P69" s="10"/>
      <c r="Q69">
        <v>2994</v>
      </c>
      <c r="Y69" s="5">
        <v>846</v>
      </c>
      <c r="Z69" s="5"/>
      <c r="AA69" s="5">
        <f t="shared" si="9"/>
        <v>846</v>
      </c>
      <c r="AB69" s="5"/>
      <c r="AC69">
        <v>2871</v>
      </c>
      <c r="AE69" s="10">
        <f t="shared" si="13"/>
        <v>2871</v>
      </c>
      <c r="AL69" s="17"/>
      <c r="AM69">
        <v>1224</v>
      </c>
      <c r="AO69" s="14">
        <f t="shared" si="6"/>
        <v>1.2935779816513762</v>
      </c>
      <c r="AP69" s="14">
        <f>AC69/Q69</f>
        <v>0.9589178356713427</v>
      </c>
      <c r="AQ69" s="14"/>
      <c r="AR69" s="14">
        <f t="shared" si="18"/>
        <v>2.252495817322719</v>
      </c>
      <c r="AS69" s="14"/>
      <c r="AT69" s="14"/>
      <c r="AU69" s="36"/>
      <c r="AV69" s="36"/>
      <c r="AW69" s="36"/>
      <c r="AX69" s="36"/>
      <c r="AY69" s="36"/>
      <c r="AZ69">
        <v>18.5</v>
      </c>
      <c r="BA69" t="s">
        <v>1</v>
      </c>
      <c r="BD69" s="10" t="s">
        <v>2</v>
      </c>
      <c r="BE69" s="10" t="s">
        <v>3</v>
      </c>
    </row>
    <row r="70" spans="1:58" x14ac:dyDescent="0.3">
      <c r="A70" s="10" t="s">
        <v>372</v>
      </c>
      <c r="B70" s="10" t="s">
        <v>193</v>
      </c>
      <c r="C70" s="16" t="s">
        <v>373</v>
      </c>
      <c r="D70" s="16" t="s">
        <v>1997</v>
      </c>
      <c r="E70" s="16">
        <v>1991</v>
      </c>
      <c r="F70" s="4" t="s">
        <v>2312</v>
      </c>
      <c r="G70" s="10" t="s">
        <v>381</v>
      </c>
      <c r="H70" s="16" t="s">
        <v>378</v>
      </c>
      <c r="J70" s="16" t="s">
        <v>379</v>
      </c>
      <c r="K70" s="16" t="s">
        <v>382</v>
      </c>
      <c r="L70" s="10">
        <v>4</v>
      </c>
      <c r="M70">
        <v>4</v>
      </c>
      <c r="N70" s="10"/>
      <c r="O70" s="10">
        <v>1617</v>
      </c>
      <c r="P70" s="10"/>
      <c r="Y70" s="5">
        <v>1359</v>
      </c>
      <c r="Z70" s="5"/>
      <c r="AA70" s="5">
        <f t="shared" si="9"/>
        <v>1359</v>
      </c>
      <c r="AB70" s="5"/>
      <c r="AE70" s="10"/>
      <c r="AL70" s="17"/>
      <c r="AM70">
        <v>866</v>
      </c>
      <c r="AO70" s="14">
        <f t="shared" ref="AO70:AO101" si="20">Y70/O70</f>
        <v>0.84044526901669758</v>
      </c>
      <c r="AP70" s="14"/>
      <c r="AQ70" s="14"/>
      <c r="AR70" s="14">
        <f>AO70+AP70</f>
        <v>0.84044526901669758</v>
      </c>
      <c r="AS70" s="14"/>
      <c r="AT70" s="14"/>
      <c r="AU70" s="36"/>
      <c r="AV70" s="36"/>
      <c r="AW70" s="36"/>
      <c r="AX70" s="36"/>
      <c r="AY70" s="36"/>
      <c r="AZ70">
        <v>16.600000000000001</v>
      </c>
      <c r="BA70" t="s">
        <v>1</v>
      </c>
      <c r="BD70" s="10" t="s">
        <v>2</v>
      </c>
      <c r="BE70" s="10" t="s">
        <v>2</v>
      </c>
    </row>
    <row r="71" spans="1:58" x14ac:dyDescent="0.3">
      <c r="A71" s="10" t="s">
        <v>372</v>
      </c>
      <c r="B71" s="10" t="s">
        <v>193</v>
      </c>
      <c r="C71" s="16" t="s">
        <v>373</v>
      </c>
      <c r="D71" s="16" t="s">
        <v>1997</v>
      </c>
      <c r="E71" s="16">
        <v>1992</v>
      </c>
      <c r="F71" s="4" t="s">
        <v>2312</v>
      </c>
      <c r="G71" s="10" t="s">
        <v>381</v>
      </c>
      <c r="H71" s="16" t="s">
        <v>378</v>
      </c>
      <c r="J71" s="16" t="s">
        <v>379</v>
      </c>
      <c r="K71" s="16" t="s">
        <v>382</v>
      </c>
      <c r="L71" s="10">
        <v>4</v>
      </c>
      <c r="M71">
        <v>4</v>
      </c>
      <c r="N71" s="10"/>
      <c r="O71" s="10">
        <v>1239</v>
      </c>
      <c r="P71" s="10"/>
      <c r="Q71">
        <v>3380</v>
      </c>
      <c r="Y71" s="5">
        <v>1118</v>
      </c>
      <c r="Z71" s="5"/>
      <c r="AA71" s="5">
        <f t="shared" si="9"/>
        <v>1118</v>
      </c>
      <c r="AB71" s="5"/>
      <c r="AC71">
        <v>2707</v>
      </c>
      <c r="AE71" s="10">
        <f t="shared" si="13"/>
        <v>2707</v>
      </c>
      <c r="AL71" s="17"/>
      <c r="AM71">
        <v>866</v>
      </c>
      <c r="AO71" s="14">
        <f t="shared" si="20"/>
        <v>0.90234059725585147</v>
      </c>
      <c r="AP71" s="14">
        <f>AC71/Q71</f>
        <v>0.80088757396449706</v>
      </c>
      <c r="AQ71" s="14"/>
      <c r="AR71" s="14">
        <f t="shared" ref="AR71:AR75" si="21">AO71+AP71</f>
        <v>1.7032281712203485</v>
      </c>
      <c r="AS71" s="14"/>
      <c r="AT71" s="14"/>
      <c r="AU71" s="36"/>
      <c r="AV71" s="36"/>
      <c r="AW71" s="36"/>
      <c r="AX71" s="36"/>
      <c r="AY71" s="36"/>
      <c r="AZ71">
        <v>16.600000000000001</v>
      </c>
      <c r="BA71" t="s">
        <v>1</v>
      </c>
      <c r="BD71" s="10" t="s">
        <v>2</v>
      </c>
      <c r="BE71" s="10" t="s">
        <v>3</v>
      </c>
    </row>
    <row r="72" spans="1:58" x14ac:dyDescent="0.3">
      <c r="A72" s="10" t="s">
        <v>372</v>
      </c>
      <c r="B72" s="10" t="s">
        <v>193</v>
      </c>
      <c r="C72" s="16" t="s">
        <v>373</v>
      </c>
      <c r="D72" s="16" t="s">
        <v>1997</v>
      </c>
      <c r="E72" s="16">
        <v>1993</v>
      </c>
      <c r="F72" s="4" t="s">
        <v>2312</v>
      </c>
      <c r="G72" s="10" t="s">
        <v>381</v>
      </c>
      <c r="H72" s="16" t="s">
        <v>378</v>
      </c>
      <c r="J72" s="16" t="s">
        <v>379</v>
      </c>
      <c r="K72" s="16" t="s">
        <v>382</v>
      </c>
      <c r="L72" s="10">
        <v>4</v>
      </c>
      <c r="M72">
        <v>4</v>
      </c>
      <c r="N72" s="10"/>
      <c r="O72" s="10">
        <v>654</v>
      </c>
      <c r="P72" s="10"/>
      <c r="Q72">
        <v>2994</v>
      </c>
      <c r="Y72" s="5">
        <v>841</v>
      </c>
      <c r="Z72" s="5"/>
      <c r="AA72" s="5">
        <f t="shared" si="9"/>
        <v>841</v>
      </c>
      <c r="AB72" s="5"/>
      <c r="AC72">
        <v>2464</v>
      </c>
      <c r="AE72" s="10">
        <f t="shared" si="13"/>
        <v>2464</v>
      </c>
      <c r="AL72" s="17"/>
      <c r="AM72">
        <v>866</v>
      </c>
      <c r="AO72" s="14">
        <f t="shared" si="20"/>
        <v>1.2859327217125383</v>
      </c>
      <c r="AP72" s="14">
        <f>AC72/Q72</f>
        <v>0.82297929191716768</v>
      </c>
      <c r="AQ72" s="14"/>
      <c r="AR72" s="14">
        <f t="shared" si="21"/>
        <v>2.1089120136297059</v>
      </c>
      <c r="AS72" s="14"/>
      <c r="AT72" s="14"/>
      <c r="AU72" s="36"/>
      <c r="AV72" s="36"/>
      <c r="AW72" s="36"/>
      <c r="AX72" s="36"/>
      <c r="AY72" s="36"/>
      <c r="AZ72">
        <v>16.600000000000001</v>
      </c>
      <c r="BA72" t="s">
        <v>1</v>
      </c>
      <c r="BD72" s="10" t="s">
        <v>2</v>
      </c>
      <c r="BE72" s="10" t="s">
        <v>3</v>
      </c>
    </row>
    <row r="73" spans="1:58" x14ac:dyDescent="0.3">
      <c r="A73" s="10" t="s">
        <v>372</v>
      </c>
      <c r="B73" s="10" t="s">
        <v>193</v>
      </c>
      <c r="C73" s="16" t="s">
        <v>373</v>
      </c>
      <c r="D73" s="16" t="s">
        <v>376</v>
      </c>
      <c r="E73" s="16">
        <v>1991</v>
      </c>
      <c r="F73" s="4" t="s">
        <v>2312</v>
      </c>
      <c r="G73" s="10" t="s">
        <v>380</v>
      </c>
      <c r="H73" s="16" t="s">
        <v>377</v>
      </c>
      <c r="I73" s="16"/>
      <c r="J73" s="16" t="s">
        <v>379</v>
      </c>
      <c r="K73" s="16" t="s">
        <v>382</v>
      </c>
      <c r="L73" s="10">
        <v>4</v>
      </c>
      <c r="M73">
        <v>4</v>
      </c>
      <c r="N73" s="10"/>
      <c r="O73" s="25">
        <v>358</v>
      </c>
      <c r="P73" s="25"/>
      <c r="Y73" s="5">
        <v>572</v>
      </c>
      <c r="Z73" s="5"/>
      <c r="AA73" s="5">
        <f t="shared" si="9"/>
        <v>572</v>
      </c>
      <c r="AB73" s="5"/>
      <c r="AE73" s="10"/>
      <c r="AL73" s="17"/>
      <c r="AM73">
        <v>1651</v>
      </c>
      <c r="AO73" s="14">
        <f t="shared" si="20"/>
        <v>1.5977653631284916</v>
      </c>
      <c r="AP73" s="14"/>
      <c r="AQ73" s="14"/>
      <c r="AR73" s="14">
        <f t="shared" si="21"/>
        <v>1.5977653631284916</v>
      </c>
      <c r="AS73" s="14"/>
      <c r="AT73" s="14"/>
      <c r="AU73" s="36"/>
      <c r="AV73" s="36"/>
      <c r="AW73" s="36"/>
      <c r="AX73" s="36"/>
      <c r="AY73" s="36"/>
      <c r="AZ73">
        <v>42.4</v>
      </c>
      <c r="BA73" t="s">
        <v>1</v>
      </c>
      <c r="BD73" s="10" t="s">
        <v>2</v>
      </c>
      <c r="BE73" s="10" t="s">
        <v>2</v>
      </c>
    </row>
    <row r="74" spans="1:58" x14ac:dyDescent="0.3">
      <c r="A74" s="10" t="s">
        <v>372</v>
      </c>
      <c r="B74" s="10" t="s">
        <v>193</v>
      </c>
      <c r="C74" s="16" t="s">
        <v>373</v>
      </c>
      <c r="D74" s="16" t="s">
        <v>376</v>
      </c>
      <c r="E74" s="16">
        <v>1992</v>
      </c>
      <c r="F74" s="4" t="s">
        <v>2312</v>
      </c>
      <c r="G74" s="10" t="s">
        <v>380</v>
      </c>
      <c r="H74" s="16" t="s">
        <v>377</v>
      </c>
      <c r="I74" s="16"/>
      <c r="J74" s="16" t="s">
        <v>379</v>
      </c>
      <c r="K74" s="16" t="s">
        <v>382</v>
      </c>
      <c r="L74" s="10">
        <v>4</v>
      </c>
      <c r="M74">
        <v>4</v>
      </c>
      <c r="N74" s="10"/>
      <c r="O74" s="25">
        <v>1086</v>
      </c>
      <c r="P74" s="25"/>
      <c r="Q74">
        <v>3720</v>
      </c>
      <c r="Y74" s="5">
        <v>469</v>
      </c>
      <c r="Z74" s="5"/>
      <c r="AA74" s="5">
        <f t="shared" si="9"/>
        <v>469</v>
      </c>
      <c r="AB74" s="5"/>
      <c r="AC74">
        <v>4143</v>
      </c>
      <c r="AE74" s="10">
        <f t="shared" si="13"/>
        <v>4143</v>
      </c>
      <c r="AL74" s="17"/>
      <c r="AM74">
        <v>1651</v>
      </c>
      <c r="AO74" s="14">
        <f t="shared" si="20"/>
        <v>0.43186003683241253</v>
      </c>
      <c r="AP74" s="14">
        <f>AC74/Q74</f>
        <v>1.1137096774193549</v>
      </c>
      <c r="AQ74" s="14"/>
      <c r="AR74" s="14">
        <f t="shared" si="21"/>
        <v>1.5455697142517675</v>
      </c>
      <c r="AS74" s="14"/>
      <c r="AT74" s="14"/>
      <c r="AU74" s="36"/>
      <c r="AV74" s="36"/>
      <c r="AW74" s="36"/>
      <c r="AX74" s="36"/>
      <c r="AY74" s="36"/>
      <c r="AZ74">
        <v>42.4</v>
      </c>
      <c r="BA74" t="s">
        <v>1</v>
      </c>
      <c r="BD74" s="10" t="s">
        <v>2</v>
      </c>
      <c r="BE74" s="10" t="s">
        <v>3</v>
      </c>
    </row>
    <row r="75" spans="1:58" x14ac:dyDescent="0.3">
      <c r="A75" s="10" t="s">
        <v>372</v>
      </c>
      <c r="B75" s="10" t="s">
        <v>193</v>
      </c>
      <c r="C75" s="16" t="s">
        <v>373</v>
      </c>
      <c r="D75" s="16" t="s">
        <v>376</v>
      </c>
      <c r="E75" s="16">
        <v>1993</v>
      </c>
      <c r="F75" s="4" t="s">
        <v>2312</v>
      </c>
      <c r="G75" s="10" t="s">
        <v>380</v>
      </c>
      <c r="H75" s="16" t="s">
        <v>377</v>
      </c>
      <c r="I75" s="16"/>
      <c r="J75" s="16" t="s">
        <v>379</v>
      </c>
      <c r="K75" s="16" t="s">
        <v>382</v>
      </c>
      <c r="L75" s="10">
        <v>4</v>
      </c>
      <c r="M75">
        <v>4</v>
      </c>
      <c r="N75" s="10"/>
      <c r="O75" s="25">
        <v>712</v>
      </c>
      <c r="P75" s="25"/>
      <c r="Q75">
        <v>2414</v>
      </c>
      <c r="Y75" s="5">
        <v>777</v>
      </c>
      <c r="Z75" s="5"/>
      <c r="AA75" s="5">
        <f t="shared" si="9"/>
        <v>777</v>
      </c>
      <c r="AB75" s="5"/>
      <c r="AC75">
        <v>2472</v>
      </c>
      <c r="AE75" s="10">
        <f t="shared" si="13"/>
        <v>2472</v>
      </c>
      <c r="AL75" s="17"/>
      <c r="AM75">
        <v>1651</v>
      </c>
      <c r="AO75" s="14">
        <f t="shared" si="20"/>
        <v>1.0912921348314606</v>
      </c>
      <c r="AP75" s="14">
        <f>AC75/Q75</f>
        <v>1.0240265120132559</v>
      </c>
      <c r="AQ75" s="14"/>
      <c r="AR75" s="14">
        <f t="shared" si="21"/>
        <v>2.1153186468447167</v>
      </c>
      <c r="AS75" s="14"/>
      <c r="AT75" s="14"/>
      <c r="AU75" s="36"/>
      <c r="AV75" s="36"/>
      <c r="AW75" s="36"/>
      <c r="AX75" s="36"/>
      <c r="AY75" s="36"/>
      <c r="AZ75">
        <v>42.4</v>
      </c>
      <c r="BA75" t="s">
        <v>1</v>
      </c>
      <c r="BD75" s="10" t="s">
        <v>2</v>
      </c>
      <c r="BE75" s="10" t="s">
        <v>3</v>
      </c>
    </row>
    <row r="76" spans="1:58" x14ac:dyDescent="0.3">
      <c r="A76" s="10" t="s">
        <v>372</v>
      </c>
      <c r="B76" s="10" t="s">
        <v>193</v>
      </c>
      <c r="C76" s="16" t="s">
        <v>373</v>
      </c>
      <c r="D76" s="16" t="s">
        <v>1998</v>
      </c>
      <c r="E76" s="16">
        <v>1991</v>
      </c>
      <c r="F76" s="4" t="s">
        <v>2312</v>
      </c>
      <c r="G76" s="10" t="s">
        <v>381</v>
      </c>
      <c r="H76" s="16" t="s">
        <v>378</v>
      </c>
      <c r="J76" s="16" t="s">
        <v>379</v>
      </c>
      <c r="K76" s="16" t="s">
        <v>382</v>
      </c>
      <c r="L76" s="10">
        <v>4</v>
      </c>
      <c r="M76">
        <v>4</v>
      </c>
      <c r="N76" s="10"/>
      <c r="O76" s="25">
        <v>358</v>
      </c>
      <c r="P76" s="25"/>
      <c r="Y76" s="5">
        <v>286</v>
      </c>
      <c r="Z76" s="5"/>
      <c r="AA76" s="5">
        <f t="shared" si="9"/>
        <v>286</v>
      </c>
      <c r="AB76" s="5"/>
      <c r="AE76" s="10"/>
      <c r="AL76" s="17"/>
      <c r="AM76">
        <v>869</v>
      </c>
      <c r="AO76" s="14">
        <f t="shared" si="20"/>
        <v>0.7988826815642458</v>
      </c>
      <c r="AP76" s="14"/>
      <c r="AQ76" s="14"/>
      <c r="AR76" s="14">
        <f>AO76+AP76</f>
        <v>0.7988826815642458</v>
      </c>
      <c r="AS76" s="14"/>
      <c r="AT76" s="14"/>
      <c r="AU76" s="36"/>
      <c r="AV76" s="36"/>
      <c r="AW76" s="36"/>
      <c r="AX76" s="36"/>
      <c r="AY76" s="36"/>
      <c r="AZ76">
        <v>23.4</v>
      </c>
      <c r="BA76" t="s">
        <v>1</v>
      </c>
      <c r="BD76" s="10" t="s">
        <v>2</v>
      </c>
      <c r="BE76" s="10" t="s">
        <v>2</v>
      </c>
    </row>
    <row r="77" spans="1:58" x14ac:dyDescent="0.3">
      <c r="A77" s="10" t="s">
        <v>372</v>
      </c>
      <c r="B77" s="10" t="s">
        <v>193</v>
      </c>
      <c r="C77" s="16" t="s">
        <v>373</v>
      </c>
      <c r="D77" s="16" t="s">
        <v>1998</v>
      </c>
      <c r="E77" s="16">
        <v>1992</v>
      </c>
      <c r="F77" s="4" t="s">
        <v>2312</v>
      </c>
      <c r="G77" s="10" t="s">
        <v>381</v>
      </c>
      <c r="H77" s="16" t="s">
        <v>378</v>
      </c>
      <c r="J77" s="16" t="s">
        <v>379</v>
      </c>
      <c r="K77" s="16" t="s">
        <v>382</v>
      </c>
      <c r="L77" s="10">
        <v>4</v>
      </c>
      <c r="M77">
        <v>4</v>
      </c>
      <c r="N77" s="10"/>
      <c r="O77" s="25">
        <v>1086</v>
      </c>
      <c r="P77" s="25"/>
      <c r="Q77">
        <v>3720</v>
      </c>
      <c r="Y77" s="5">
        <v>663</v>
      </c>
      <c r="Z77" s="5"/>
      <c r="AA77" s="5">
        <f t="shared" si="9"/>
        <v>663</v>
      </c>
      <c r="AB77" s="5"/>
      <c r="AC77">
        <v>3087</v>
      </c>
      <c r="AE77" s="10">
        <f t="shared" si="13"/>
        <v>3087</v>
      </c>
      <c r="AL77" s="17"/>
      <c r="AM77">
        <v>869</v>
      </c>
      <c r="AO77" s="14">
        <f t="shared" si="20"/>
        <v>0.61049723756906082</v>
      </c>
      <c r="AP77" s="14">
        <f>AC77/Q77</f>
        <v>0.82983870967741935</v>
      </c>
      <c r="AQ77" s="14"/>
      <c r="AR77" s="14">
        <f t="shared" ref="AR77:AR82" si="22">AO77+AP77</f>
        <v>1.4403359472464801</v>
      </c>
      <c r="AS77" s="14"/>
      <c r="AT77" s="14"/>
      <c r="AU77" s="36"/>
      <c r="AV77" s="36"/>
      <c r="AW77" s="36"/>
      <c r="AX77" s="36"/>
      <c r="AY77" s="36"/>
      <c r="AZ77">
        <v>23.4</v>
      </c>
      <c r="BA77" t="s">
        <v>1</v>
      </c>
      <c r="BD77" s="10" t="s">
        <v>2</v>
      </c>
      <c r="BE77" s="10" t="s">
        <v>3</v>
      </c>
    </row>
    <row r="78" spans="1:58" x14ac:dyDescent="0.3">
      <c r="A78" s="10" t="s">
        <v>372</v>
      </c>
      <c r="B78" s="10" t="s">
        <v>193</v>
      </c>
      <c r="C78" s="16" t="s">
        <v>373</v>
      </c>
      <c r="D78" s="16" t="s">
        <v>1998</v>
      </c>
      <c r="E78" s="16">
        <v>1993</v>
      </c>
      <c r="F78" s="4" t="s">
        <v>2312</v>
      </c>
      <c r="G78" s="10" t="s">
        <v>381</v>
      </c>
      <c r="H78" s="16" t="s">
        <v>378</v>
      </c>
      <c r="J78" s="16" t="s">
        <v>379</v>
      </c>
      <c r="K78" s="16" t="s">
        <v>382</v>
      </c>
      <c r="L78" s="10">
        <v>4</v>
      </c>
      <c r="M78">
        <v>4</v>
      </c>
      <c r="N78" s="10"/>
      <c r="O78" s="25">
        <v>712</v>
      </c>
      <c r="P78" s="25"/>
      <c r="Q78">
        <v>2414</v>
      </c>
      <c r="Y78" s="5">
        <v>922</v>
      </c>
      <c r="Z78" s="5"/>
      <c r="AA78" s="5">
        <f t="shared" si="9"/>
        <v>922</v>
      </c>
      <c r="AB78" s="5"/>
      <c r="AC78">
        <v>2327</v>
      </c>
      <c r="AE78" s="10">
        <f t="shared" si="13"/>
        <v>2327</v>
      </c>
      <c r="AL78" s="17"/>
      <c r="AM78">
        <v>869</v>
      </c>
      <c r="AO78" s="14">
        <f t="shared" si="20"/>
        <v>1.2949438202247192</v>
      </c>
      <c r="AP78" s="14">
        <f>AC78/Q78</f>
        <v>0.96396023198011604</v>
      </c>
      <c r="AQ78" s="14"/>
      <c r="AR78" s="14">
        <f t="shared" si="22"/>
        <v>2.2589040522048354</v>
      </c>
      <c r="AS78" s="14"/>
      <c r="AT78" s="14"/>
      <c r="AU78" s="36"/>
      <c r="AV78" s="36"/>
      <c r="AW78" s="36"/>
      <c r="AX78" s="36"/>
      <c r="AY78" s="36"/>
      <c r="AZ78">
        <v>23.4</v>
      </c>
      <c r="BA78" t="s">
        <v>1</v>
      </c>
      <c r="BD78" s="10" t="s">
        <v>2</v>
      </c>
      <c r="BE78" s="10" t="s">
        <v>3</v>
      </c>
    </row>
    <row r="79" spans="1:58" x14ac:dyDescent="0.3">
      <c r="A79" s="10" t="s">
        <v>383</v>
      </c>
      <c r="B79" s="10" t="s">
        <v>384</v>
      </c>
      <c r="C79" s="16" t="s">
        <v>386</v>
      </c>
      <c r="D79" s="10" t="s">
        <v>385</v>
      </c>
      <c r="E79" s="16">
        <v>1989</v>
      </c>
      <c r="F79" s="4" t="s">
        <v>2312</v>
      </c>
      <c r="G79" s="10" t="s">
        <v>387</v>
      </c>
      <c r="H79" s="16" t="s">
        <v>389</v>
      </c>
      <c r="J79" s="16" t="s">
        <v>63</v>
      </c>
      <c r="K79" s="16" t="s">
        <v>155</v>
      </c>
      <c r="L79" s="10">
        <v>4</v>
      </c>
      <c r="M79">
        <v>4</v>
      </c>
      <c r="N79" s="10"/>
      <c r="O79">
        <v>1744</v>
      </c>
      <c r="P79">
        <f>185*SQRT(M79)</f>
        <v>370</v>
      </c>
      <c r="S79">
        <v>1733</v>
      </c>
      <c r="T79">
        <f>300*SQRT(M79)</f>
        <v>600</v>
      </c>
      <c r="U79" t="s">
        <v>952</v>
      </c>
      <c r="V79">
        <v>4</v>
      </c>
      <c r="Y79">
        <v>1938</v>
      </c>
      <c r="Z79">
        <f>218*SQRT(M79)</f>
        <v>436</v>
      </c>
      <c r="AA79" s="5">
        <f t="shared" si="9"/>
        <v>1938</v>
      </c>
      <c r="AB79">
        <f>Z79</f>
        <v>436</v>
      </c>
      <c r="AE79" s="10"/>
      <c r="AG79">
        <v>1689</v>
      </c>
      <c r="AH79">
        <f>225*SQRT(M79)</f>
        <v>450</v>
      </c>
      <c r="AL79" s="17"/>
      <c r="AM79">
        <v>5272</v>
      </c>
      <c r="AN79">
        <f>400*SQRT(M79)</f>
        <v>800</v>
      </c>
      <c r="AO79" s="14">
        <f t="shared" si="20"/>
        <v>1.1112385321100917</v>
      </c>
      <c r="AP79" s="14">
        <f t="shared" ref="AP79:AP86" si="23">AG79/S79</f>
        <v>0.97461050201961918</v>
      </c>
      <c r="AQ79" s="14"/>
      <c r="AR79" s="14">
        <f t="shared" si="22"/>
        <v>2.0858490341297111</v>
      </c>
      <c r="AS79" s="14"/>
      <c r="AT79" s="14"/>
      <c r="AU79" s="36">
        <f t="shared" ref="AU79:AU86" si="24">(AB79^2)/(O79^2)+(P79^2)*(AA79^2)/(O79^4)</f>
        <v>0.11808083553875529</v>
      </c>
      <c r="AV79" s="36"/>
      <c r="AW79" s="36"/>
      <c r="AX79" s="36">
        <f t="shared" ref="AX79:AX86" si="25">AU79+AV79+AW79</f>
        <v>0.11808083553875529</v>
      </c>
      <c r="AY79" s="36">
        <f t="shared" ref="AY79:AY86" si="26">SQRT(AX79)/AR79</f>
        <v>0.16474294910872142</v>
      </c>
      <c r="BD79" s="10" t="s">
        <v>2</v>
      </c>
      <c r="BE79" s="10" t="s">
        <v>3</v>
      </c>
      <c r="BF79" t="s">
        <v>936</v>
      </c>
    </row>
    <row r="80" spans="1:58" x14ac:dyDescent="0.3">
      <c r="A80" s="10" t="s">
        <v>383</v>
      </c>
      <c r="B80" s="10" t="s">
        <v>384</v>
      </c>
      <c r="C80" s="16" t="s">
        <v>386</v>
      </c>
      <c r="D80" s="10" t="s">
        <v>385</v>
      </c>
      <c r="E80" s="16">
        <v>1990</v>
      </c>
      <c r="F80" s="4" t="s">
        <v>2312</v>
      </c>
      <c r="G80" s="10" t="s">
        <v>387</v>
      </c>
      <c r="H80" s="16" t="s">
        <v>389</v>
      </c>
      <c r="J80" s="16" t="s">
        <v>63</v>
      </c>
      <c r="K80" s="16" t="s">
        <v>155</v>
      </c>
      <c r="L80" s="10">
        <v>4</v>
      </c>
      <c r="M80">
        <v>4</v>
      </c>
      <c r="N80" s="10"/>
      <c r="O80">
        <v>206</v>
      </c>
      <c r="P80">
        <f>26*SQRT(M80)</f>
        <v>52</v>
      </c>
      <c r="S80">
        <v>1733</v>
      </c>
      <c r="T80">
        <f>300*SQRT(M80)</f>
        <v>600</v>
      </c>
      <c r="U80" t="s">
        <v>952</v>
      </c>
      <c r="V80">
        <v>4</v>
      </c>
      <c r="Y80">
        <v>375</v>
      </c>
      <c r="Z80">
        <f>58*SQRT(M80)</f>
        <v>116</v>
      </c>
      <c r="AA80" s="5">
        <f t="shared" si="9"/>
        <v>375</v>
      </c>
      <c r="AB80">
        <f t="shared" ref="AB80:AB86" si="27">Z80</f>
        <v>116</v>
      </c>
      <c r="AE80" s="10"/>
      <c r="AG80">
        <v>1689</v>
      </c>
      <c r="AH80">
        <f>225*SQRT(M80)</f>
        <v>450</v>
      </c>
      <c r="AL80" s="17"/>
      <c r="AM80">
        <v>5272</v>
      </c>
      <c r="AN80">
        <f>400*SQRT(M80)</f>
        <v>800</v>
      </c>
      <c r="AO80" s="14">
        <f t="shared" si="20"/>
        <v>1.8203883495145632</v>
      </c>
      <c r="AP80" s="14">
        <f t="shared" si="23"/>
        <v>0.97461050201961918</v>
      </c>
      <c r="AQ80" s="14"/>
      <c r="AR80" s="14">
        <f t="shared" si="22"/>
        <v>2.7949988515341824</v>
      </c>
      <c r="AS80" s="14"/>
      <c r="AT80" s="14"/>
      <c r="AU80" s="36">
        <f t="shared" si="24"/>
        <v>0.52824376381380789</v>
      </c>
      <c r="AV80" s="36"/>
      <c r="AW80" s="36"/>
      <c r="AX80" s="36">
        <f t="shared" si="25"/>
        <v>0.52824376381380789</v>
      </c>
      <c r="AY80" s="36">
        <f t="shared" si="26"/>
        <v>0.2600372446246888</v>
      </c>
      <c r="BD80" s="10" t="s">
        <v>2</v>
      </c>
      <c r="BE80" s="10" t="s">
        <v>3</v>
      </c>
      <c r="BF80" t="s">
        <v>936</v>
      </c>
    </row>
    <row r="81" spans="1:59" x14ac:dyDescent="0.3">
      <c r="A81" s="10" t="s">
        <v>383</v>
      </c>
      <c r="B81" s="10" t="s">
        <v>384</v>
      </c>
      <c r="C81" s="16" t="s">
        <v>386</v>
      </c>
      <c r="D81" s="10" t="s">
        <v>385</v>
      </c>
      <c r="E81" s="16">
        <v>1991</v>
      </c>
      <c r="F81" s="4" t="s">
        <v>2312</v>
      </c>
      <c r="G81" s="10" t="s">
        <v>387</v>
      </c>
      <c r="H81" s="16" t="s">
        <v>389</v>
      </c>
      <c r="J81" s="16" t="s">
        <v>63</v>
      </c>
      <c r="K81" s="16" t="s">
        <v>155</v>
      </c>
      <c r="L81" s="10">
        <v>4</v>
      </c>
      <c r="M81">
        <v>4</v>
      </c>
      <c r="N81" s="10"/>
      <c r="O81">
        <v>563</v>
      </c>
      <c r="P81">
        <f>41*SQRT(M81)</f>
        <v>82</v>
      </c>
      <c r="S81">
        <v>1733</v>
      </c>
      <c r="T81">
        <f>300*SQRT(M81)</f>
        <v>600</v>
      </c>
      <c r="U81" t="s">
        <v>952</v>
      </c>
      <c r="V81">
        <v>4</v>
      </c>
      <c r="Y81">
        <v>180</v>
      </c>
      <c r="Z81">
        <f>38*SQRT(M81)</f>
        <v>76</v>
      </c>
      <c r="AA81" s="5">
        <f t="shared" si="9"/>
        <v>180</v>
      </c>
      <c r="AB81">
        <f t="shared" si="27"/>
        <v>76</v>
      </c>
      <c r="AE81" s="10"/>
      <c r="AG81">
        <v>1689</v>
      </c>
      <c r="AH81">
        <f>225*SQRT(M81)</f>
        <v>450</v>
      </c>
      <c r="AL81" s="17"/>
      <c r="AM81">
        <v>5272</v>
      </c>
      <c r="AN81">
        <f>400*SQRT(M81)</f>
        <v>800</v>
      </c>
      <c r="AO81" s="14">
        <f t="shared" si="20"/>
        <v>0.31971580817051509</v>
      </c>
      <c r="AP81" s="14">
        <f t="shared" si="23"/>
        <v>0.97461050201961918</v>
      </c>
      <c r="AQ81" s="14"/>
      <c r="AR81" s="14">
        <f t="shared" si="22"/>
        <v>1.2943263101901343</v>
      </c>
      <c r="AS81" s="14"/>
      <c r="AT81" s="14"/>
      <c r="AU81" s="36">
        <f t="shared" si="24"/>
        <v>2.0391000896972575E-2</v>
      </c>
      <c r="AV81" s="36"/>
      <c r="AW81" s="36"/>
      <c r="AX81" s="36">
        <f t="shared" si="25"/>
        <v>2.0391000896972575E-2</v>
      </c>
      <c r="AY81" s="36">
        <f t="shared" si="26"/>
        <v>0.11032539538888625</v>
      </c>
      <c r="BD81" s="10" t="s">
        <v>2</v>
      </c>
      <c r="BE81" s="10" t="s">
        <v>3</v>
      </c>
      <c r="BF81" t="s">
        <v>936</v>
      </c>
    </row>
    <row r="82" spans="1:59" x14ac:dyDescent="0.3">
      <c r="A82" s="10" t="s">
        <v>383</v>
      </c>
      <c r="B82" s="10" t="s">
        <v>384</v>
      </c>
      <c r="C82" s="16" t="s">
        <v>386</v>
      </c>
      <c r="D82" s="10" t="s">
        <v>385</v>
      </c>
      <c r="E82" s="16">
        <v>1992</v>
      </c>
      <c r="F82" s="4" t="s">
        <v>2312</v>
      </c>
      <c r="G82" s="10" t="s">
        <v>387</v>
      </c>
      <c r="H82" s="16" t="s">
        <v>389</v>
      </c>
      <c r="J82" s="16" t="s">
        <v>63</v>
      </c>
      <c r="K82" s="16" t="s">
        <v>155</v>
      </c>
      <c r="L82" s="10">
        <v>4</v>
      </c>
      <c r="M82">
        <v>4</v>
      </c>
      <c r="N82" s="10"/>
      <c r="O82">
        <v>313</v>
      </c>
      <c r="P82">
        <f>33*SQRT(M82)</f>
        <v>66</v>
      </c>
      <c r="S82">
        <v>1733</v>
      </c>
      <c r="T82">
        <f>300*SQRT(M82)</f>
        <v>600</v>
      </c>
      <c r="U82" t="s">
        <v>952</v>
      </c>
      <c r="V82">
        <v>4</v>
      </c>
      <c r="Y82">
        <v>293</v>
      </c>
      <c r="Z82">
        <f>29*SQRT(M82)</f>
        <v>58</v>
      </c>
      <c r="AA82" s="5">
        <f t="shared" si="9"/>
        <v>293</v>
      </c>
      <c r="AB82">
        <f t="shared" si="27"/>
        <v>58</v>
      </c>
      <c r="AE82" s="10"/>
      <c r="AG82">
        <v>1689</v>
      </c>
      <c r="AH82">
        <f>225*SQRT(M82)</f>
        <v>450</v>
      </c>
      <c r="AL82" s="17"/>
      <c r="AM82">
        <v>5272</v>
      </c>
      <c r="AN82">
        <f>400*SQRT(M82)</f>
        <v>800</v>
      </c>
      <c r="AO82" s="14">
        <f t="shared" si="20"/>
        <v>0.93610223642172519</v>
      </c>
      <c r="AP82" s="14">
        <f t="shared" si="23"/>
        <v>0.97461050201961918</v>
      </c>
      <c r="AQ82" s="14"/>
      <c r="AR82" s="14">
        <f t="shared" si="22"/>
        <v>1.9107127384413443</v>
      </c>
      <c r="AS82" s="14"/>
      <c r="AT82" s="14"/>
      <c r="AU82" s="36">
        <f t="shared" si="24"/>
        <v>7.3299797910349601E-2</v>
      </c>
      <c r="AV82" s="36"/>
      <c r="AW82" s="36"/>
      <c r="AX82" s="36">
        <f t="shared" si="25"/>
        <v>7.3299797910349601E-2</v>
      </c>
      <c r="AY82" s="36">
        <f t="shared" si="26"/>
        <v>0.1416954776868434</v>
      </c>
      <c r="BD82" s="10" t="s">
        <v>2</v>
      </c>
      <c r="BE82" s="10" t="s">
        <v>3</v>
      </c>
      <c r="BF82" t="s">
        <v>936</v>
      </c>
    </row>
    <row r="83" spans="1:59" x14ac:dyDescent="0.3">
      <c r="A83" s="10" t="s">
        <v>383</v>
      </c>
      <c r="B83" s="10" t="s">
        <v>384</v>
      </c>
      <c r="C83" s="16" t="s">
        <v>386</v>
      </c>
      <c r="D83" s="10" t="s">
        <v>385</v>
      </c>
      <c r="E83" s="16">
        <v>1989</v>
      </c>
      <c r="F83" s="4" t="s">
        <v>2312</v>
      </c>
      <c r="G83" s="10" t="s">
        <v>391</v>
      </c>
      <c r="H83" s="16" t="s">
        <v>390</v>
      </c>
      <c r="J83" s="16" t="s">
        <v>63</v>
      </c>
      <c r="K83" s="16" t="s">
        <v>55</v>
      </c>
      <c r="L83" s="10">
        <v>4</v>
      </c>
      <c r="M83">
        <v>4</v>
      </c>
      <c r="N83" s="10"/>
      <c r="O83">
        <v>1656</v>
      </c>
      <c r="P83">
        <f>156*SQRT(M83)</f>
        <v>312</v>
      </c>
      <c r="S83">
        <v>1113</v>
      </c>
      <c r="T83">
        <f>200*SQRT(M83)</f>
        <v>400</v>
      </c>
      <c r="U83" t="s">
        <v>952</v>
      </c>
      <c r="V83">
        <v>4</v>
      </c>
      <c r="Y83">
        <v>2056</v>
      </c>
      <c r="Z83">
        <f>200*SQRT(M83)</f>
        <v>400</v>
      </c>
      <c r="AA83" s="5">
        <f t="shared" si="9"/>
        <v>2056</v>
      </c>
      <c r="AB83">
        <f t="shared" si="27"/>
        <v>400</v>
      </c>
      <c r="AE83" s="10"/>
      <c r="AG83">
        <v>1102</v>
      </c>
      <c r="AH83">
        <f>178*SQRT(M83)</f>
        <v>356</v>
      </c>
      <c r="AL83" s="17"/>
      <c r="AM83">
        <v>978</v>
      </c>
      <c r="AN83">
        <f>176*SQRT(M83)</f>
        <v>352</v>
      </c>
      <c r="AO83" s="14">
        <f t="shared" si="20"/>
        <v>1.2415458937198067</v>
      </c>
      <c r="AP83" s="14">
        <f t="shared" si="23"/>
        <v>0.9901168014375562</v>
      </c>
      <c r="AQ83" s="14"/>
      <c r="AR83" s="14">
        <f t="shared" ref="AR83:AR86" si="28">AO83+AP83</f>
        <v>2.2316626951573628</v>
      </c>
      <c r="AS83" s="14"/>
      <c r="AT83" s="14"/>
      <c r="AU83" s="36">
        <f t="shared" si="24"/>
        <v>0.11306038576511082</v>
      </c>
      <c r="AV83" s="36"/>
      <c r="AW83" s="36"/>
      <c r="AX83" s="36">
        <f t="shared" si="25"/>
        <v>0.11306038576511082</v>
      </c>
      <c r="AY83" s="36">
        <f t="shared" si="26"/>
        <v>0.15066996164851254</v>
      </c>
      <c r="BD83" s="10" t="s">
        <v>2</v>
      </c>
      <c r="BE83" s="10" t="s">
        <v>3</v>
      </c>
      <c r="BF83" t="s">
        <v>936</v>
      </c>
    </row>
    <row r="84" spans="1:59" x14ac:dyDescent="0.3">
      <c r="A84" s="10" t="s">
        <v>383</v>
      </c>
      <c r="B84" s="10" t="s">
        <v>384</v>
      </c>
      <c r="C84" s="16" t="s">
        <v>386</v>
      </c>
      <c r="D84" s="10" t="s">
        <v>385</v>
      </c>
      <c r="E84" s="16">
        <v>1990</v>
      </c>
      <c r="F84" s="4" t="s">
        <v>2312</v>
      </c>
      <c r="G84" s="10" t="s">
        <v>391</v>
      </c>
      <c r="H84" s="16" t="s">
        <v>390</v>
      </c>
      <c r="J84" s="16" t="s">
        <v>63</v>
      </c>
      <c r="K84" s="16" t="s">
        <v>55</v>
      </c>
      <c r="L84" s="10">
        <v>4</v>
      </c>
      <c r="M84">
        <v>4</v>
      </c>
      <c r="N84" s="10"/>
      <c r="O84">
        <v>669</v>
      </c>
      <c r="P84">
        <f>89*SQRT(M84)</f>
        <v>178</v>
      </c>
      <c r="S84">
        <v>1113</v>
      </c>
      <c r="T84">
        <f>200*SQRT(M84)</f>
        <v>400</v>
      </c>
      <c r="U84" t="s">
        <v>952</v>
      </c>
      <c r="V84">
        <v>4</v>
      </c>
      <c r="Y84">
        <v>506</v>
      </c>
      <c r="Z84">
        <f>109*SQRT(M84)</f>
        <v>218</v>
      </c>
      <c r="AA84" s="5">
        <f t="shared" si="9"/>
        <v>506</v>
      </c>
      <c r="AB84">
        <f t="shared" si="27"/>
        <v>218</v>
      </c>
      <c r="AE84" s="10"/>
      <c r="AG84">
        <v>1102</v>
      </c>
      <c r="AH84">
        <f>178*SQRT(M84)</f>
        <v>356</v>
      </c>
      <c r="AL84" s="17"/>
      <c r="AM84">
        <v>978</v>
      </c>
      <c r="AN84">
        <f>176*SQRT(M84)</f>
        <v>352</v>
      </c>
      <c r="AO84" s="14">
        <f t="shared" si="20"/>
        <v>0.75635276532137519</v>
      </c>
      <c r="AP84" s="14">
        <f t="shared" si="23"/>
        <v>0.9901168014375562</v>
      </c>
      <c r="AQ84" s="14"/>
      <c r="AR84" s="14">
        <f t="shared" si="28"/>
        <v>1.7464695667589314</v>
      </c>
      <c r="AS84" s="14"/>
      <c r="AT84" s="14"/>
      <c r="AU84" s="36">
        <f t="shared" si="24"/>
        <v>0.14668268731128223</v>
      </c>
      <c r="AV84" s="36"/>
      <c r="AW84" s="36"/>
      <c r="AX84" s="36">
        <f t="shared" si="25"/>
        <v>0.14668268731128223</v>
      </c>
      <c r="AY84" s="36">
        <f t="shared" si="26"/>
        <v>0.21929483690580309</v>
      </c>
      <c r="BD84" s="10" t="s">
        <v>2</v>
      </c>
      <c r="BE84" s="10" t="s">
        <v>3</v>
      </c>
      <c r="BF84" t="s">
        <v>936</v>
      </c>
    </row>
    <row r="85" spans="1:59" x14ac:dyDescent="0.3">
      <c r="A85" s="10" t="s">
        <v>383</v>
      </c>
      <c r="B85" s="10" t="s">
        <v>384</v>
      </c>
      <c r="C85" s="16" t="s">
        <v>386</v>
      </c>
      <c r="D85" s="10" t="s">
        <v>385</v>
      </c>
      <c r="E85" s="16">
        <v>1991</v>
      </c>
      <c r="F85" s="4" t="s">
        <v>2312</v>
      </c>
      <c r="G85" s="10" t="s">
        <v>391</v>
      </c>
      <c r="H85" s="16" t="s">
        <v>390</v>
      </c>
      <c r="J85" s="16" t="s">
        <v>63</v>
      </c>
      <c r="K85" s="16" t="s">
        <v>55</v>
      </c>
      <c r="L85" s="10">
        <v>4</v>
      </c>
      <c r="M85">
        <v>4</v>
      </c>
      <c r="N85" s="10"/>
      <c r="O85">
        <v>113</v>
      </c>
      <c r="P85">
        <f>25*SQRT(M85)</f>
        <v>50</v>
      </c>
      <c r="S85">
        <v>1113</v>
      </c>
      <c r="T85">
        <f>200*SQRT(M85)</f>
        <v>400</v>
      </c>
      <c r="U85" t="s">
        <v>952</v>
      </c>
      <c r="V85">
        <v>4</v>
      </c>
      <c r="Y85">
        <v>88</v>
      </c>
      <c r="Z85">
        <f>27*SQRT(M85)</f>
        <v>54</v>
      </c>
      <c r="AA85" s="5">
        <f t="shared" si="9"/>
        <v>88</v>
      </c>
      <c r="AB85">
        <f t="shared" si="27"/>
        <v>54</v>
      </c>
      <c r="AE85" s="10"/>
      <c r="AG85">
        <v>1102</v>
      </c>
      <c r="AH85">
        <f>178*SQRT(M85)</f>
        <v>356</v>
      </c>
      <c r="AL85" s="17"/>
      <c r="AM85">
        <v>978</v>
      </c>
      <c r="AN85">
        <f>176*SQRT(M85)</f>
        <v>352</v>
      </c>
      <c r="AO85" s="14">
        <f t="shared" si="20"/>
        <v>0.77876106194690264</v>
      </c>
      <c r="AP85" s="14">
        <f t="shared" si="23"/>
        <v>0.9901168014375562</v>
      </c>
      <c r="AQ85" s="14"/>
      <c r="AR85" s="14">
        <f t="shared" si="28"/>
        <v>1.7688778633844588</v>
      </c>
      <c r="AS85" s="14"/>
      <c r="AT85" s="14"/>
      <c r="AU85" s="36">
        <f t="shared" si="24"/>
        <v>0.34710407855052622</v>
      </c>
      <c r="AV85" s="36"/>
      <c r="AW85" s="36"/>
      <c r="AX85" s="36">
        <f t="shared" si="25"/>
        <v>0.34710407855052622</v>
      </c>
      <c r="AY85" s="36">
        <f t="shared" si="26"/>
        <v>0.3330673114439533</v>
      </c>
      <c r="BD85" s="10" t="s">
        <v>2</v>
      </c>
      <c r="BE85" s="10" t="s">
        <v>3</v>
      </c>
      <c r="BF85" t="s">
        <v>936</v>
      </c>
    </row>
    <row r="86" spans="1:59" x14ac:dyDescent="0.3">
      <c r="A86" s="10" t="s">
        <v>383</v>
      </c>
      <c r="B86" s="10" t="s">
        <v>384</v>
      </c>
      <c r="C86" s="16" t="s">
        <v>386</v>
      </c>
      <c r="D86" s="10" t="s">
        <v>385</v>
      </c>
      <c r="E86" s="16">
        <v>1992</v>
      </c>
      <c r="F86" s="4" t="s">
        <v>2312</v>
      </c>
      <c r="G86" s="10" t="s">
        <v>391</v>
      </c>
      <c r="H86" s="16" t="s">
        <v>390</v>
      </c>
      <c r="J86" s="16" t="s">
        <v>63</v>
      </c>
      <c r="K86" s="16" t="s">
        <v>55</v>
      </c>
      <c r="L86" s="10">
        <v>4</v>
      </c>
      <c r="M86">
        <v>4</v>
      </c>
      <c r="N86" s="10"/>
      <c r="O86">
        <v>706</v>
      </c>
      <c r="P86">
        <f>123*SQRT(M86)</f>
        <v>246</v>
      </c>
      <c r="S86">
        <v>1113</v>
      </c>
      <c r="T86">
        <f>200*SQRT(M86)</f>
        <v>400</v>
      </c>
      <c r="U86" t="s">
        <v>952</v>
      </c>
      <c r="V86">
        <v>4</v>
      </c>
      <c r="Y86">
        <v>666</v>
      </c>
      <c r="Z86">
        <f>111*SQRT(M86)</f>
        <v>222</v>
      </c>
      <c r="AA86" s="5">
        <f t="shared" si="9"/>
        <v>666</v>
      </c>
      <c r="AB86">
        <f t="shared" si="27"/>
        <v>222</v>
      </c>
      <c r="AE86" s="10"/>
      <c r="AG86">
        <v>1102</v>
      </c>
      <c r="AH86">
        <f>178*SQRT(M86)</f>
        <v>356</v>
      </c>
      <c r="AL86" s="17"/>
      <c r="AM86">
        <v>978</v>
      </c>
      <c r="AN86">
        <f>176*SQRT(M86)</f>
        <v>352</v>
      </c>
      <c r="AO86" s="14">
        <f t="shared" si="20"/>
        <v>0.943342776203966</v>
      </c>
      <c r="AP86" s="14">
        <f t="shared" si="23"/>
        <v>0.9901168014375562</v>
      </c>
      <c r="AQ86" s="14"/>
      <c r="AR86" s="14">
        <f t="shared" si="28"/>
        <v>1.9334595776415222</v>
      </c>
      <c r="AS86" s="14"/>
      <c r="AT86" s="14"/>
      <c r="AU86" s="36">
        <f t="shared" si="24"/>
        <v>0.20692109264012853</v>
      </c>
      <c r="AV86" s="36"/>
      <c r="AW86" s="36"/>
      <c r="AX86" s="36">
        <f t="shared" si="25"/>
        <v>0.20692109264012853</v>
      </c>
      <c r="AY86" s="36">
        <f t="shared" si="26"/>
        <v>0.23527039665959906</v>
      </c>
      <c r="BD86" s="10" t="s">
        <v>2</v>
      </c>
      <c r="BE86" s="10" t="s">
        <v>3</v>
      </c>
      <c r="BF86" t="s">
        <v>936</v>
      </c>
    </row>
    <row r="87" spans="1:59" x14ac:dyDescent="0.3">
      <c r="A87" s="10" t="s">
        <v>392</v>
      </c>
      <c r="B87" s="10" t="s">
        <v>100</v>
      </c>
      <c r="C87" s="16" t="s">
        <v>393</v>
      </c>
      <c r="E87" s="16"/>
      <c r="F87" s="4" t="s">
        <v>2312</v>
      </c>
      <c r="G87" s="10" t="s">
        <v>387</v>
      </c>
      <c r="H87" s="16" t="s">
        <v>17</v>
      </c>
      <c r="J87" s="16" t="s">
        <v>394</v>
      </c>
      <c r="K87" s="16" t="s">
        <v>155</v>
      </c>
      <c r="L87" s="10">
        <v>3</v>
      </c>
      <c r="M87">
        <v>3</v>
      </c>
      <c r="N87" s="10"/>
      <c r="O87">
        <v>2150</v>
      </c>
      <c r="Y87">
        <v>4630</v>
      </c>
      <c r="AA87" s="5">
        <f t="shared" si="9"/>
        <v>4630</v>
      </c>
      <c r="AC87">
        <v>5300</v>
      </c>
      <c r="AE87" s="10">
        <f t="shared" si="13"/>
        <v>5300</v>
      </c>
      <c r="AL87" s="17"/>
      <c r="AO87" s="14">
        <f t="shared" si="20"/>
        <v>2.1534883720930234</v>
      </c>
      <c r="AR87" s="3">
        <f t="shared" si="15"/>
        <v>2.1534883720930234</v>
      </c>
      <c r="AS87" s="3"/>
      <c r="AT87" s="3"/>
      <c r="AU87" s="36"/>
      <c r="AV87" s="36"/>
      <c r="AW87" s="36"/>
      <c r="AX87" s="36"/>
      <c r="AY87" s="36"/>
      <c r="AZ87">
        <v>0</v>
      </c>
      <c r="BA87" s="6" t="s">
        <v>2584</v>
      </c>
      <c r="BC87" t="s">
        <v>3</v>
      </c>
      <c r="BD87" s="10" t="s">
        <v>2</v>
      </c>
      <c r="BE87" s="10" t="s">
        <v>2023</v>
      </c>
      <c r="BF87" t="s">
        <v>1912</v>
      </c>
    </row>
    <row r="88" spans="1:59" x14ac:dyDescent="0.3">
      <c r="A88" s="10" t="s">
        <v>395</v>
      </c>
      <c r="B88" s="10" t="s">
        <v>149</v>
      </c>
      <c r="C88" s="16" t="s">
        <v>396</v>
      </c>
      <c r="E88" s="10"/>
      <c r="F88" s="4" t="s">
        <v>2312</v>
      </c>
      <c r="G88" s="10" t="s">
        <v>399</v>
      </c>
      <c r="H88" s="16" t="s">
        <v>17</v>
      </c>
      <c r="J88" s="16" t="s">
        <v>63</v>
      </c>
      <c r="K88" s="10" t="s">
        <v>397</v>
      </c>
      <c r="L88" s="10">
        <v>3</v>
      </c>
      <c r="M88">
        <v>3</v>
      </c>
      <c r="N88" s="10"/>
      <c r="O88">
        <v>1900</v>
      </c>
      <c r="Y88">
        <v>3070</v>
      </c>
      <c r="AA88" s="5">
        <f t="shared" si="9"/>
        <v>3070</v>
      </c>
      <c r="AC88">
        <v>11890</v>
      </c>
      <c r="AE88" s="10">
        <f t="shared" si="13"/>
        <v>11890</v>
      </c>
      <c r="AL88" s="17"/>
      <c r="AM88">
        <v>4370</v>
      </c>
      <c r="AO88" s="14">
        <f t="shared" si="20"/>
        <v>1.6157894736842104</v>
      </c>
      <c r="AR88" s="14">
        <f t="shared" si="15"/>
        <v>1.6157894736842104</v>
      </c>
      <c r="AS88" s="14"/>
      <c r="AT88" s="14"/>
      <c r="AU88" s="36"/>
      <c r="AV88" s="36"/>
      <c r="AW88" s="36"/>
      <c r="AX88" s="36"/>
      <c r="AY88" s="36"/>
      <c r="AZ88">
        <v>0</v>
      </c>
      <c r="BA88" s="6" t="s">
        <v>2584</v>
      </c>
      <c r="BC88" t="s">
        <v>2</v>
      </c>
      <c r="BD88" s="10" t="s">
        <v>2</v>
      </c>
      <c r="BE88" s="10" t="s">
        <v>2023</v>
      </c>
      <c r="BF88" t="s">
        <v>2587</v>
      </c>
      <c r="BG88" s="10"/>
    </row>
    <row r="89" spans="1:59" x14ac:dyDescent="0.3">
      <c r="A89" s="10" t="s">
        <v>395</v>
      </c>
      <c r="B89" s="10" t="s">
        <v>149</v>
      </c>
      <c r="C89" s="16" t="s">
        <v>396</v>
      </c>
      <c r="E89" s="10"/>
      <c r="F89" s="4" t="s">
        <v>2312</v>
      </c>
      <c r="G89" s="10" t="s">
        <v>400</v>
      </c>
      <c r="H89" s="16" t="s">
        <v>17</v>
      </c>
      <c r="J89" s="16" t="s">
        <v>63</v>
      </c>
      <c r="K89" s="10" t="s">
        <v>398</v>
      </c>
      <c r="L89" s="10">
        <v>3</v>
      </c>
      <c r="M89">
        <v>3</v>
      </c>
      <c r="N89" s="10"/>
      <c r="O89">
        <v>1900</v>
      </c>
      <c r="Y89">
        <v>2995</v>
      </c>
      <c r="AA89" s="5">
        <f t="shared" si="9"/>
        <v>2995</v>
      </c>
      <c r="AC89">
        <v>16250</v>
      </c>
      <c r="AE89" s="10">
        <f t="shared" si="13"/>
        <v>16250</v>
      </c>
      <c r="AL89" s="17"/>
      <c r="AM89">
        <v>6850</v>
      </c>
      <c r="AO89" s="14">
        <f t="shared" si="20"/>
        <v>1.5763157894736841</v>
      </c>
      <c r="AR89" s="14">
        <f t="shared" si="15"/>
        <v>1.5763157894736841</v>
      </c>
      <c r="AS89" s="14"/>
      <c r="AT89" s="14"/>
      <c r="AU89" s="36"/>
      <c r="AV89" s="36"/>
      <c r="AW89" s="36"/>
      <c r="AX89" s="36"/>
      <c r="AY89" s="36"/>
      <c r="AZ89">
        <v>0</v>
      </c>
      <c r="BA89" s="6" t="s">
        <v>2584</v>
      </c>
      <c r="BC89" t="s">
        <v>2</v>
      </c>
      <c r="BD89" s="10" t="s">
        <v>2</v>
      </c>
      <c r="BE89" s="10" t="s">
        <v>2023</v>
      </c>
      <c r="BF89" t="s">
        <v>2587</v>
      </c>
      <c r="BG89" s="10"/>
    </row>
    <row r="90" spans="1:59" x14ac:dyDescent="0.3">
      <c r="A90" s="10" t="s">
        <v>395</v>
      </c>
      <c r="B90" s="10" t="s">
        <v>100</v>
      </c>
      <c r="C90" s="16" t="s">
        <v>393</v>
      </c>
      <c r="E90" s="10"/>
      <c r="F90" s="4" t="s">
        <v>2312</v>
      </c>
      <c r="G90" s="10" t="s">
        <v>399</v>
      </c>
      <c r="H90" s="16" t="s">
        <v>17</v>
      </c>
      <c r="J90" s="16" t="s">
        <v>63</v>
      </c>
      <c r="K90" s="10" t="s">
        <v>397</v>
      </c>
      <c r="L90" s="10">
        <v>3</v>
      </c>
      <c r="M90">
        <v>3</v>
      </c>
      <c r="N90" s="10"/>
      <c r="O90">
        <v>3000</v>
      </c>
      <c r="Y90">
        <v>3625</v>
      </c>
      <c r="AA90" s="5">
        <f t="shared" si="9"/>
        <v>3625</v>
      </c>
      <c r="AC90">
        <v>7610</v>
      </c>
      <c r="AE90" s="10">
        <f t="shared" si="13"/>
        <v>7610</v>
      </c>
      <c r="AL90" s="17"/>
      <c r="AM90">
        <v>3830</v>
      </c>
      <c r="AO90" s="14">
        <f t="shared" si="20"/>
        <v>1.2083333333333333</v>
      </c>
      <c r="AR90" s="14">
        <f t="shared" si="15"/>
        <v>1.2083333333333333</v>
      </c>
      <c r="AS90" s="14"/>
      <c r="AT90" s="14"/>
      <c r="AU90" s="36"/>
      <c r="AV90" s="36"/>
      <c r="AW90" s="36"/>
      <c r="AX90" s="36"/>
      <c r="AY90" s="36"/>
      <c r="AZ90">
        <v>0</v>
      </c>
      <c r="BA90" s="6" t="s">
        <v>2584</v>
      </c>
      <c r="BC90" t="s">
        <v>2</v>
      </c>
      <c r="BD90" s="10" t="s">
        <v>2</v>
      </c>
      <c r="BE90" s="10" t="s">
        <v>2023</v>
      </c>
      <c r="BF90" t="s">
        <v>2587</v>
      </c>
      <c r="BG90" s="10"/>
    </row>
    <row r="91" spans="1:59" x14ac:dyDescent="0.3">
      <c r="A91" s="10" t="s">
        <v>395</v>
      </c>
      <c r="B91" s="10" t="s">
        <v>100</v>
      </c>
      <c r="C91" s="16" t="s">
        <v>393</v>
      </c>
      <c r="E91" s="10"/>
      <c r="F91" s="4" t="s">
        <v>2312</v>
      </c>
      <c r="G91" s="10" t="s">
        <v>400</v>
      </c>
      <c r="H91" s="16" t="s">
        <v>17</v>
      </c>
      <c r="J91" s="16" t="s">
        <v>63</v>
      </c>
      <c r="K91" s="10" t="s">
        <v>398</v>
      </c>
      <c r="L91" s="10">
        <v>3</v>
      </c>
      <c r="M91">
        <v>3</v>
      </c>
      <c r="N91" s="10"/>
      <c r="O91">
        <v>3000</v>
      </c>
      <c r="Y91">
        <v>3455</v>
      </c>
      <c r="AA91" s="5">
        <f t="shared" si="9"/>
        <v>3455</v>
      </c>
      <c r="AC91">
        <v>10310</v>
      </c>
      <c r="AE91" s="10">
        <f t="shared" si="13"/>
        <v>10310</v>
      </c>
      <c r="AL91" s="17"/>
      <c r="AM91">
        <v>5020</v>
      </c>
      <c r="AO91" s="14">
        <f t="shared" si="20"/>
        <v>1.1516666666666666</v>
      </c>
      <c r="AR91" s="14">
        <f t="shared" si="15"/>
        <v>1.1516666666666666</v>
      </c>
      <c r="AS91" s="14"/>
      <c r="AT91" s="14"/>
      <c r="AU91" s="36"/>
      <c r="AV91" s="36"/>
      <c r="AW91" s="36"/>
      <c r="AX91" s="36"/>
      <c r="AY91" s="36"/>
      <c r="AZ91">
        <v>0</v>
      </c>
      <c r="BA91" s="6" t="s">
        <v>2584</v>
      </c>
      <c r="BC91" t="s">
        <v>2</v>
      </c>
      <c r="BD91" s="10" t="s">
        <v>2</v>
      </c>
      <c r="BE91" s="10" t="s">
        <v>2023</v>
      </c>
      <c r="BF91" t="s">
        <v>2587</v>
      </c>
      <c r="BG91" s="10"/>
    </row>
    <row r="92" spans="1:59" x14ac:dyDescent="0.3">
      <c r="A92" s="10" t="s">
        <v>401</v>
      </c>
      <c r="B92" s="10" t="s">
        <v>149</v>
      </c>
      <c r="C92" s="16" t="s">
        <v>396</v>
      </c>
      <c r="E92" s="10">
        <v>1993</v>
      </c>
      <c r="F92" s="4" t="s">
        <v>2312</v>
      </c>
      <c r="G92" s="10" t="s">
        <v>402</v>
      </c>
      <c r="H92" s="16" t="s">
        <v>406</v>
      </c>
      <c r="J92" s="16" t="s">
        <v>379</v>
      </c>
      <c r="K92" s="10" t="s">
        <v>403</v>
      </c>
      <c r="L92" s="10">
        <v>3</v>
      </c>
      <c r="M92">
        <v>3</v>
      </c>
      <c r="N92" s="10"/>
      <c r="O92">
        <v>210</v>
      </c>
      <c r="Q92" s="5">
        <v>2570</v>
      </c>
      <c r="R92" s="5"/>
      <c r="S92" s="5"/>
      <c r="T92" s="5"/>
      <c r="U92" s="5"/>
      <c r="W92" s="5"/>
      <c r="X92" s="5"/>
      <c r="Y92" s="5">
        <v>160</v>
      </c>
      <c r="Z92" s="5"/>
      <c r="AA92" s="5">
        <f t="shared" si="9"/>
        <v>160</v>
      </c>
      <c r="AB92" s="5"/>
      <c r="AC92" s="5">
        <v>3010</v>
      </c>
      <c r="AD92" s="5"/>
      <c r="AE92" s="10">
        <f t="shared" si="13"/>
        <v>3010</v>
      </c>
      <c r="AF92" s="5"/>
      <c r="AG92" s="5"/>
      <c r="AH92" s="5"/>
      <c r="AI92" s="5"/>
      <c r="AJ92" s="5"/>
      <c r="AK92" s="5"/>
      <c r="AL92" s="17"/>
      <c r="AO92" s="14">
        <f t="shared" si="20"/>
        <v>0.76190476190476186</v>
      </c>
      <c r="AP92" s="3">
        <f t="shared" ref="AP92:AP97" si="29">AC92/Q92</f>
        <v>1.1712062256809339</v>
      </c>
      <c r="AQ92" s="3"/>
      <c r="AR92" s="14">
        <f t="shared" si="15"/>
        <v>1.9331109875856958</v>
      </c>
      <c r="AS92" s="14"/>
      <c r="AT92" s="14"/>
      <c r="AU92" s="36"/>
      <c r="AV92" s="36"/>
      <c r="AW92" s="36"/>
      <c r="AX92" s="36"/>
      <c r="AY92" s="36"/>
      <c r="BD92" s="10" t="s">
        <v>2</v>
      </c>
      <c r="BE92" s="10" t="s">
        <v>3</v>
      </c>
    </row>
    <row r="93" spans="1:59" x14ac:dyDescent="0.3">
      <c r="A93" s="10" t="s">
        <v>401</v>
      </c>
      <c r="B93" s="10" t="s">
        <v>149</v>
      </c>
      <c r="C93" s="16" t="s">
        <v>396</v>
      </c>
      <c r="E93" s="10">
        <v>1994</v>
      </c>
      <c r="F93" s="4" t="s">
        <v>2312</v>
      </c>
      <c r="G93" s="10" t="s">
        <v>402</v>
      </c>
      <c r="H93" s="16" t="s">
        <v>406</v>
      </c>
      <c r="J93" s="16" t="s">
        <v>379</v>
      </c>
      <c r="K93" s="10" t="s">
        <v>403</v>
      </c>
      <c r="L93" s="10">
        <v>3</v>
      </c>
      <c r="M93">
        <v>3</v>
      </c>
      <c r="N93" s="10"/>
      <c r="O93">
        <v>690</v>
      </c>
      <c r="Q93" s="5">
        <v>2530</v>
      </c>
      <c r="R93" s="5"/>
      <c r="S93" s="5"/>
      <c r="T93" s="5"/>
      <c r="U93" s="5"/>
      <c r="W93" s="5"/>
      <c r="X93" s="5"/>
      <c r="Y93" s="5">
        <v>810</v>
      </c>
      <c r="Z93" s="5"/>
      <c r="AA93" s="5">
        <f t="shared" si="9"/>
        <v>810</v>
      </c>
      <c r="AB93" s="5"/>
      <c r="AC93" s="5">
        <v>1910</v>
      </c>
      <c r="AD93" s="5"/>
      <c r="AE93" s="10">
        <f t="shared" si="13"/>
        <v>1910</v>
      </c>
      <c r="AF93" s="5"/>
      <c r="AG93" s="5"/>
      <c r="AH93" s="5"/>
      <c r="AI93" s="5"/>
      <c r="AJ93" s="5"/>
      <c r="AK93" s="5"/>
      <c r="AL93" s="17"/>
      <c r="AO93" s="14">
        <f t="shared" si="20"/>
        <v>1.173913043478261</v>
      </c>
      <c r="AP93" s="3">
        <f t="shared" si="29"/>
        <v>0.75494071146245056</v>
      </c>
      <c r="AQ93" s="3"/>
      <c r="AR93" s="14">
        <f t="shared" ref="AR93:AR94" si="30">AO93+AP93</f>
        <v>1.9288537549407114</v>
      </c>
      <c r="AS93" s="14"/>
      <c r="AT93" s="14"/>
      <c r="AU93" s="36"/>
      <c r="AV93" s="36"/>
      <c r="AW93" s="36"/>
      <c r="AX93" s="36"/>
      <c r="AY93" s="36"/>
      <c r="BD93" s="10" t="s">
        <v>2</v>
      </c>
      <c r="BE93" s="10" t="s">
        <v>3</v>
      </c>
    </row>
    <row r="94" spans="1:59" x14ac:dyDescent="0.3">
      <c r="A94" s="10" t="s">
        <v>401</v>
      </c>
      <c r="B94" s="10" t="s">
        <v>149</v>
      </c>
      <c r="C94" s="16" t="s">
        <v>396</v>
      </c>
      <c r="E94" s="10">
        <v>1995</v>
      </c>
      <c r="F94" s="4" t="s">
        <v>2312</v>
      </c>
      <c r="G94" s="10" t="s">
        <v>402</v>
      </c>
      <c r="H94" s="16" t="s">
        <v>406</v>
      </c>
      <c r="J94" s="16" t="s">
        <v>379</v>
      </c>
      <c r="K94" s="10" t="s">
        <v>403</v>
      </c>
      <c r="L94" s="10">
        <v>3</v>
      </c>
      <c r="M94">
        <v>3</v>
      </c>
      <c r="N94" s="10"/>
      <c r="O94">
        <v>1170</v>
      </c>
      <c r="Q94" s="5">
        <v>4790</v>
      </c>
      <c r="R94" s="5"/>
      <c r="S94" s="5"/>
      <c r="T94" s="5"/>
      <c r="U94" s="5"/>
      <c r="W94" s="5"/>
      <c r="X94" s="5"/>
      <c r="Y94" s="5">
        <v>1320</v>
      </c>
      <c r="Z94" s="5"/>
      <c r="AA94" s="5">
        <f t="shared" si="9"/>
        <v>1320</v>
      </c>
      <c r="AB94" s="5"/>
      <c r="AC94" s="5">
        <v>3760</v>
      </c>
      <c r="AD94" s="5"/>
      <c r="AE94" s="10">
        <f t="shared" si="13"/>
        <v>3760</v>
      </c>
      <c r="AF94" s="5"/>
      <c r="AG94" s="5"/>
      <c r="AH94" s="5"/>
      <c r="AI94" s="5"/>
      <c r="AJ94" s="5"/>
      <c r="AK94" s="5"/>
      <c r="AL94" s="17"/>
      <c r="AO94" s="14">
        <f t="shared" si="20"/>
        <v>1.1282051282051282</v>
      </c>
      <c r="AP94" s="3">
        <f t="shared" si="29"/>
        <v>0.78496868475991655</v>
      </c>
      <c r="AQ94" s="3"/>
      <c r="AR94" s="14">
        <f t="shared" si="30"/>
        <v>1.9131738129650446</v>
      </c>
      <c r="AS94" s="14"/>
      <c r="AT94" s="14"/>
      <c r="AU94" s="36"/>
      <c r="AV94" s="36"/>
      <c r="AW94" s="36"/>
      <c r="AX94" s="36"/>
      <c r="AY94" s="36"/>
      <c r="BD94" s="10" t="s">
        <v>2</v>
      </c>
      <c r="BE94" s="10" t="s">
        <v>3</v>
      </c>
    </row>
    <row r="95" spans="1:59" x14ac:dyDescent="0.3">
      <c r="A95" s="10" t="s">
        <v>404</v>
      </c>
      <c r="B95" s="10" t="s">
        <v>149</v>
      </c>
      <c r="C95" s="16" t="s">
        <v>396</v>
      </c>
      <c r="E95" s="10"/>
      <c r="F95" s="4" t="s">
        <v>2312</v>
      </c>
      <c r="G95" s="10" t="s">
        <v>405</v>
      </c>
      <c r="H95" s="16" t="s">
        <v>406</v>
      </c>
      <c r="J95" s="16" t="s">
        <v>379</v>
      </c>
      <c r="K95" s="10" t="s">
        <v>405</v>
      </c>
      <c r="L95" s="10">
        <v>3</v>
      </c>
      <c r="M95">
        <v>3</v>
      </c>
      <c r="N95" s="10"/>
      <c r="O95">
        <v>2700</v>
      </c>
      <c r="Q95">
        <v>17600</v>
      </c>
      <c r="Y95">
        <v>2300</v>
      </c>
      <c r="AA95" s="5">
        <f t="shared" si="9"/>
        <v>2300</v>
      </c>
      <c r="AC95">
        <v>11900</v>
      </c>
      <c r="AE95" s="10">
        <f t="shared" si="13"/>
        <v>11900</v>
      </c>
      <c r="AL95" s="17"/>
      <c r="AM95">
        <f>(1700+5200+1800+2500+1300)/5</f>
        <v>2500</v>
      </c>
      <c r="AO95" s="14">
        <f t="shared" si="20"/>
        <v>0.85185185185185186</v>
      </c>
      <c r="AP95" s="3">
        <f t="shared" si="29"/>
        <v>0.67613636363636365</v>
      </c>
      <c r="AQ95" s="3"/>
      <c r="AR95" s="3">
        <f t="shared" si="15"/>
        <v>1.5279882154882154</v>
      </c>
      <c r="AS95" s="3"/>
      <c r="AT95" s="3"/>
      <c r="AU95" s="36"/>
      <c r="AV95" s="36"/>
      <c r="AW95" s="36"/>
      <c r="AX95" s="36"/>
      <c r="AY95" s="36"/>
      <c r="AZ95">
        <v>0</v>
      </c>
      <c r="BA95" s="6" t="s">
        <v>2584</v>
      </c>
      <c r="BB95" t="s">
        <v>2</v>
      </c>
      <c r="BD95" s="10" t="s">
        <v>2</v>
      </c>
      <c r="BE95" s="10" t="s">
        <v>2023</v>
      </c>
      <c r="BF95" t="s">
        <v>1912</v>
      </c>
    </row>
    <row r="96" spans="1:59" x14ac:dyDescent="0.3">
      <c r="A96" s="10" t="s">
        <v>407</v>
      </c>
      <c r="B96" s="10" t="s">
        <v>131</v>
      </c>
      <c r="C96" s="16" t="s">
        <v>409</v>
      </c>
      <c r="D96" s="10" t="s">
        <v>408</v>
      </c>
      <c r="E96" s="10">
        <v>1983</v>
      </c>
      <c r="F96" s="4" t="s">
        <v>2312</v>
      </c>
      <c r="G96" s="10" t="s">
        <v>410</v>
      </c>
      <c r="H96" s="16" t="s">
        <v>411</v>
      </c>
      <c r="I96" s="6" t="s">
        <v>413</v>
      </c>
      <c r="J96" s="16" t="s">
        <v>412</v>
      </c>
      <c r="K96" s="10" t="s">
        <v>57</v>
      </c>
      <c r="L96" s="10">
        <v>4</v>
      </c>
      <c r="M96">
        <v>4</v>
      </c>
      <c r="N96" s="10"/>
      <c r="O96">
        <v>3665</v>
      </c>
      <c r="Q96">
        <v>63</v>
      </c>
      <c r="S96" s="37">
        <f>0.0286172387204475*(10000/8)</f>
        <v>35.771548400559375</v>
      </c>
      <c r="U96" t="s">
        <v>955</v>
      </c>
      <c r="V96">
        <v>4</v>
      </c>
      <c r="W96">
        <v>4.5999999999999996</v>
      </c>
      <c r="X96">
        <v>8.3000000000000007</v>
      </c>
      <c r="Y96">
        <v>3205</v>
      </c>
      <c r="AA96" s="5">
        <f>Y96-Y96*AL96/10000</f>
        <v>3199.0789388523367</v>
      </c>
      <c r="AC96">
        <v>10</v>
      </c>
      <c r="AE96" s="10">
        <f t="shared" si="13"/>
        <v>10</v>
      </c>
      <c r="AG96" s="36">
        <f>0.0500349680964795*2400</f>
        <v>120.08392343155079</v>
      </c>
      <c r="AI96">
        <v>6.5</v>
      </c>
      <c r="AJ96">
        <v>9.9</v>
      </c>
      <c r="AK96">
        <v>2400</v>
      </c>
      <c r="AL96" s="20">
        <f t="shared" ref="AL96:AL97" si="31">AK96*PI()*((AJ96/100)^2)/4</f>
        <v>18.474449758700139</v>
      </c>
      <c r="AO96" s="14">
        <f t="shared" si="20"/>
        <v>0.8744884038199181</v>
      </c>
      <c r="AP96" s="3">
        <f t="shared" si="29"/>
        <v>0.15873015873015872</v>
      </c>
      <c r="AQ96" s="3"/>
      <c r="AR96" s="3">
        <f t="shared" ref="AR96:AR179" si="32">AO96+AP96</f>
        <v>1.0332185625500769</v>
      </c>
      <c r="AS96" s="3"/>
      <c r="AT96" s="3"/>
      <c r="AU96" s="36"/>
      <c r="AV96" s="36"/>
      <c r="AW96" s="36"/>
      <c r="AX96" s="36"/>
      <c r="AY96" s="36"/>
      <c r="AZ96">
        <f>150*0.26</f>
        <v>39</v>
      </c>
      <c r="BA96" t="s">
        <v>14</v>
      </c>
      <c r="BD96" s="10" t="s">
        <v>2</v>
      </c>
      <c r="BE96" s="10" t="s">
        <v>2</v>
      </c>
      <c r="BF96" s="10" t="s">
        <v>2588</v>
      </c>
    </row>
    <row r="97" spans="1:60" x14ac:dyDescent="0.3">
      <c r="A97" t="s">
        <v>407</v>
      </c>
      <c r="B97" t="s">
        <v>131</v>
      </c>
      <c r="C97" t="s">
        <v>409</v>
      </c>
      <c r="D97" t="s">
        <v>408</v>
      </c>
      <c r="E97">
        <v>1985</v>
      </c>
      <c r="F97" s="4" t="s">
        <v>2312</v>
      </c>
      <c r="G97" t="s">
        <v>410</v>
      </c>
      <c r="H97" t="s">
        <v>411</v>
      </c>
      <c r="I97" t="s">
        <v>413</v>
      </c>
      <c r="J97" t="s">
        <v>412</v>
      </c>
      <c r="K97" t="s">
        <v>57</v>
      </c>
      <c r="L97">
        <v>4</v>
      </c>
      <c r="M97">
        <v>4</v>
      </c>
      <c r="O97">
        <v>2526</v>
      </c>
      <c r="Q97">
        <v>332</v>
      </c>
      <c r="S97">
        <f>0.0286172387204475*(10000/8)</f>
        <v>35.771548400559375</v>
      </c>
      <c r="U97" t="s">
        <v>955</v>
      </c>
      <c r="V97">
        <v>4</v>
      </c>
      <c r="W97">
        <v>4.5999999999999996</v>
      </c>
      <c r="X97">
        <v>8.3000000000000007</v>
      </c>
      <c r="Y97">
        <v>467</v>
      </c>
      <c r="AA97" s="5">
        <f>Y97-Y97*AL97/10000</f>
        <v>466.13724319626868</v>
      </c>
      <c r="AC97">
        <v>24</v>
      </c>
      <c r="AE97">
        <f t="shared" si="13"/>
        <v>24</v>
      </c>
      <c r="AG97">
        <f>0.0500349680964795*2400</f>
        <v>120.08392343155079</v>
      </c>
      <c r="AI97">
        <v>6.5</v>
      </c>
      <c r="AJ97">
        <v>9.9</v>
      </c>
      <c r="AK97">
        <v>2400</v>
      </c>
      <c r="AL97" s="20">
        <f t="shared" si="31"/>
        <v>18.474449758700139</v>
      </c>
      <c r="AO97">
        <f t="shared" si="20"/>
        <v>0.18487727632620743</v>
      </c>
      <c r="AP97">
        <f t="shared" si="29"/>
        <v>7.2289156626506021E-2</v>
      </c>
      <c r="AR97">
        <f t="shared" si="32"/>
        <v>0.25716643295271346</v>
      </c>
      <c r="AZ97">
        <f>150*0.26</f>
        <v>39</v>
      </c>
      <c r="BA97" t="s">
        <v>14</v>
      </c>
      <c r="BD97" s="10" t="s">
        <v>2</v>
      </c>
      <c r="BE97" t="s">
        <v>2</v>
      </c>
      <c r="BF97" t="s">
        <v>2588</v>
      </c>
    </row>
    <row r="98" spans="1:60" x14ac:dyDescent="0.3">
      <c r="A98" s="10" t="s">
        <v>414</v>
      </c>
      <c r="B98" s="10" t="s">
        <v>131</v>
      </c>
      <c r="C98" s="16" t="s">
        <v>171</v>
      </c>
      <c r="D98" s="16" t="s">
        <v>415</v>
      </c>
      <c r="E98" s="10" t="s">
        <v>937</v>
      </c>
      <c r="F98" s="4" t="s">
        <v>2312</v>
      </c>
      <c r="G98" s="10" t="s">
        <v>387</v>
      </c>
      <c r="H98" s="16" t="s">
        <v>411</v>
      </c>
      <c r="I98" s="10" t="s">
        <v>418</v>
      </c>
      <c r="J98" s="16" t="s">
        <v>63</v>
      </c>
      <c r="K98" s="10" t="s">
        <v>155</v>
      </c>
      <c r="L98" s="10">
        <v>3</v>
      </c>
      <c r="M98">
        <v>3</v>
      </c>
      <c r="N98" s="10"/>
      <c r="O98">
        <v>2820</v>
      </c>
      <c r="S98">
        <v>7910</v>
      </c>
      <c r="U98" t="s">
        <v>956</v>
      </c>
      <c r="V98" t="s">
        <v>957</v>
      </c>
      <c r="Y98">
        <v>2410</v>
      </c>
      <c r="AA98" s="5">
        <f t="shared" si="9"/>
        <v>2410</v>
      </c>
      <c r="AG98">
        <v>1630</v>
      </c>
      <c r="AO98" s="14">
        <f t="shared" si="20"/>
        <v>0.85460992907801414</v>
      </c>
      <c r="AP98" s="3">
        <f t="shared" ref="AP98:AP133" si="33">AG98/S98</f>
        <v>0.20606826801517067</v>
      </c>
      <c r="AQ98" s="3"/>
      <c r="AR98" s="3">
        <f t="shared" ref="AR98" si="34">AO98+AP98</f>
        <v>1.0606781970931849</v>
      </c>
      <c r="AS98" s="3"/>
      <c r="AT98" s="3"/>
      <c r="AU98" s="36"/>
      <c r="AV98" s="36"/>
      <c r="AW98" s="36"/>
      <c r="AX98" s="36"/>
      <c r="AY98" s="36"/>
      <c r="AZ98">
        <v>40</v>
      </c>
      <c r="BB98" t="s">
        <v>3</v>
      </c>
      <c r="BD98" s="10" t="s">
        <v>2</v>
      </c>
      <c r="BE98" s="10" t="s">
        <v>3</v>
      </c>
    </row>
    <row r="99" spans="1:60" x14ac:dyDescent="0.3">
      <c r="A99" s="10" t="s">
        <v>414</v>
      </c>
      <c r="B99" s="10" t="s">
        <v>131</v>
      </c>
      <c r="C99" s="16" t="s">
        <v>171</v>
      </c>
      <c r="D99" s="16" t="s">
        <v>415</v>
      </c>
      <c r="E99" s="10" t="s">
        <v>938</v>
      </c>
      <c r="F99" s="4" t="s">
        <v>2312</v>
      </c>
      <c r="G99" s="10" t="s">
        <v>387</v>
      </c>
      <c r="H99" s="16" t="s">
        <v>411</v>
      </c>
      <c r="I99" s="10" t="s">
        <v>418</v>
      </c>
      <c r="J99" s="16" t="s">
        <v>63</v>
      </c>
      <c r="K99" s="10" t="s">
        <v>155</v>
      </c>
      <c r="L99" s="10">
        <v>3</v>
      </c>
      <c r="M99">
        <v>3</v>
      </c>
      <c r="N99" s="10"/>
      <c r="O99">
        <v>3090</v>
      </c>
      <c r="S99">
        <v>11670</v>
      </c>
      <c r="U99" t="s">
        <v>956</v>
      </c>
      <c r="V99" t="s">
        <v>957</v>
      </c>
      <c r="Y99">
        <v>2930</v>
      </c>
      <c r="AA99" s="5">
        <f t="shared" si="9"/>
        <v>2930</v>
      </c>
      <c r="AG99">
        <v>3320</v>
      </c>
      <c r="AO99" s="14">
        <f t="shared" si="20"/>
        <v>0.94822006472491904</v>
      </c>
      <c r="AP99" s="3">
        <f t="shared" si="33"/>
        <v>0.28449014567266495</v>
      </c>
      <c r="AQ99" s="3"/>
      <c r="AR99" s="3">
        <f t="shared" ref="AR99" si="35">AO99+AP99</f>
        <v>1.232710210397584</v>
      </c>
      <c r="AS99" s="3"/>
      <c r="AT99" s="3"/>
      <c r="AU99" s="36"/>
      <c r="AV99" s="36"/>
      <c r="AW99" s="36"/>
      <c r="AX99" s="36"/>
      <c r="AY99" s="36"/>
      <c r="AZ99">
        <v>40</v>
      </c>
      <c r="BB99" t="s">
        <v>3</v>
      </c>
      <c r="BD99" s="10" t="s">
        <v>2</v>
      </c>
      <c r="BE99" s="10" t="s">
        <v>3</v>
      </c>
    </row>
    <row r="100" spans="1:60" x14ac:dyDescent="0.3">
      <c r="A100" s="10" t="s">
        <v>414</v>
      </c>
      <c r="B100" s="10" t="s">
        <v>131</v>
      </c>
      <c r="C100" s="16" t="s">
        <v>171</v>
      </c>
      <c r="D100" s="16" t="s">
        <v>415</v>
      </c>
      <c r="E100" s="10" t="s">
        <v>940</v>
      </c>
      <c r="F100" s="4" t="s">
        <v>2312</v>
      </c>
      <c r="G100" s="10" t="s">
        <v>387</v>
      </c>
      <c r="H100" s="16" t="s">
        <v>411</v>
      </c>
      <c r="I100" s="10" t="s">
        <v>418</v>
      </c>
      <c r="J100" s="16" t="s">
        <v>63</v>
      </c>
      <c r="K100" s="10" t="s">
        <v>155</v>
      </c>
      <c r="L100" s="10">
        <v>3</v>
      </c>
      <c r="M100">
        <v>3</v>
      </c>
      <c r="N100" s="10"/>
      <c r="O100">
        <v>2890</v>
      </c>
      <c r="S100">
        <v>7130</v>
      </c>
      <c r="U100" t="s">
        <v>956</v>
      </c>
      <c r="V100" t="s">
        <v>957</v>
      </c>
      <c r="Y100">
        <v>2800</v>
      </c>
      <c r="AA100" s="5">
        <f t="shared" si="9"/>
        <v>2800</v>
      </c>
      <c r="AG100">
        <v>2140</v>
      </c>
      <c r="AO100" s="14">
        <f t="shared" si="20"/>
        <v>0.96885813148788924</v>
      </c>
      <c r="AP100" s="3">
        <f t="shared" si="33"/>
        <v>0.30014025245441794</v>
      </c>
      <c r="AQ100" s="3"/>
      <c r="AR100" s="3">
        <f t="shared" ref="AR100" si="36">AO100+AP100</f>
        <v>1.2689983839423071</v>
      </c>
      <c r="AS100" s="3"/>
      <c r="AT100" s="3"/>
      <c r="AU100" s="36"/>
      <c r="AV100" s="36"/>
      <c r="AW100" s="36"/>
      <c r="AX100" s="36"/>
      <c r="AY100" s="36"/>
      <c r="AZ100">
        <v>40</v>
      </c>
      <c r="BB100" t="s">
        <v>3</v>
      </c>
      <c r="BD100" s="10" t="s">
        <v>2</v>
      </c>
      <c r="BE100" s="10" t="s">
        <v>3</v>
      </c>
    </row>
    <row r="101" spans="1:60" x14ac:dyDescent="0.3">
      <c r="A101" s="10" t="s">
        <v>414</v>
      </c>
      <c r="B101" s="10" t="s">
        <v>131</v>
      </c>
      <c r="C101" s="16" t="s">
        <v>171</v>
      </c>
      <c r="D101" s="16" t="s">
        <v>415</v>
      </c>
      <c r="E101" s="10" t="s">
        <v>939</v>
      </c>
      <c r="F101" s="4" t="s">
        <v>2312</v>
      </c>
      <c r="G101" s="10" t="s">
        <v>387</v>
      </c>
      <c r="H101" s="16" t="s">
        <v>411</v>
      </c>
      <c r="I101" s="10" t="s">
        <v>418</v>
      </c>
      <c r="J101" s="16" t="s">
        <v>63</v>
      </c>
      <c r="K101" s="10" t="s">
        <v>155</v>
      </c>
      <c r="L101" s="10">
        <v>3</v>
      </c>
      <c r="M101">
        <v>3</v>
      </c>
      <c r="N101" s="10"/>
      <c r="O101">
        <v>3060</v>
      </c>
      <c r="S101">
        <v>12870</v>
      </c>
      <c r="U101" t="s">
        <v>956</v>
      </c>
      <c r="V101" t="s">
        <v>957</v>
      </c>
      <c r="Y101">
        <v>2040</v>
      </c>
      <c r="AA101" s="5">
        <f t="shared" si="9"/>
        <v>2040</v>
      </c>
      <c r="AG101">
        <v>4230</v>
      </c>
      <c r="AO101" s="14">
        <f t="shared" si="20"/>
        <v>0.66666666666666663</v>
      </c>
      <c r="AP101" s="3">
        <f t="shared" si="33"/>
        <v>0.32867132867132864</v>
      </c>
      <c r="AQ101" s="3"/>
      <c r="AR101" s="3">
        <f t="shared" ref="AR101" si="37">AO101+AP101</f>
        <v>0.99533799533799527</v>
      </c>
      <c r="AS101" s="3"/>
      <c r="AT101" s="3"/>
      <c r="AU101" s="36"/>
      <c r="AV101" s="36"/>
      <c r="AW101" s="36"/>
      <c r="AX101" s="36"/>
      <c r="AY101" s="36"/>
      <c r="AZ101">
        <v>40</v>
      </c>
      <c r="BB101" t="s">
        <v>3</v>
      </c>
      <c r="BD101" s="10" t="s">
        <v>2</v>
      </c>
      <c r="BE101" s="10" t="s">
        <v>3</v>
      </c>
    </row>
    <row r="102" spans="1:60" x14ac:dyDescent="0.3">
      <c r="A102" s="10" t="s">
        <v>414</v>
      </c>
      <c r="B102" s="10" t="s">
        <v>131</v>
      </c>
      <c r="C102" s="16" t="s">
        <v>171</v>
      </c>
      <c r="D102" s="16" t="s">
        <v>415</v>
      </c>
      <c r="E102" s="10" t="s">
        <v>941</v>
      </c>
      <c r="F102" s="4" t="s">
        <v>2312</v>
      </c>
      <c r="G102" s="10" t="s">
        <v>387</v>
      </c>
      <c r="H102" s="16" t="s">
        <v>411</v>
      </c>
      <c r="I102" s="10" t="s">
        <v>418</v>
      </c>
      <c r="J102" s="16" t="s">
        <v>63</v>
      </c>
      <c r="K102" s="10" t="s">
        <v>155</v>
      </c>
      <c r="L102" s="10">
        <v>3</v>
      </c>
      <c r="M102">
        <v>3</v>
      </c>
      <c r="N102" s="10"/>
      <c r="O102">
        <v>1270</v>
      </c>
      <c r="S102">
        <v>7100</v>
      </c>
      <c r="U102" t="s">
        <v>956</v>
      </c>
      <c r="V102" t="s">
        <v>957</v>
      </c>
      <c r="Y102">
        <v>1240</v>
      </c>
      <c r="AA102" s="5">
        <f t="shared" si="9"/>
        <v>1240</v>
      </c>
      <c r="AG102">
        <v>2270</v>
      </c>
      <c r="AO102" s="14">
        <f t="shared" ref="AO102:AO133" si="38">Y102/O102</f>
        <v>0.97637795275590555</v>
      </c>
      <c r="AP102" s="3">
        <f t="shared" si="33"/>
        <v>0.31971830985915495</v>
      </c>
      <c r="AQ102" s="3"/>
      <c r="AR102" s="3">
        <f t="shared" ref="AR102" si="39">AO102+AP102</f>
        <v>1.2960962626150605</v>
      </c>
      <c r="AS102" s="3"/>
      <c r="AT102" s="3"/>
      <c r="AU102" s="36"/>
      <c r="AV102" s="36"/>
      <c r="AW102" s="36"/>
      <c r="AX102" s="36"/>
      <c r="AY102" s="36"/>
      <c r="AZ102">
        <v>40</v>
      </c>
      <c r="BB102" t="s">
        <v>3</v>
      </c>
      <c r="BD102" s="10" t="s">
        <v>2</v>
      </c>
      <c r="BE102" s="10" t="s">
        <v>3</v>
      </c>
    </row>
    <row r="103" spans="1:60" x14ac:dyDescent="0.3">
      <c r="A103" s="10" t="s">
        <v>414</v>
      </c>
      <c r="B103" s="10" t="s">
        <v>131</v>
      </c>
      <c r="C103" s="16" t="s">
        <v>171</v>
      </c>
      <c r="D103" s="16" t="s">
        <v>415</v>
      </c>
      <c r="E103" s="10" t="s">
        <v>942</v>
      </c>
      <c r="F103" s="4" t="s">
        <v>2312</v>
      </c>
      <c r="G103" s="10" t="s">
        <v>387</v>
      </c>
      <c r="H103" s="16" t="s">
        <v>411</v>
      </c>
      <c r="I103" s="10" t="s">
        <v>418</v>
      </c>
      <c r="J103" s="16" t="s">
        <v>63</v>
      </c>
      <c r="K103" s="10" t="s">
        <v>155</v>
      </c>
      <c r="L103" s="10">
        <v>3</v>
      </c>
      <c r="M103">
        <v>3</v>
      </c>
      <c r="N103" s="10"/>
      <c r="O103">
        <v>2620</v>
      </c>
      <c r="S103">
        <v>4900</v>
      </c>
      <c r="U103" t="s">
        <v>956</v>
      </c>
      <c r="V103" t="s">
        <v>957</v>
      </c>
      <c r="Y103">
        <v>2130</v>
      </c>
      <c r="AA103" s="5">
        <f t="shared" ref="AA103:AA165" si="40">Y103</f>
        <v>2130</v>
      </c>
      <c r="AG103">
        <v>1820</v>
      </c>
      <c r="AO103" s="14">
        <f t="shared" si="38"/>
        <v>0.81297709923664119</v>
      </c>
      <c r="AP103" s="3">
        <f t="shared" si="33"/>
        <v>0.37142857142857144</v>
      </c>
      <c r="AQ103" s="3"/>
      <c r="AR103" s="3">
        <f t="shared" ref="AR103:AR108" si="41">AO103+AP103</f>
        <v>1.1844056706652126</v>
      </c>
      <c r="AS103" s="3"/>
      <c r="AT103" s="3"/>
      <c r="AU103" s="36"/>
      <c r="AV103" s="36"/>
      <c r="AW103" s="36"/>
      <c r="AX103" s="36"/>
      <c r="AY103" s="36"/>
      <c r="AZ103">
        <v>40</v>
      </c>
      <c r="BB103" t="s">
        <v>3</v>
      </c>
      <c r="BD103" s="10" t="s">
        <v>2</v>
      </c>
      <c r="BE103" s="10" t="s">
        <v>3</v>
      </c>
    </row>
    <row r="104" spans="1:60" x14ac:dyDescent="0.3">
      <c r="A104" s="10" t="s">
        <v>414</v>
      </c>
      <c r="B104" s="10" t="s">
        <v>131</v>
      </c>
      <c r="C104" s="16" t="s">
        <v>171</v>
      </c>
      <c r="D104" s="16" t="s">
        <v>415</v>
      </c>
      <c r="E104" s="10" t="s">
        <v>937</v>
      </c>
      <c r="F104" s="4" t="s">
        <v>2312</v>
      </c>
      <c r="G104" s="10" t="s">
        <v>387</v>
      </c>
      <c r="H104" s="16" t="s">
        <v>411</v>
      </c>
      <c r="I104" t="s">
        <v>419</v>
      </c>
      <c r="J104" s="16" t="s">
        <v>63</v>
      </c>
      <c r="K104" s="10" t="s">
        <v>155</v>
      </c>
      <c r="L104" s="10">
        <v>3</v>
      </c>
      <c r="M104">
        <v>3</v>
      </c>
      <c r="N104" s="10"/>
      <c r="O104">
        <v>2820</v>
      </c>
      <c r="S104">
        <v>7910</v>
      </c>
      <c r="U104" t="s">
        <v>956</v>
      </c>
      <c r="V104" t="s">
        <v>957</v>
      </c>
      <c r="Y104" s="10">
        <v>1820</v>
      </c>
      <c r="Z104" s="1"/>
      <c r="AA104" s="5">
        <f t="shared" si="40"/>
        <v>1820</v>
      </c>
      <c r="AB104" s="1"/>
      <c r="AC104" s="1"/>
      <c r="AD104" s="1"/>
      <c r="AE104" s="1"/>
      <c r="AF104" s="1"/>
      <c r="AG104" s="10">
        <v>1410</v>
      </c>
      <c r="AH104" s="1"/>
      <c r="AI104" s="1"/>
      <c r="AJ104" s="1"/>
      <c r="AK104" s="1"/>
      <c r="AL104" s="1"/>
      <c r="AM104" s="1"/>
      <c r="AN104" s="1"/>
      <c r="AO104" s="14">
        <f t="shared" si="38"/>
        <v>0.64539007092198586</v>
      </c>
      <c r="AP104" s="14">
        <f t="shared" si="33"/>
        <v>0.17825537294563842</v>
      </c>
      <c r="AQ104" s="14"/>
      <c r="AR104" s="14">
        <f t="shared" si="41"/>
        <v>0.82364544386762428</v>
      </c>
      <c r="AS104" s="14"/>
      <c r="AT104" s="14"/>
      <c r="AU104" s="36"/>
      <c r="AV104" s="36"/>
      <c r="AW104" s="36"/>
      <c r="AX104" s="36"/>
      <c r="AY104" s="36"/>
      <c r="AZ104" s="10">
        <v>40</v>
      </c>
      <c r="BA104" s="10"/>
      <c r="BB104" s="10" t="s">
        <v>3</v>
      </c>
      <c r="BC104" s="10"/>
      <c r="BD104" s="10" t="s">
        <v>2</v>
      </c>
      <c r="BE104" s="10" t="s">
        <v>3</v>
      </c>
      <c r="BF104" s="10"/>
      <c r="BG104" s="10"/>
      <c r="BH104" s="1"/>
    </row>
    <row r="105" spans="1:60" x14ac:dyDescent="0.3">
      <c r="A105" s="10" t="s">
        <v>414</v>
      </c>
      <c r="B105" s="10" t="s">
        <v>131</v>
      </c>
      <c r="C105" s="16" t="s">
        <v>171</v>
      </c>
      <c r="D105" s="16" t="s">
        <v>415</v>
      </c>
      <c r="E105" s="10" t="s">
        <v>938</v>
      </c>
      <c r="F105" s="4" t="s">
        <v>2312</v>
      </c>
      <c r="G105" s="10" t="s">
        <v>387</v>
      </c>
      <c r="H105" s="16" t="s">
        <v>411</v>
      </c>
      <c r="I105" t="s">
        <v>419</v>
      </c>
      <c r="J105" s="16" t="s">
        <v>63</v>
      </c>
      <c r="K105" s="10" t="s">
        <v>155</v>
      </c>
      <c r="L105" s="10">
        <v>3</v>
      </c>
      <c r="M105">
        <v>3</v>
      </c>
      <c r="N105" s="10"/>
      <c r="O105">
        <v>3090</v>
      </c>
      <c r="S105">
        <v>11670</v>
      </c>
      <c r="U105" t="s">
        <v>956</v>
      </c>
      <c r="V105" t="s">
        <v>957</v>
      </c>
      <c r="Y105" s="10">
        <v>2610</v>
      </c>
      <c r="Z105" s="1"/>
      <c r="AA105" s="5">
        <f t="shared" si="40"/>
        <v>2610</v>
      </c>
      <c r="AB105" s="1"/>
      <c r="AC105" s="1"/>
      <c r="AD105" s="1"/>
      <c r="AE105" s="1"/>
      <c r="AF105" s="1"/>
      <c r="AG105" s="10">
        <v>2720</v>
      </c>
      <c r="AH105" s="1"/>
      <c r="AI105" s="1"/>
      <c r="AJ105" s="1"/>
      <c r="AK105" s="1"/>
      <c r="AL105" s="1"/>
      <c r="AM105" s="1"/>
      <c r="AN105" s="1"/>
      <c r="AO105" s="14">
        <f t="shared" si="38"/>
        <v>0.84466019417475724</v>
      </c>
      <c r="AP105" s="14">
        <f t="shared" si="33"/>
        <v>0.23307626392459296</v>
      </c>
      <c r="AQ105" s="14"/>
      <c r="AR105" s="14">
        <f t="shared" si="41"/>
        <v>1.0777364580993503</v>
      </c>
      <c r="AS105" s="14"/>
      <c r="AT105" s="14"/>
      <c r="AU105" s="36"/>
      <c r="AV105" s="36"/>
      <c r="AW105" s="36"/>
      <c r="AX105" s="36"/>
      <c r="AY105" s="36"/>
      <c r="AZ105" s="10">
        <v>40</v>
      </c>
      <c r="BA105" s="10"/>
      <c r="BB105" s="10" t="s">
        <v>3</v>
      </c>
      <c r="BC105" s="10"/>
      <c r="BD105" s="10" t="s">
        <v>2</v>
      </c>
      <c r="BE105" s="10" t="s">
        <v>3</v>
      </c>
      <c r="BF105" s="10"/>
      <c r="BG105" s="10"/>
      <c r="BH105" s="1"/>
    </row>
    <row r="106" spans="1:60" x14ac:dyDescent="0.3">
      <c r="A106" s="10" t="s">
        <v>414</v>
      </c>
      <c r="B106" s="10" t="s">
        <v>131</v>
      </c>
      <c r="C106" s="16" t="s">
        <v>171</v>
      </c>
      <c r="D106" s="16" t="s">
        <v>415</v>
      </c>
      <c r="E106" s="10" t="s">
        <v>940</v>
      </c>
      <c r="F106" s="4" t="s">
        <v>2312</v>
      </c>
      <c r="G106" s="10" t="s">
        <v>387</v>
      </c>
      <c r="H106" s="16" t="s">
        <v>411</v>
      </c>
      <c r="I106" t="s">
        <v>419</v>
      </c>
      <c r="J106" s="16" t="s">
        <v>63</v>
      </c>
      <c r="K106" s="10" t="s">
        <v>155</v>
      </c>
      <c r="L106" s="10">
        <v>3</v>
      </c>
      <c r="M106">
        <v>3</v>
      </c>
      <c r="N106" s="10"/>
      <c r="O106">
        <v>2890</v>
      </c>
      <c r="S106">
        <v>7130</v>
      </c>
      <c r="U106" t="s">
        <v>956</v>
      </c>
      <c r="V106" t="s">
        <v>957</v>
      </c>
      <c r="Y106" s="10">
        <v>2940</v>
      </c>
      <c r="Z106" s="1"/>
      <c r="AA106" s="5">
        <f t="shared" si="40"/>
        <v>2940</v>
      </c>
      <c r="AB106" s="1"/>
      <c r="AC106" s="1"/>
      <c r="AD106" s="1"/>
      <c r="AE106" s="1"/>
      <c r="AF106" s="1"/>
      <c r="AG106" s="10">
        <v>1810</v>
      </c>
      <c r="AH106" s="1"/>
      <c r="AI106" s="1"/>
      <c r="AJ106" s="1"/>
      <c r="AK106" s="1"/>
      <c r="AL106" s="1"/>
      <c r="AM106" s="1"/>
      <c r="AN106" s="1"/>
      <c r="AO106" s="14">
        <f t="shared" si="38"/>
        <v>1.0173010380622838</v>
      </c>
      <c r="AP106" s="14">
        <f t="shared" si="33"/>
        <v>0.25385694249649371</v>
      </c>
      <c r="AQ106" s="14"/>
      <c r="AR106" s="14">
        <f t="shared" si="41"/>
        <v>1.2711579805587774</v>
      </c>
      <c r="AS106" s="14"/>
      <c r="AT106" s="14"/>
      <c r="AU106" s="36"/>
      <c r="AV106" s="36"/>
      <c r="AW106" s="36"/>
      <c r="AX106" s="36"/>
      <c r="AY106" s="36"/>
      <c r="AZ106" s="10">
        <v>40</v>
      </c>
      <c r="BA106" s="10"/>
      <c r="BB106" s="10" t="s">
        <v>3</v>
      </c>
      <c r="BC106" s="10"/>
      <c r="BD106" s="10" t="s">
        <v>2</v>
      </c>
      <c r="BE106" s="10" t="s">
        <v>3</v>
      </c>
      <c r="BF106" s="10"/>
      <c r="BG106" s="10"/>
      <c r="BH106" s="1"/>
    </row>
    <row r="107" spans="1:60" x14ac:dyDescent="0.3">
      <c r="A107" s="10" t="s">
        <v>414</v>
      </c>
      <c r="B107" s="10" t="s">
        <v>131</v>
      </c>
      <c r="C107" s="16" t="s">
        <v>171</v>
      </c>
      <c r="D107" s="16" t="s">
        <v>415</v>
      </c>
      <c r="E107" s="10" t="s">
        <v>939</v>
      </c>
      <c r="F107" s="4" t="s">
        <v>2312</v>
      </c>
      <c r="G107" s="10" t="s">
        <v>387</v>
      </c>
      <c r="H107" s="16" t="s">
        <v>411</v>
      </c>
      <c r="I107" t="s">
        <v>419</v>
      </c>
      <c r="J107" s="16" t="s">
        <v>63</v>
      </c>
      <c r="K107" s="10" t="s">
        <v>155</v>
      </c>
      <c r="L107" s="10">
        <v>3</v>
      </c>
      <c r="M107">
        <v>3</v>
      </c>
      <c r="N107" s="10"/>
      <c r="O107">
        <v>3060</v>
      </c>
      <c r="S107">
        <v>12870</v>
      </c>
      <c r="U107" t="s">
        <v>956</v>
      </c>
      <c r="V107" t="s">
        <v>957</v>
      </c>
      <c r="Y107" s="10">
        <v>2130</v>
      </c>
      <c r="Z107" s="1"/>
      <c r="AA107" s="5">
        <f t="shared" si="40"/>
        <v>2130</v>
      </c>
      <c r="AB107" s="1"/>
      <c r="AC107" s="1"/>
      <c r="AD107" s="1"/>
      <c r="AE107" s="1"/>
      <c r="AF107" s="1"/>
      <c r="AG107" s="10">
        <v>4410</v>
      </c>
      <c r="AH107" s="1"/>
      <c r="AI107" s="1"/>
      <c r="AJ107" s="1"/>
      <c r="AK107" s="1"/>
      <c r="AL107" s="1"/>
      <c r="AM107" s="1"/>
      <c r="AN107" s="1"/>
      <c r="AO107" s="14">
        <f t="shared" si="38"/>
        <v>0.69607843137254899</v>
      </c>
      <c r="AP107" s="14">
        <f t="shared" si="33"/>
        <v>0.34265734265734266</v>
      </c>
      <c r="AQ107" s="14"/>
      <c r="AR107" s="14">
        <f t="shared" si="41"/>
        <v>1.0387357740298917</v>
      </c>
      <c r="AS107" s="14"/>
      <c r="AT107" s="14"/>
      <c r="AU107" s="36"/>
      <c r="AV107" s="36"/>
      <c r="AW107" s="36"/>
      <c r="AX107" s="36"/>
      <c r="AY107" s="36"/>
      <c r="AZ107" s="10">
        <v>40</v>
      </c>
      <c r="BA107" s="10"/>
      <c r="BB107" s="10" t="s">
        <v>3</v>
      </c>
      <c r="BC107" s="10"/>
      <c r="BD107" s="10" t="s">
        <v>2</v>
      </c>
      <c r="BE107" s="10" t="s">
        <v>3</v>
      </c>
      <c r="BF107" s="10"/>
      <c r="BG107" s="10"/>
      <c r="BH107" s="1"/>
    </row>
    <row r="108" spans="1:60" x14ac:dyDescent="0.3">
      <c r="A108" s="10" t="s">
        <v>414</v>
      </c>
      <c r="B108" s="10" t="s">
        <v>131</v>
      </c>
      <c r="C108" s="16" t="s">
        <v>171</v>
      </c>
      <c r="D108" s="16" t="s">
        <v>415</v>
      </c>
      <c r="E108" s="10" t="s">
        <v>941</v>
      </c>
      <c r="F108" s="4" t="s">
        <v>2312</v>
      </c>
      <c r="G108" s="10" t="s">
        <v>387</v>
      </c>
      <c r="H108" s="16" t="s">
        <v>411</v>
      </c>
      <c r="I108" t="s">
        <v>419</v>
      </c>
      <c r="J108" s="16" t="s">
        <v>63</v>
      </c>
      <c r="K108" s="10" t="s">
        <v>155</v>
      </c>
      <c r="L108" s="10">
        <v>3</v>
      </c>
      <c r="M108">
        <v>3</v>
      </c>
      <c r="N108" s="10"/>
      <c r="O108">
        <v>1270</v>
      </c>
      <c r="S108">
        <v>7100</v>
      </c>
      <c r="U108" t="s">
        <v>956</v>
      </c>
      <c r="V108" t="s">
        <v>957</v>
      </c>
      <c r="Y108" s="10">
        <v>1050</v>
      </c>
      <c r="Z108" s="1"/>
      <c r="AA108" s="5">
        <f t="shared" si="40"/>
        <v>1050</v>
      </c>
      <c r="AB108" s="1"/>
      <c r="AC108" s="1"/>
      <c r="AD108" s="1"/>
      <c r="AE108" s="1"/>
      <c r="AF108" s="1"/>
      <c r="AG108" s="10">
        <v>1850</v>
      </c>
      <c r="AH108" s="1"/>
      <c r="AI108" s="1"/>
      <c r="AJ108" s="1"/>
      <c r="AK108" s="1"/>
      <c r="AL108" s="1"/>
      <c r="AM108" s="1"/>
      <c r="AN108" s="1"/>
      <c r="AO108" s="14">
        <f t="shared" si="38"/>
        <v>0.82677165354330706</v>
      </c>
      <c r="AP108" s="14">
        <f t="shared" si="33"/>
        <v>0.26056338028169013</v>
      </c>
      <c r="AQ108" s="14"/>
      <c r="AR108" s="14">
        <f t="shared" si="41"/>
        <v>1.0873350338249972</v>
      </c>
      <c r="AS108" s="14"/>
      <c r="AT108" s="14"/>
      <c r="AU108" s="36"/>
      <c r="AV108" s="36"/>
      <c r="AW108" s="36"/>
      <c r="AX108" s="36"/>
      <c r="AY108" s="36"/>
      <c r="AZ108" s="10">
        <v>40</v>
      </c>
      <c r="BA108" s="10"/>
      <c r="BB108" s="10" t="s">
        <v>3</v>
      </c>
      <c r="BC108" s="10"/>
      <c r="BD108" s="10" t="s">
        <v>2</v>
      </c>
      <c r="BE108" s="10" t="s">
        <v>3</v>
      </c>
      <c r="BF108" s="10"/>
      <c r="BG108" s="10"/>
      <c r="BH108" s="1"/>
    </row>
    <row r="109" spans="1:60" x14ac:dyDescent="0.3">
      <c r="A109" s="10" t="s">
        <v>414</v>
      </c>
      <c r="B109" s="10" t="s">
        <v>131</v>
      </c>
      <c r="C109" s="16" t="s">
        <v>171</v>
      </c>
      <c r="D109" s="16" t="s">
        <v>415</v>
      </c>
      <c r="E109" s="10" t="s">
        <v>942</v>
      </c>
      <c r="F109" s="4" t="s">
        <v>2312</v>
      </c>
      <c r="G109" s="10" t="s">
        <v>387</v>
      </c>
      <c r="H109" s="16" t="s">
        <v>411</v>
      </c>
      <c r="I109" t="s">
        <v>419</v>
      </c>
      <c r="J109" s="16" t="s">
        <v>63</v>
      </c>
      <c r="K109" s="10" t="s">
        <v>155</v>
      </c>
      <c r="L109" s="10">
        <v>3</v>
      </c>
      <c r="M109">
        <v>3</v>
      </c>
      <c r="N109" s="10"/>
      <c r="O109">
        <v>2620</v>
      </c>
      <c r="S109">
        <v>4900</v>
      </c>
      <c r="U109" t="s">
        <v>956</v>
      </c>
      <c r="V109" t="s">
        <v>957</v>
      </c>
      <c r="Y109" s="10">
        <v>2500</v>
      </c>
      <c r="Z109" s="1"/>
      <c r="AA109" s="5">
        <f t="shared" si="40"/>
        <v>2500</v>
      </c>
      <c r="AB109" s="1"/>
      <c r="AC109" s="1"/>
      <c r="AD109" s="1"/>
      <c r="AE109" s="1"/>
      <c r="AF109" s="1"/>
      <c r="AG109" s="10">
        <v>1150</v>
      </c>
      <c r="AH109" s="1"/>
      <c r="AI109" s="1"/>
      <c r="AJ109" s="1"/>
      <c r="AK109" s="1"/>
      <c r="AL109" s="1"/>
      <c r="AM109" s="1"/>
      <c r="AN109" s="1"/>
      <c r="AO109" s="14">
        <f t="shared" si="38"/>
        <v>0.95419847328244278</v>
      </c>
      <c r="AP109" s="14">
        <f t="shared" si="33"/>
        <v>0.23469387755102042</v>
      </c>
      <c r="AQ109" s="14"/>
      <c r="AR109" s="14">
        <f t="shared" ref="AR109:AR116" si="42">AO109+AP109</f>
        <v>1.1888923508334632</v>
      </c>
      <c r="AS109" s="14"/>
      <c r="AT109" s="14"/>
      <c r="AU109" s="36"/>
      <c r="AV109" s="36"/>
      <c r="AW109" s="36"/>
      <c r="AX109" s="36"/>
      <c r="AY109" s="36"/>
      <c r="AZ109" s="10">
        <v>40</v>
      </c>
      <c r="BA109" s="10"/>
      <c r="BB109" s="10" t="s">
        <v>3</v>
      </c>
      <c r="BC109" s="10"/>
      <c r="BD109" s="10" t="s">
        <v>2</v>
      </c>
      <c r="BE109" s="10" t="s">
        <v>3</v>
      </c>
      <c r="BF109" s="10"/>
      <c r="BG109" s="10"/>
      <c r="BH109" s="1"/>
    </row>
    <row r="110" spans="1:60" x14ac:dyDescent="0.3">
      <c r="A110" s="10" t="s">
        <v>414</v>
      </c>
      <c r="B110" s="10" t="s">
        <v>131</v>
      </c>
      <c r="C110" s="16" t="s">
        <v>171</v>
      </c>
      <c r="D110" s="16" t="s">
        <v>415</v>
      </c>
      <c r="E110" s="10" t="s">
        <v>937</v>
      </c>
      <c r="F110" s="4" t="s">
        <v>2312</v>
      </c>
      <c r="G110" s="10" t="s">
        <v>387</v>
      </c>
      <c r="H110" s="16" t="s">
        <v>411</v>
      </c>
      <c r="I110" t="s">
        <v>420</v>
      </c>
      <c r="J110" s="16" t="s">
        <v>63</v>
      </c>
      <c r="K110" s="10" t="s">
        <v>155</v>
      </c>
      <c r="L110" s="10">
        <v>3</v>
      </c>
      <c r="M110">
        <v>3</v>
      </c>
      <c r="N110" s="10"/>
      <c r="O110">
        <v>2820</v>
      </c>
      <c r="S110">
        <v>7910</v>
      </c>
      <c r="U110" t="s">
        <v>956</v>
      </c>
      <c r="V110" t="s">
        <v>957</v>
      </c>
      <c r="Y110" s="10">
        <v>2550</v>
      </c>
      <c r="AA110" s="5">
        <f t="shared" si="40"/>
        <v>2550</v>
      </c>
      <c r="AG110" s="10">
        <v>1230</v>
      </c>
      <c r="AO110" s="14">
        <f t="shared" si="38"/>
        <v>0.9042553191489362</v>
      </c>
      <c r="AP110" s="14">
        <f t="shared" si="33"/>
        <v>0.15549936788874841</v>
      </c>
      <c r="AQ110" s="14"/>
      <c r="AR110" s="3">
        <f t="shared" si="42"/>
        <v>1.0597546870376846</v>
      </c>
      <c r="AS110" s="3"/>
      <c r="AT110" s="3"/>
      <c r="AU110" s="36"/>
      <c r="AV110" s="36"/>
      <c r="AW110" s="36"/>
      <c r="AX110" s="36"/>
      <c r="AY110" s="36"/>
      <c r="AZ110">
        <v>40</v>
      </c>
      <c r="BB110" t="s">
        <v>3</v>
      </c>
      <c r="BD110" s="10" t="s">
        <v>2</v>
      </c>
      <c r="BE110" s="10" t="s">
        <v>3</v>
      </c>
    </row>
    <row r="111" spans="1:60" x14ac:dyDescent="0.3">
      <c r="A111" s="10" t="s">
        <v>414</v>
      </c>
      <c r="B111" s="10" t="s">
        <v>131</v>
      </c>
      <c r="C111" s="16" t="s">
        <v>171</v>
      </c>
      <c r="D111" s="16" t="s">
        <v>415</v>
      </c>
      <c r="E111" s="10" t="s">
        <v>938</v>
      </c>
      <c r="F111" s="4" t="s">
        <v>2312</v>
      </c>
      <c r="G111" s="10" t="s">
        <v>387</v>
      </c>
      <c r="H111" s="16" t="s">
        <v>411</v>
      </c>
      <c r="I111" t="s">
        <v>420</v>
      </c>
      <c r="J111" s="16" t="s">
        <v>63</v>
      </c>
      <c r="K111" s="10" t="s">
        <v>155</v>
      </c>
      <c r="L111" s="10">
        <v>3</v>
      </c>
      <c r="M111">
        <v>3</v>
      </c>
      <c r="N111" s="10"/>
      <c r="O111">
        <v>3090</v>
      </c>
      <c r="S111">
        <v>11670</v>
      </c>
      <c r="U111" t="s">
        <v>956</v>
      </c>
      <c r="V111" t="s">
        <v>957</v>
      </c>
      <c r="Y111" s="10">
        <v>3020</v>
      </c>
      <c r="AA111" s="5">
        <f t="shared" si="40"/>
        <v>3020</v>
      </c>
      <c r="AG111" s="10">
        <v>2640</v>
      </c>
      <c r="AO111" s="14">
        <f t="shared" si="38"/>
        <v>0.97734627831715215</v>
      </c>
      <c r="AP111" s="14">
        <f t="shared" si="33"/>
        <v>0.2262210796915167</v>
      </c>
      <c r="AQ111" s="14"/>
      <c r="AR111" s="3">
        <f t="shared" si="42"/>
        <v>1.2035673580086688</v>
      </c>
      <c r="AS111" s="3"/>
      <c r="AT111" s="3"/>
      <c r="AU111" s="36"/>
      <c r="AV111" s="36"/>
      <c r="AW111" s="36"/>
      <c r="AX111" s="36"/>
      <c r="AY111" s="36"/>
      <c r="AZ111">
        <v>40</v>
      </c>
      <c r="BB111" t="s">
        <v>3</v>
      </c>
      <c r="BD111" s="10" t="s">
        <v>2</v>
      </c>
      <c r="BE111" s="10" t="s">
        <v>3</v>
      </c>
    </row>
    <row r="112" spans="1:60" x14ac:dyDescent="0.3">
      <c r="A112" s="10" t="s">
        <v>414</v>
      </c>
      <c r="B112" s="10" t="s">
        <v>131</v>
      </c>
      <c r="C112" s="16" t="s">
        <v>171</v>
      </c>
      <c r="D112" s="16" t="s">
        <v>415</v>
      </c>
      <c r="E112" s="10" t="s">
        <v>940</v>
      </c>
      <c r="F112" s="4" t="s">
        <v>2312</v>
      </c>
      <c r="G112" s="10" t="s">
        <v>387</v>
      </c>
      <c r="H112" s="16" t="s">
        <v>411</v>
      </c>
      <c r="I112" t="s">
        <v>420</v>
      </c>
      <c r="J112" s="16" t="s">
        <v>63</v>
      </c>
      <c r="K112" s="10" t="s">
        <v>155</v>
      </c>
      <c r="L112" s="10">
        <v>3</v>
      </c>
      <c r="M112">
        <v>3</v>
      </c>
      <c r="N112" s="10"/>
      <c r="O112">
        <v>2890</v>
      </c>
      <c r="S112">
        <v>7130</v>
      </c>
      <c r="U112" t="s">
        <v>956</v>
      </c>
      <c r="V112" t="s">
        <v>957</v>
      </c>
      <c r="Y112" s="10">
        <v>2330</v>
      </c>
      <c r="AA112" s="5">
        <f t="shared" si="40"/>
        <v>2330</v>
      </c>
      <c r="AG112" s="10">
        <v>1600</v>
      </c>
      <c r="AO112" s="14">
        <f t="shared" si="38"/>
        <v>0.80622837370242217</v>
      </c>
      <c r="AP112" s="14">
        <f t="shared" si="33"/>
        <v>0.2244039270687237</v>
      </c>
      <c r="AQ112" s="14"/>
      <c r="AR112" s="3">
        <f t="shared" si="42"/>
        <v>1.030632300771146</v>
      </c>
      <c r="AS112" s="3"/>
      <c r="AT112" s="3"/>
      <c r="AU112" s="36"/>
      <c r="AV112" s="36"/>
      <c r="AW112" s="36"/>
      <c r="AX112" s="36"/>
      <c r="AY112" s="36"/>
      <c r="AZ112">
        <v>40</v>
      </c>
      <c r="BB112" t="s">
        <v>3</v>
      </c>
      <c r="BD112" s="10" t="s">
        <v>2</v>
      </c>
      <c r="BE112" s="10" t="s">
        <v>3</v>
      </c>
    </row>
    <row r="113" spans="1:57" x14ac:dyDescent="0.3">
      <c r="A113" s="10" t="s">
        <v>414</v>
      </c>
      <c r="B113" s="10" t="s">
        <v>131</v>
      </c>
      <c r="C113" s="16" t="s">
        <v>171</v>
      </c>
      <c r="D113" s="16" t="s">
        <v>415</v>
      </c>
      <c r="E113" s="10" t="s">
        <v>939</v>
      </c>
      <c r="F113" s="4" t="s">
        <v>2312</v>
      </c>
      <c r="G113" s="10" t="s">
        <v>387</v>
      </c>
      <c r="H113" s="16" t="s">
        <v>411</v>
      </c>
      <c r="I113" t="s">
        <v>420</v>
      </c>
      <c r="J113" s="16" t="s">
        <v>63</v>
      </c>
      <c r="K113" s="10" t="s">
        <v>155</v>
      </c>
      <c r="L113" s="10">
        <v>3</v>
      </c>
      <c r="M113">
        <v>3</v>
      </c>
      <c r="N113" s="10"/>
      <c r="O113">
        <v>3060</v>
      </c>
      <c r="S113">
        <v>12870</v>
      </c>
      <c r="U113" t="s">
        <v>956</v>
      </c>
      <c r="V113" t="s">
        <v>957</v>
      </c>
      <c r="Y113" s="10">
        <v>2300</v>
      </c>
      <c r="AA113" s="5">
        <f t="shared" si="40"/>
        <v>2300</v>
      </c>
      <c r="AG113" s="10">
        <v>1840</v>
      </c>
      <c r="AO113" s="14">
        <f t="shared" si="38"/>
        <v>0.75163398692810457</v>
      </c>
      <c r="AP113" s="14">
        <f t="shared" si="33"/>
        <v>0.14296814296814297</v>
      </c>
      <c r="AQ113" s="14"/>
      <c r="AR113" s="3">
        <f t="shared" si="42"/>
        <v>0.89460212989624754</v>
      </c>
      <c r="AS113" s="3"/>
      <c r="AT113" s="3"/>
      <c r="AU113" s="36"/>
      <c r="AV113" s="36"/>
      <c r="AW113" s="36"/>
      <c r="AX113" s="36"/>
      <c r="AY113" s="36"/>
      <c r="AZ113">
        <v>40</v>
      </c>
      <c r="BB113" t="s">
        <v>3</v>
      </c>
      <c r="BD113" s="10" t="s">
        <v>2</v>
      </c>
      <c r="BE113" s="10" t="s">
        <v>3</v>
      </c>
    </row>
    <row r="114" spans="1:57" x14ac:dyDescent="0.3">
      <c r="A114" s="10" t="s">
        <v>414</v>
      </c>
      <c r="B114" s="10" t="s">
        <v>131</v>
      </c>
      <c r="C114" s="16" t="s">
        <v>171</v>
      </c>
      <c r="D114" s="16" t="s">
        <v>415</v>
      </c>
      <c r="E114" s="10" t="s">
        <v>941</v>
      </c>
      <c r="F114" s="4" t="s">
        <v>2312</v>
      </c>
      <c r="G114" s="10" t="s">
        <v>387</v>
      </c>
      <c r="H114" s="16" t="s">
        <v>411</v>
      </c>
      <c r="I114" t="s">
        <v>420</v>
      </c>
      <c r="J114" s="16" t="s">
        <v>63</v>
      </c>
      <c r="K114" s="10" t="s">
        <v>155</v>
      </c>
      <c r="L114" s="10">
        <v>3</v>
      </c>
      <c r="M114">
        <v>3</v>
      </c>
      <c r="N114" s="10"/>
      <c r="O114">
        <v>1270</v>
      </c>
      <c r="S114">
        <v>7100</v>
      </c>
      <c r="U114" t="s">
        <v>956</v>
      </c>
      <c r="V114" t="s">
        <v>957</v>
      </c>
      <c r="Y114" s="10">
        <v>750</v>
      </c>
      <c r="AA114" s="5">
        <f t="shared" si="40"/>
        <v>750</v>
      </c>
      <c r="AG114" s="10">
        <v>1520</v>
      </c>
      <c r="AO114" s="14">
        <f t="shared" si="38"/>
        <v>0.59055118110236215</v>
      </c>
      <c r="AP114" s="14">
        <f t="shared" si="33"/>
        <v>0.21408450704225351</v>
      </c>
      <c r="AQ114" s="14"/>
      <c r="AR114" s="3">
        <f t="shared" si="42"/>
        <v>0.80463568814461572</v>
      </c>
      <c r="AS114" s="3"/>
      <c r="AT114" s="3"/>
      <c r="AU114" s="36"/>
      <c r="AV114" s="36"/>
      <c r="AW114" s="36"/>
      <c r="AX114" s="36"/>
      <c r="AY114" s="36"/>
      <c r="AZ114">
        <v>40</v>
      </c>
      <c r="BB114" t="s">
        <v>3</v>
      </c>
      <c r="BD114" s="10" t="s">
        <v>2</v>
      </c>
      <c r="BE114" s="10" t="s">
        <v>3</v>
      </c>
    </row>
    <row r="115" spans="1:57" x14ac:dyDescent="0.3">
      <c r="A115" s="10" t="s">
        <v>414</v>
      </c>
      <c r="B115" s="10" t="s">
        <v>131</v>
      </c>
      <c r="C115" s="16" t="s">
        <v>171</v>
      </c>
      <c r="D115" s="16" t="s">
        <v>415</v>
      </c>
      <c r="E115" s="10" t="s">
        <v>942</v>
      </c>
      <c r="F115" s="4" t="s">
        <v>2312</v>
      </c>
      <c r="G115" s="10" t="s">
        <v>387</v>
      </c>
      <c r="H115" s="16" t="s">
        <v>411</v>
      </c>
      <c r="I115" t="s">
        <v>420</v>
      </c>
      <c r="J115" s="16" t="s">
        <v>63</v>
      </c>
      <c r="K115" s="10" t="s">
        <v>155</v>
      </c>
      <c r="L115" s="10">
        <v>3</v>
      </c>
      <c r="M115">
        <v>3</v>
      </c>
      <c r="N115" s="10"/>
      <c r="O115">
        <v>2620</v>
      </c>
      <c r="S115">
        <v>4900</v>
      </c>
      <c r="U115" t="s">
        <v>956</v>
      </c>
      <c r="V115" t="s">
        <v>957</v>
      </c>
      <c r="Y115" s="10">
        <v>2210</v>
      </c>
      <c r="AA115" s="5">
        <f t="shared" si="40"/>
        <v>2210</v>
      </c>
      <c r="AG115" s="10">
        <v>1220</v>
      </c>
      <c r="AO115" s="14">
        <f t="shared" si="38"/>
        <v>0.84351145038167941</v>
      </c>
      <c r="AP115" s="14">
        <f t="shared" si="33"/>
        <v>0.24897959183673468</v>
      </c>
      <c r="AQ115" s="14"/>
      <c r="AR115" s="3">
        <f t="shared" si="42"/>
        <v>1.092491042218414</v>
      </c>
      <c r="AS115" s="3"/>
      <c r="AT115" s="3"/>
      <c r="AU115" s="36"/>
      <c r="AV115" s="36"/>
      <c r="AW115" s="36"/>
      <c r="AX115" s="36"/>
      <c r="AY115" s="36"/>
      <c r="AZ115">
        <v>40</v>
      </c>
      <c r="BB115" t="s">
        <v>3</v>
      </c>
      <c r="BD115" s="10" t="s">
        <v>2</v>
      </c>
      <c r="BE115" s="10" t="s">
        <v>3</v>
      </c>
    </row>
    <row r="116" spans="1:57" x14ac:dyDescent="0.3">
      <c r="A116" s="10" t="s">
        <v>414</v>
      </c>
      <c r="B116" s="10" t="s">
        <v>131</v>
      </c>
      <c r="C116" s="16" t="s">
        <v>171</v>
      </c>
      <c r="D116" s="16" t="s">
        <v>415</v>
      </c>
      <c r="E116" s="10" t="s">
        <v>937</v>
      </c>
      <c r="F116" s="4" t="s">
        <v>2312</v>
      </c>
      <c r="G116" s="10" t="s">
        <v>416</v>
      </c>
      <c r="H116" s="16" t="s">
        <v>411</v>
      </c>
      <c r="I116" s="10" t="s">
        <v>418</v>
      </c>
      <c r="J116" s="16" t="s">
        <v>63</v>
      </c>
      <c r="K116" s="10" t="s">
        <v>417</v>
      </c>
      <c r="L116" s="10">
        <v>3</v>
      </c>
      <c r="M116">
        <v>3</v>
      </c>
      <c r="N116" s="10"/>
      <c r="O116">
        <v>2820</v>
      </c>
      <c r="S116">
        <v>5030</v>
      </c>
      <c r="U116" t="s">
        <v>956</v>
      </c>
      <c r="V116" t="s">
        <v>957</v>
      </c>
      <c r="Y116" s="10">
        <v>2820</v>
      </c>
      <c r="AA116" s="5">
        <f t="shared" si="40"/>
        <v>2820</v>
      </c>
      <c r="AG116" s="10">
        <v>1110</v>
      </c>
      <c r="AO116" s="14">
        <f t="shared" si="38"/>
        <v>1</v>
      </c>
      <c r="AP116" s="14">
        <f t="shared" si="33"/>
        <v>0.22067594433399601</v>
      </c>
      <c r="AQ116" s="14"/>
      <c r="AR116" s="3">
        <f t="shared" si="42"/>
        <v>1.2206759443339961</v>
      </c>
      <c r="AS116" s="3"/>
      <c r="AT116" s="3"/>
      <c r="AU116" s="36"/>
      <c r="AV116" s="36"/>
      <c r="AW116" s="36"/>
      <c r="AX116" s="36"/>
      <c r="AY116" s="36"/>
      <c r="AZ116">
        <v>40</v>
      </c>
      <c r="BB116" t="s">
        <v>3</v>
      </c>
      <c r="BD116" s="10" t="s">
        <v>2</v>
      </c>
      <c r="BE116" s="10" t="s">
        <v>3</v>
      </c>
    </row>
    <row r="117" spans="1:57" x14ac:dyDescent="0.3">
      <c r="A117" s="10" t="s">
        <v>414</v>
      </c>
      <c r="B117" s="10" t="s">
        <v>131</v>
      </c>
      <c r="C117" s="16" t="s">
        <v>171</v>
      </c>
      <c r="D117" s="16" t="s">
        <v>415</v>
      </c>
      <c r="E117" s="10" t="s">
        <v>938</v>
      </c>
      <c r="F117" s="4" t="s">
        <v>2312</v>
      </c>
      <c r="G117" s="10" t="s">
        <v>416</v>
      </c>
      <c r="H117" s="16" t="s">
        <v>411</v>
      </c>
      <c r="I117" s="10" t="s">
        <v>418</v>
      </c>
      <c r="J117" s="16" t="s">
        <v>63</v>
      </c>
      <c r="K117" s="10" t="s">
        <v>417</v>
      </c>
      <c r="L117" s="10">
        <v>3</v>
      </c>
      <c r="M117">
        <v>3</v>
      </c>
      <c r="N117" s="10"/>
      <c r="O117">
        <v>3090</v>
      </c>
      <c r="S117">
        <v>7920</v>
      </c>
      <c r="U117" t="s">
        <v>956</v>
      </c>
      <c r="V117" t="s">
        <v>957</v>
      </c>
      <c r="Y117" s="10">
        <v>3420</v>
      </c>
      <c r="AA117" s="5">
        <f t="shared" si="40"/>
        <v>3420</v>
      </c>
      <c r="AG117" s="10">
        <v>2000</v>
      </c>
      <c r="AO117" s="14">
        <f t="shared" si="38"/>
        <v>1.1067961165048543</v>
      </c>
      <c r="AP117" s="14">
        <f t="shared" si="33"/>
        <v>0.25252525252525254</v>
      </c>
      <c r="AQ117" s="14"/>
      <c r="AR117" s="3">
        <f t="shared" ref="AR117:AR122" si="43">AO117+AP117</f>
        <v>1.3593213690301069</v>
      </c>
      <c r="AS117" s="3"/>
      <c r="AT117" s="3"/>
      <c r="AU117" s="36"/>
      <c r="AV117" s="36"/>
      <c r="AW117" s="36"/>
      <c r="AX117" s="36"/>
      <c r="AY117" s="36"/>
      <c r="AZ117">
        <v>40</v>
      </c>
      <c r="BB117" t="s">
        <v>3</v>
      </c>
      <c r="BD117" s="10" t="s">
        <v>2</v>
      </c>
      <c r="BE117" s="10" t="s">
        <v>3</v>
      </c>
    </row>
    <row r="118" spans="1:57" x14ac:dyDescent="0.3">
      <c r="A118" s="10" t="s">
        <v>414</v>
      </c>
      <c r="B118" s="10" t="s">
        <v>131</v>
      </c>
      <c r="C118" s="16" t="s">
        <v>171</v>
      </c>
      <c r="D118" s="16" t="s">
        <v>415</v>
      </c>
      <c r="E118" s="10" t="s">
        <v>940</v>
      </c>
      <c r="F118" s="4" t="s">
        <v>2312</v>
      </c>
      <c r="G118" s="10" t="s">
        <v>416</v>
      </c>
      <c r="H118" s="16" t="s">
        <v>411</v>
      </c>
      <c r="I118" s="10" t="s">
        <v>418</v>
      </c>
      <c r="J118" s="16" t="s">
        <v>63</v>
      </c>
      <c r="K118" s="10" t="s">
        <v>417</v>
      </c>
      <c r="L118" s="10">
        <v>3</v>
      </c>
      <c r="M118">
        <v>3</v>
      </c>
      <c r="N118" s="10"/>
      <c r="O118">
        <v>2890</v>
      </c>
      <c r="S118">
        <v>4370</v>
      </c>
      <c r="U118" t="s">
        <v>956</v>
      </c>
      <c r="V118" t="s">
        <v>957</v>
      </c>
      <c r="Y118" s="10">
        <v>2880</v>
      </c>
      <c r="AA118" s="5">
        <f t="shared" si="40"/>
        <v>2880</v>
      </c>
      <c r="AG118" s="10">
        <v>1330</v>
      </c>
      <c r="AO118" s="14">
        <f t="shared" si="38"/>
        <v>0.9965397923875432</v>
      </c>
      <c r="AP118" s="14">
        <f t="shared" si="33"/>
        <v>0.30434782608695654</v>
      </c>
      <c r="AQ118" s="14"/>
      <c r="AR118" s="3">
        <f t="shared" si="43"/>
        <v>1.3008876184744997</v>
      </c>
      <c r="AS118" s="3"/>
      <c r="AT118" s="3"/>
      <c r="AU118" s="36"/>
      <c r="AV118" s="36"/>
      <c r="AW118" s="36"/>
      <c r="AX118" s="36"/>
      <c r="AY118" s="36"/>
      <c r="AZ118">
        <v>40</v>
      </c>
      <c r="BB118" t="s">
        <v>3</v>
      </c>
      <c r="BD118" s="10" t="s">
        <v>2</v>
      </c>
      <c r="BE118" s="10" t="s">
        <v>3</v>
      </c>
    </row>
    <row r="119" spans="1:57" x14ac:dyDescent="0.3">
      <c r="A119" s="10" t="s">
        <v>414</v>
      </c>
      <c r="B119" s="10" t="s">
        <v>131</v>
      </c>
      <c r="C119" s="16" t="s">
        <v>171</v>
      </c>
      <c r="D119" s="16" t="s">
        <v>415</v>
      </c>
      <c r="E119" s="10" t="s">
        <v>939</v>
      </c>
      <c r="F119" s="4" t="s">
        <v>2312</v>
      </c>
      <c r="G119" s="10" t="s">
        <v>416</v>
      </c>
      <c r="H119" s="16" t="s">
        <v>411</v>
      </c>
      <c r="I119" s="10" t="s">
        <v>418</v>
      </c>
      <c r="J119" s="16" t="s">
        <v>63</v>
      </c>
      <c r="K119" s="10" t="s">
        <v>417</v>
      </c>
      <c r="L119" s="10">
        <v>3</v>
      </c>
      <c r="M119">
        <v>3</v>
      </c>
      <c r="N119" s="10"/>
      <c r="O119">
        <v>3060</v>
      </c>
      <c r="S119">
        <v>7070</v>
      </c>
      <c r="U119" t="s">
        <v>956</v>
      </c>
      <c r="V119" t="s">
        <v>957</v>
      </c>
      <c r="Y119" s="10">
        <v>3420</v>
      </c>
      <c r="AA119" s="5">
        <f t="shared" si="40"/>
        <v>3420</v>
      </c>
      <c r="AG119" s="10">
        <v>1870</v>
      </c>
      <c r="AO119" s="14">
        <f t="shared" si="38"/>
        <v>1.1176470588235294</v>
      </c>
      <c r="AP119" s="14">
        <f t="shared" si="33"/>
        <v>0.26449787835926447</v>
      </c>
      <c r="AQ119" s="14"/>
      <c r="AR119" s="3">
        <f t="shared" si="43"/>
        <v>1.3821449371827939</v>
      </c>
      <c r="AS119" s="3"/>
      <c r="AT119" s="3"/>
      <c r="AU119" s="36"/>
      <c r="AV119" s="36"/>
      <c r="AW119" s="36"/>
      <c r="AX119" s="36"/>
      <c r="AY119" s="36"/>
      <c r="AZ119">
        <v>40</v>
      </c>
      <c r="BB119" t="s">
        <v>3</v>
      </c>
      <c r="BD119" s="10" t="s">
        <v>2</v>
      </c>
      <c r="BE119" s="10" t="s">
        <v>3</v>
      </c>
    </row>
    <row r="120" spans="1:57" x14ac:dyDescent="0.3">
      <c r="A120" s="10" t="s">
        <v>414</v>
      </c>
      <c r="B120" s="10" t="s">
        <v>131</v>
      </c>
      <c r="C120" s="16" t="s">
        <v>171</v>
      </c>
      <c r="D120" s="16" t="s">
        <v>415</v>
      </c>
      <c r="E120" s="10" t="s">
        <v>941</v>
      </c>
      <c r="F120" s="4" t="s">
        <v>2312</v>
      </c>
      <c r="G120" s="10" t="s">
        <v>416</v>
      </c>
      <c r="H120" s="16" t="s">
        <v>411</v>
      </c>
      <c r="I120" s="10" t="s">
        <v>418</v>
      </c>
      <c r="J120" s="16" t="s">
        <v>63</v>
      </c>
      <c r="K120" s="10" t="s">
        <v>417</v>
      </c>
      <c r="L120" s="10">
        <v>3</v>
      </c>
      <c r="M120">
        <v>3</v>
      </c>
      <c r="N120" s="10"/>
      <c r="O120">
        <v>1270</v>
      </c>
      <c r="S120">
        <v>4900</v>
      </c>
      <c r="U120" t="s">
        <v>956</v>
      </c>
      <c r="V120" t="s">
        <v>957</v>
      </c>
      <c r="Y120" s="10">
        <v>1520</v>
      </c>
      <c r="AA120" s="5">
        <f t="shared" si="40"/>
        <v>1520</v>
      </c>
      <c r="AG120" s="10">
        <v>920</v>
      </c>
      <c r="AO120" s="14">
        <f t="shared" si="38"/>
        <v>1.1968503937007875</v>
      </c>
      <c r="AP120" s="14">
        <f t="shared" si="33"/>
        <v>0.18775510204081633</v>
      </c>
      <c r="AQ120" s="14"/>
      <c r="AR120" s="3">
        <f t="shared" si="43"/>
        <v>1.3846054957416039</v>
      </c>
      <c r="AS120" s="3"/>
      <c r="AT120" s="3"/>
      <c r="AU120" s="36"/>
      <c r="AV120" s="36"/>
      <c r="AW120" s="36"/>
      <c r="AX120" s="36"/>
      <c r="AY120" s="36"/>
      <c r="AZ120">
        <v>40</v>
      </c>
      <c r="BB120" t="s">
        <v>3</v>
      </c>
      <c r="BD120" s="10" t="s">
        <v>2</v>
      </c>
      <c r="BE120" s="10" t="s">
        <v>3</v>
      </c>
    </row>
    <row r="121" spans="1:57" x14ac:dyDescent="0.3">
      <c r="A121" s="10" t="s">
        <v>414</v>
      </c>
      <c r="B121" s="10" t="s">
        <v>131</v>
      </c>
      <c r="C121" s="16" t="s">
        <v>171</v>
      </c>
      <c r="D121" s="16" t="s">
        <v>415</v>
      </c>
      <c r="E121" s="10" t="s">
        <v>942</v>
      </c>
      <c r="F121" s="4" t="s">
        <v>2312</v>
      </c>
      <c r="G121" s="10" t="s">
        <v>416</v>
      </c>
      <c r="H121" s="16" t="s">
        <v>411</v>
      </c>
      <c r="I121" s="10" t="s">
        <v>418</v>
      </c>
      <c r="J121" s="16" t="s">
        <v>63</v>
      </c>
      <c r="K121" s="10" t="s">
        <v>417</v>
      </c>
      <c r="L121" s="10">
        <v>3</v>
      </c>
      <c r="M121">
        <v>3</v>
      </c>
      <c r="N121" s="10"/>
      <c r="O121">
        <v>2620</v>
      </c>
      <c r="S121">
        <v>2700</v>
      </c>
      <c r="U121" t="s">
        <v>956</v>
      </c>
      <c r="V121" t="s">
        <v>957</v>
      </c>
      <c r="Y121" s="10">
        <v>3220</v>
      </c>
      <c r="AA121" s="5">
        <f t="shared" si="40"/>
        <v>3220</v>
      </c>
      <c r="AG121" s="10">
        <v>500</v>
      </c>
      <c r="AO121" s="14">
        <f t="shared" si="38"/>
        <v>1.2290076335877862</v>
      </c>
      <c r="AP121" s="14">
        <f t="shared" si="33"/>
        <v>0.18518518518518517</v>
      </c>
      <c r="AQ121" s="14"/>
      <c r="AR121" s="3">
        <f t="shared" si="43"/>
        <v>1.4141928187729713</v>
      </c>
      <c r="AS121" s="3"/>
      <c r="AT121" s="3"/>
      <c r="AU121" s="36"/>
      <c r="AV121" s="36"/>
      <c r="AW121" s="36"/>
      <c r="AX121" s="36"/>
      <c r="AY121" s="36"/>
      <c r="AZ121">
        <v>40</v>
      </c>
      <c r="BB121" t="s">
        <v>3</v>
      </c>
      <c r="BD121" s="10" t="s">
        <v>2</v>
      </c>
      <c r="BE121" s="10" t="s">
        <v>3</v>
      </c>
    </row>
    <row r="122" spans="1:57" x14ac:dyDescent="0.3">
      <c r="A122" s="10" t="s">
        <v>414</v>
      </c>
      <c r="B122" s="10" t="s">
        <v>131</v>
      </c>
      <c r="C122" s="16" t="s">
        <v>171</v>
      </c>
      <c r="D122" s="16" t="s">
        <v>415</v>
      </c>
      <c r="E122" s="10" t="s">
        <v>937</v>
      </c>
      <c r="F122" s="4" t="s">
        <v>2312</v>
      </c>
      <c r="G122" s="10" t="s">
        <v>416</v>
      </c>
      <c r="H122" s="16" t="s">
        <v>411</v>
      </c>
      <c r="I122" t="s">
        <v>419</v>
      </c>
      <c r="J122" s="16" t="s">
        <v>63</v>
      </c>
      <c r="K122" s="10" t="s">
        <v>417</v>
      </c>
      <c r="L122" s="10">
        <v>3</v>
      </c>
      <c r="M122">
        <v>3</v>
      </c>
      <c r="N122" s="10"/>
      <c r="O122">
        <v>2820</v>
      </c>
      <c r="S122">
        <v>5030</v>
      </c>
      <c r="U122" t="s">
        <v>956</v>
      </c>
      <c r="V122" t="s">
        <v>957</v>
      </c>
      <c r="Y122" s="10">
        <v>2450</v>
      </c>
      <c r="AA122" s="5">
        <f t="shared" si="40"/>
        <v>2450</v>
      </c>
      <c r="AG122" s="10">
        <v>1170</v>
      </c>
      <c r="AO122" s="14">
        <f t="shared" si="38"/>
        <v>0.86879432624113473</v>
      </c>
      <c r="AP122" s="14">
        <f t="shared" si="33"/>
        <v>0.23260437375745527</v>
      </c>
      <c r="AQ122" s="14"/>
      <c r="AR122" s="3">
        <f t="shared" si="43"/>
        <v>1.1013986999985901</v>
      </c>
      <c r="AS122" s="3"/>
      <c r="AT122" s="3"/>
      <c r="AU122" s="36"/>
      <c r="AV122" s="36"/>
      <c r="AW122" s="36"/>
      <c r="AX122" s="36"/>
      <c r="AY122" s="36"/>
      <c r="AZ122">
        <v>40</v>
      </c>
      <c r="BB122" t="s">
        <v>3</v>
      </c>
      <c r="BD122" s="10" t="s">
        <v>2</v>
      </c>
      <c r="BE122" s="10" t="s">
        <v>3</v>
      </c>
    </row>
    <row r="123" spans="1:57" x14ac:dyDescent="0.3">
      <c r="A123" s="10" t="s">
        <v>414</v>
      </c>
      <c r="B123" s="10" t="s">
        <v>131</v>
      </c>
      <c r="C123" s="16" t="s">
        <v>171</v>
      </c>
      <c r="D123" s="16" t="s">
        <v>415</v>
      </c>
      <c r="E123" s="10" t="s">
        <v>938</v>
      </c>
      <c r="F123" s="4" t="s">
        <v>2312</v>
      </c>
      <c r="G123" s="10" t="s">
        <v>416</v>
      </c>
      <c r="H123" s="16" t="s">
        <v>411</v>
      </c>
      <c r="I123" t="s">
        <v>419</v>
      </c>
      <c r="J123" s="16" t="s">
        <v>63</v>
      </c>
      <c r="K123" s="10" t="s">
        <v>417</v>
      </c>
      <c r="L123" s="10">
        <v>3</v>
      </c>
      <c r="M123">
        <v>3</v>
      </c>
      <c r="N123" s="10"/>
      <c r="O123">
        <v>3090</v>
      </c>
      <c r="S123">
        <v>7920</v>
      </c>
      <c r="U123" t="s">
        <v>956</v>
      </c>
      <c r="V123" t="s">
        <v>957</v>
      </c>
      <c r="Y123" s="10">
        <v>3770</v>
      </c>
      <c r="AA123" s="5">
        <f t="shared" si="40"/>
        <v>3770</v>
      </c>
      <c r="AG123" s="10">
        <v>1720</v>
      </c>
      <c r="AO123" s="14">
        <f t="shared" si="38"/>
        <v>1.2200647249190939</v>
      </c>
      <c r="AP123" s="14">
        <f t="shared" si="33"/>
        <v>0.21717171717171718</v>
      </c>
      <c r="AQ123" s="14"/>
      <c r="AR123" s="3">
        <f t="shared" ref="AR123:AR133" si="44">AO123+AP123</f>
        <v>1.437236442090811</v>
      </c>
      <c r="AS123" s="3"/>
      <c r="AT123" s="3"/>
      <c r="AU123" s="36"/>
      <c r="AV123" s="36"/>
      <c r="AW123" s="36"/>
      <c r="AX123" s="36"/>
      <c r="AY123" s="36"/>
      <c r="AZ123">
        <v>40</v>
      </c>
      <c r="BB123" t="s">
        <v>3</v>
      </c>
      <c r="BD123" s="10" t="s">
        <v>2</v>
      </c>
      <c r="BE123" s="10" t="s">
        <v>3</v>
      </c>
    </row>
    <row r="124" spans="1:57" x14ac:dyDescent="0.3">
      <c r="A124" s="10" t="s">
        <v>414</v>
      </c>
      <c r="B124" s="10" t="s">
        <v>131</v>
      </c>
      <c r="C124" s="16" t="s">
        <v>171</v>
      </c>
      <c r="D124" s="16" t="s">
        <v>415</v>
      </c>
      <c r="E124" s="10" t="s">
        <v>940</v>
      </c>
      <c r="F124" s="4" t="s">
        <v>2312</v>
      </c>
      <c r="G124" s="10" t="s">
        <v>416</v>
      </c>
      <c r="H124" s="16" t="s">
        <v>411</v>
      </c>
      <c r="I124" t="s">
        <v>419</v>
      </c>
      <c r="J124" s="16" t="s">
        <v>63</v>
      </c>
      <c r="K124" s="10" t="s">
        <v>417</v>
      </c>
      <c r="L124" s="10">
        <v>3</v>
      </c>
      <c r="M124">
        <v>3</v>
      </c>
      <c r="N124" s="10"/>
      <c r="O124">
        <v>2890</v>
      </c>
      <c r="S124">
        <v>4370</v>
      </c>
      <c r="U124" t="s">
        <v>956</v>
      </c>
      <c r="V124" t="s">
        <v>957</v>
      </c>
      <c r="Y124" s="10">
        <v>2930</v>
      </c>
      <c r="AA124" s="5">
        <f t="shared" si="40"/>
        <v>2930</v>
      </c>
      <c r="AG124" s="10">
        <v>1120</v>
      </c>
      <c r="AO124" s="14">
        <f t="shared" si="38"/>
        <v>1.013840830449827</v>
      </c>
      <c r="AP124" s="14">
        <f t="shared" si="33"/>
        <v>0.25629290617848971</v>
      </c>
      <c r="AQ124" s="14"/>
      <c r="AR124" s="3">
        <f t="shared" si="44"/>
        <v>1.2701337366283167</v>
      </c>
      <c r="AS124" s="3"/>
      <c r="AT124" s="3"/>
      <c r="AU124" s="36"/>
      <c r="AV124" s="36"/>
      <c r="AW124" s="36"/>
      <c r="AX124" s="36"/>
      <c r="AY124" s="36"/>
      <c r="AZ124">
        <v>40</v>
      </c>
      <c r="BB124" t="s">
        <v>3</v>
      </c>
      <c r="BD124" s="10" t="s">
        <v>2</v>
      </c>
      <c r="BE124" s="10" t="s">
        <v>3</v>
      </c>
    </row>
    <row r="125" spans="1:57" x14ac:dyDescent="0.3">
      <c r="A125" s="10" t="s">
        <v>414</v>
      </c>
      <c r="B125" s="10" t="s">
        <v>131</v>
      </c>
      <c r="C125" s="16" t="s">
        <v>171</v>
      </c>
      <c r="D125" s="16" t="s">
        <v>415</v>
      </c>
      <c r="E125" s="10" t="s">
        <v>939</v>
      </c>
      <c r="F125" s="4" t="s">
        <v>2312</v>
      </c>
      <c r="G125" s="10" t="s">
        <v>416</v>
      </c>
      <c r="H125" s="16" t="s">
        <v>411</v>
      </c>
      <c r="I125" t="s">
        <v>419</v>
      </c>
      <c r="J125" s="16" t="s">
        <v>63</v>
      </c>
      <c r="K125" s="10" t="s">
        <v>417</v>
      </c>
      <c r="L125" s="10">
        <v>3</v>
      </c>
      <c r="M125">
        <v>3</v>
      </c>
      <c r="N125" s="10"/>
      <c r="O125">
        <v>3060</v>
      </c>
      <c r="S125">
        <v>7070</v>
      </c>
      <c r="U125" t="s">
        <v>956</v>
      </c>
      <c r="V125" t="s">
        <v>957</v>
      </c>
      <c r="Y125" s="10">
        <v>3040</v>
      </c>
      <c r="AA125" s="5">
        <f t="shared" si="40"/>
        <v>3040</v>
      </c>
      <c r="AG125" s="10">
        <v>1400</v>
      </c>
      <c r="AO125" s="14">
        <f t="shared" si="38"/>
        <v>0.99346405228758172</v>
      </c>
      <c r="AP125" s="14">
        <f t="shared" si="33"/>
        <v>0.19801980198019803</v>
      </c>
      <c r="AQ125" s="14"/>
      <c r="AR125" s="3">
        <f t="shared" si="44"/>
        <v>1.1914838542677797</v>
      </c>
      <c r="AS125" s="3"/>
      <c r="AT125" s="3"/>
      <c r="AU125" s="36"/>
      <c r="AV125" s="36"/>
      <c r="AW125" s="36"/>
      <c r="AX125" s="36"/>
      <c r="AY125" s="36"/>
      <c r="AZ125">
        <v>40</v>
      </c>
      <c r="BB125" t="s">
        <v>3</v>
      </c>
      <c r="BD125" s="10" t="s">
        <v>2</v>
      </c>
      <c r="BE125" s="10" t="s">
        <v>3</v>
      </c>
    </row>
    <row r="126" spans="1:57" x14ac:dyDescent="0.3">
      <c r="A126" s="10" t="s">
        <v>414</v>
      </c>
      <c r="B126" s="10" t="s">
        <v>131</v>
      </c>
      <c r="C126" s="16" t="s">
        <v>171</v>
      </c>
      <c r="D126" s="16" t="s">
        <v>415</v>
      </c>
      <c r="E126" s="10" t="s">
        <v>941</v>
      </c>
      <c r="F126" s="4" t="s">
        <v>2312</v>
      </c>
      <c r="G126" s="10" t="s">
        <v>416</v>
      </c>
      <c r="H126" s="16" t="s">
        <v>411</v>
      </c>
      <c r="I126" t="s">
        <v>419</v>
      </c>
      <c r="J126" s="16" t="s">
        <v>63</v>
      </c>
      <c r="K126" s="10" t="s">
        <v>417</v>
      </c>
      <c r="L126" s="10">
        <v>3</v>
      </c>
      <c r="M126">
        <v>3</v>
      </c>
      <c r="N126" s="10"/>
      <c r="O126">
        <v>1270</v>
      </c>
      <c r="S126">
        <v>4900</v>
      </c>
      <c r="U126" t="s">
        <v>956</v>
      </c>
      <c r="V126" t="s">
        <v>957</v>
      </c>
      <c r="Y126" s="10">
        <v>1440</v>
      </c>
      <c r="AA126" s="5">
        <f t="shared" si="40"/>
        <v>1440</v>
      </c>
      <c r="AG126" s="10">
        <v>1150</v>
      </c>
      <c r="AO126" s="14">
        <f t="shared" si="38"/>
        <v>1.1338582677165354</v>
      </c>
      <c r="AP126" s="14">
        <f t="shared" si="33"/>
        <v>0.23469387755102042</v>
      </c>
      <c r="AQ126" s="14"/>
      <c r="AR126" s="3">
        <f t="shared" si="44"/>
        <v>1.3685521452675558</v>
      </c>
      <c r="AS126" s="3"/>
      <c r="AT126" s="3"/>
      <c r="AU126" s="36"/>
      <c r="AV126" s="36"/>
      <c r="AW126" s="36"/>
      <c r="AX126" s="36"/>
      <c r="AY126" s="36"/>
      <c r="AZ126">
        <v>40</v>
      </c>
      <c r="BB126" t="s">
        <v>3</v>
      </c>
      <c r="BD126" s="10" t="s">
        <v>2</v>
      </c>
      <c r="BE126" s="10" t="s">
        <v>3</v>
      </c>
    </row>
    <row r="127" spans="1:57" x14ac:dyDescent="0.3">
      <c r="A127" s="10" t="s">
        <v>414</v>
      </c>
      <c r="B127" s="10" t="s">
        <v>131</v>
      </c>
      <c r="C127" s="16" t="s">
        <v>171</v>
      </c>
      <c r="D127" s="16" t="s">
        <v>415</v>
      </c>
      <c r="E127" s="10" t="s">
        <v>942</v>
      </c>
      <c r="F127" s="4" t="s">
        <v>2312</v>
      </c>
      <c r="G127" s="10" t="s">
        <v>416</v>
      </c>
      <c r="H127" s="16" t="s">
        <v>411</v>
      </c>
      <c r="I127" t="s">
        <v>419</v>
      </c>
      <c r="J127" s="16" t="s">
        <v>63</v>
      </c>
      <c r="K127" s="10" t="s">
        <v>417</v>
      </c>
      <c r="L127" s="10">
        <v>3</v>
      </c>
      <c r="M127">
        <v>3</v>
      </c>
      <c r="N127" s="10"/>
      <c r="O127">
        <v>2620</v>
      </c>
      <c r="S127">
        <v>2700</v>
      </c>
      <c r="U127" t="s">
        <v>956</v>
      </c>
      <c r="V127" t="s">
        <v>957</v>
      </c>
      <c r="Y127" s="10">
        <v>2930</v>
      </c>
      <c r="AA127" s="5">
        <f t="shared" si="40"/>
        <v>2930</v>
      </c>
      <c r="AG127" s="10">
        <v>650</v>
      </c>
      <c r="AO127" s="14">
        <f t="shared" si="38"/>
        <v>1.1183206106870229</v>
      </c>
      <c r="AP127" s="14">
        <f t="shared" si="33"/>
        <v>0.24074074074074073</v>
      </c>
      <c r="AQ127" s="14"/>
      <c r="AR127" s="3">
        <f t="shared" si="44"/>
        <v>1.3590613514277636</v>
      </c>
      <c r="AS127" s="3"/>
      <c r="AT127" s="3"/>
      <c r="AU127" s="36"/>
      <c r="AV127" s="36"/>
      <c r="AW127" s="36"/>
      <c r="AX127" s="36"/>
      <c r="AY127" s="36"/>
      <c r="AZ127">
        <v>40</v>
      </c>
      <c r="BB127" t="s">
        <v>3</v>
      </c>
      <c r="BD127" s="10" t="s">
        <v>2</v>
      </c>
      <c r="BE127" s="10" t="s">
        <v>3</v>
      </c>
    </row>
    <row r="128" spans="1:57" x14ac:dyDescent="0.3">
      <c r="A128" s="10" t="s">
        <v>414</v>
      </c>
      <c r="B128" s="10" t="s">
        <v>131</v>
      </c>
      <c r="C128" s="16" t="s">
        <v>171</v>
      </c>
      <c r="D128" s="16" t="s">
        <v>415</v>
      </c>
      <c r="E128" s="10" t="s">
        <v>937</v>
      </c>
      <c r="F128" s="4" t="s">
        <v>2312</v>
      </c>
      <c r="G128" s="10" t="s">
        <v>416</v>
      </c>
      <c r="H128" s="16" t="s">
        <v>411</v>
      </c>
      <c r="I128" t="s">
        <v>420</v>
      </c>
      <c r="J128" s="16" t="s">
        <v>63</v>
      </c>
      <c r="K128" s="10" t="s">
        <v>417</v>
      </c>
      <c r="L128" s="10">
        <v>3</v>
      </c>
      <c r="M128">
        <v>3</v>
      </c>
      <c r="N128" s="10"/>
      <c r="O128">
        <v>2820</v>
      </c>
      <c r="S128">
        <v>5030</v>
      </c>
      <c r="U128" t="s">
        <v>956</v>
      </c>
      <c r="V128" t="s">
        <v>957</v>
      </c>
      <c r="Y128" s="10">
        <v>2420</v>
      </c>
      <c r="AA128" s="5">
        <f t="shared" si="40"/>
        <v>2420</v>
      </c>
      <c r="AG128" s="10">
        <v>720</v>
      </c>
      <c r="AO128" s="14">
        <f t="shared" si="38"/>
        <v>0.85815602836879434</v>
      </c>
      <c r="AP128" s="14">
        <f t="shared" si="33"/>
        <v>0.14314115308151093</v>
      </c>
      <c r="AQ128" s="14"/>
      <c r="AR128" s="3">
        <f t="shared" si="44"/>
        <v>1.0012971814503053</v>
      </c>
      <c r="AS128" s="3"/>
      <c r="AT128" s="3"/>
      <c r="AU128" s="36"/>
      <c r="AV128" s="36"/>
      <c r="AW128" s="36"/>
      <c r="AX128" s="36"/>
      <c r="AY128" s="36"/>
      <c r="AZ128">
        <v>40</v>
      </c>
      <c r="BB128" t="s">
        <v>3</v>
      </c>
      <c r="BD128" s="10" t="s">
        <v>2</v>
      </c>
      <c r="BE128" s="10" t="s">
        <v>3</v>
      </c>
    </row>
    <row r="129" spans="1:58" x14ac:dyDescent="0.3">
      <c r="A129" s="10" t="s">
        <v>414</v>
      </c>
      <c r="B129" s="10" t="s">
        <v>131</v>
      </c>
      <c r="C129" s="16" t="s">
        <v>171</v>
      </c>
      <c r="D129" s="16" t="s">
        <v>415</v>
      </c>
      <c r="E129" s="10" t="s">
        <v>938</v>
      </c>
      <c r="F129" s="4" t="s">
        <v>2312</v>
      </c>
      <c r="G129" s="10" t="s">
        <v>416</v>
      </c>
      <c r="H129" s="16" t="s">
        <v>411</v>
      </c>
      <c r="I129" t="s">
        <v>420</v>
      </c>
      <c r="J129" s="16" t="s">
        <v>63</v>
      </c>
      <c r="K129" s="10" t="s">
        <v>417</v>
      </c>
      <c r="L129" s="10">
        <v>3</v>
      </c>
      <c r="M129">
        <v>3</v>
      </c>
      <c r="N129" s="10"/>
      <c r="O129">
        <v>3090</v>
      </c>
      <c r="S129">
        <v>7920</v>
      </c>
      <c r="U129" t="s">
        <v>956</v>
      </c>
      <c r="V129" t="s">
        <v>957</v>
      </c>
      <c r="Y129" s="10">
        <v>3930</v>
      </c>
      <c r="AA129" s="5">
        <f t="shared" si="40"/>
        <v>3930</v>
      </c>
      <c r="AG129" s="10">
        <v>1740</v>
      </c>
      <c r="AO129" s="14">
        <f t="shared" si="38"/>
        <v>1.2718446601941749</v>
      </c>
      <c r="AP129" s="14">
        <f t="shared" si="33"/>
        <v>0.2196969696969697</v>
      </c>
      <c r="AQ129" s="14"/>
      <c r="AR129" s="3">
        <f t="shared" si="44"/>
        <v>1.4915416298911446</v>
      </c>
      <c r="AS129" s="3"/>
      <c r="AT129" s="3"/>
      <c r="AU129" s="36"/>
      <c r="AV129" s="36"/>
      <c r="AW129" s="36"/>
      <c r="AX129" s="36"/>
      <c r="AY129" s="36"/>
      <c r="AZ129">
        <v>40</v>
      </c>
      <c r="BB129" t="s">
        <v>3</v>
      </c>
      <c r="BD129" s="10" t="s">
        <v>2</v>
      </c>
      <c r="BE129" s="10" t="s">
        <v>3</v>
      </c>
    </row>
    <row r="130" spans="1:58" x14ac:dyDescent="0.3">
      <c r="A130" s="10" t="s">
        <v>414</v>
      </c>
      <c r="B130" s="10" t="s">
        <v>131</v>
      </c>
      <c r="C130" s="16" t="s">
        <v>171</v>
      </c>
      <c r="D130" s="16" t="s">
        <v>415</v>
      </c>
      <c r="E130" s="10" t="s">
        <v>940</v>
      </c>
      <c r="F130" s="4" t="s">
        <v>2312</v>
      </c>
      <c r="G130" s="10" t="s">
        <v>416</v>
      </c>
      <c r="H130" s="16" t="s">
        <v>411</v>
      </c>
      <c r="I130" t="s">
        <v>420</v>
      </c>
      <c r="J130" s="16" t="s">
        <v>63</v>
      </c>
      <c r="K130" s="10" t="s">
        <v>417</v>
      </c>
      <c r="L130" s="10">
        <v>3</v>
      </c>
      <c r="M130">
        <v>3</v>
      </c>
      <c r="N130" s="10"/>
      <c r="O130">
        <v>2890</v>
      </c>
      <c r="S130">
        <v>4370</v>
      </c>
      <c r="U130" t="s">
        <v>956</v>
      </c>
      <c r="V130" t="s">
        <v>957</v>
      </c>
      <c r="Y130" s="10">
        <v>2450</v>
      </c>
      <c r="AA130" s="5">
        <f t="shared" si="40"/>
        <v>2450</v>
      </c>
      <c r="AG130" s="10">
        <v>750</v>
      </c>
      <c r="AO130" s="14">
        <f t="shared" si="38"/>
        <v>0.84775086505190311</v>
      </c>
      <c r="AP130" s="14">
        <f t="shared" si="33"/>
        <v>0.17162471395881007</v>
      </c>
      <c r="AQ130" s="14"/>
      <c r="AR130" s="3">
        <f t="shared" si="44"/>
        <v>1.0193755790107133</v>
      </c>
      <c r="AS130" s="3"/>
      <c r="AT130" s="3"/>
      <c r="AU130" s="36"/>
      <c r="AV130" s="36"/>
      <c r="AW130" s="36"/>
      <c r="AX130" s="36"/>
      <c r="AY130" s="36"/>
      <c r="AZ130">
        <v>40</v>
      </c>
      <c r="BB130" t="s">
        <v>3</v>
      </c>
      <c r="BD130" s="10" t="s">
        <v>2</v>
      </c>
      <c r="BE130" s="10" t="s">
        <v>3</v>
      </c>
    </row>
    <row r="131" spans="1:58" x14ac:dyDescent="0.3">
      <c r="A131" s="10" t="s">
        <v>414</v>
      </c>
      <c r="B131" s="10" t="s">
        <v>131</v>
      </c>
      <c r="C131" s="16" t="s">
        <v>171</v>
      </c>
      <c r="D131" s="16" t="s">
        <v>415</v>
      </c>
      <c r="E131" s="10" t="s">
        <v>939</v>
      </c>
      <c r="F131" s="4" t="s">
        <v>2312</v>
      </c>
      <c r="G131" s="10" t="s">
        <v>416</v>
      </c>
      <c r="H131" s="16" t="s">
        <v>411</v>
      </c>
      <c r="I131" t="s">
        <v>420</v>
      </c>
      <c r="J131" s="16" t="s">
        <v>63</v>
      </c>
      <c r="K131" s="10" t="s">
        <v>417</v>
      </c>
      <c r="L131" s="10">
        <v>3</v>
      </c>
      <c r="M131">
        <v>3</v>
      </c>
      <c r="N131" s="10"/>
      <c r="O131">
        <v>3060</v>
      </c>
      <c r="S131">
        <v>7070</v>
      </c>
      <c r="U131" t="s">
        <v>956</v>
      </c>
      <c r="V131" t="s">
        <v>957</v>
      </c>
      <c r="Y131" s="10">
        <v>3470</v>
      </c>
      <c r="AA131" s="5">
        <f t="shared" si="40"/>
        <v>3470</v>
      </c>
      <c r="AG131" s="10">
        <v>1340</v>
      </c>
      <c r="AO131" s="14">
        <f t="shared" si="38"/>
        <v>1.1339869281045751</v>
      </c>
      <c r="AP131" s="14">
        <f t="shared" si="33"/>
        <v>0.18953323903818953</v>
      </c>
      <c r="AQ131" s="14"/>
      <c r="AR131" s="3">
        <f t="shared" si="44"/>
        <v>1.3235201671427648</v>
      </c>
      <c r="AS131" s="3"/>
      <c r="AT131" s="3"/>
      <c r="AU131" s="36"/>
      <c r="AV131" s="36"/>
      <c r="AW131" s="36"/>
      <c r="AX131" s="36"/>
      <c r="AY131" s="36"/>
      <c r="AZ131">
        <v>40</v>
      </c>
      <c r="BB131" t="s">
        <v>3</v>
      </c>
      <c r="BD131" s="10" t="s">
        <v>2</v>
      </c>
      <c r="BE131" s="10" t="s">
        <v>3</v>
      </c>
    </row>
    <row r="132" spans="1:58" x14ac:dyDescent="0.3">
      <c r="A132" s="10" t="s">
        <v>414</v>
      </c>
      <c r="B132" s="10" t="s">
        <v>131</v>
      </c>
      <c r="C132" s="16" t="s">
        <v>171</v>
      </c>
      <c r="D132" s="16" t="s">
        <v>415</v>
      </c>
      <c r="E132" s="10" t="s">
        <v>941</v>
      </c>
      <c r="F132" s="4" t="s">
        <v>2312</v>
      </c>
      <c r="G132" s="10" t="s">
        <v>416</v>
      </c>
      <c r="H132" s="16" t="s">
        <v>411</v>
      </c>
      <c r="I132" t="s">
        <v>420</v>
      </c>
      <c r="J132" s="16" t="s">
        <v>63</v>
      </c>
      <c r="K132" s="10" t="s">
        <v>417</v>
      </c>
      <c r="L132" s="10">
        <v>3</v>
      </c>
      <c r="M132">
        <v>3</v>
      </c>
      <c r="N132" s="10"/>
      <c r="O132">
        <v>1270</v>
      </c>
      <c r="S132">
        <v>4900</v>
      </c>
      <c r="U132" t="s">
        <v>956</v>
      </c>
      <c r="V132" t="s">
        <v>957</v>
      </c>
      <c r="Y132" s="10">
        <v>1450</v>
      </c>
      <c r="AA132" s="5">
        <f t="shared" si="40"/>
        <v>1450</v>
      </c>
      <c r="AG132" s="10">
        <v>930</v>
      </c>
      <c r="AO132" s="14">
        <f t="shared" si="38"/>
        <v>1.1417322834645669</v>
      </c>
      <c r="AP132" s="14">
        <f t="shared" si="33"/>
        <v>0.18979591836734694</v>
      </c>
      <c r="AQ132" s="14"/>
      <c r="AR132" s="3">
        <f t="shared" si="44"/>
        <v>1.3315282018319139</v>
      </c>
      <c r="AS132" s="3"/>
      <c r="AT132" s="3"/>
      <c r="AU132" s="36"/>
      <c r="AV132" s="36"/>
      <c r="AW132" s="36"/>
      <c r="AX132" s="36"/>
      <c r="AY132" s="36"/>
      <c r="AZ132">
        <v>40</v>
      </c>
      <c r="BB132" t="s">
        <v>3</v>
      </c>
      <c r="BD132" s="10" t="s">
        <v>2</v>
      </c>
      <c r="BE132" s="10" t="s">
        <v>3</v>
      </c>
    </row>
    <row r="133" spans="1:58" x14ac:dyDescent="0.3">
      <c r="A133" s="10" t="s">
        <v>414</v>
      </c>
      <c r="B133" s="10" t="s">
        <v>131</v>
      </c>
      <c r="C133" s="16" t="s">
        <v>171</v>
      </c>
      <c r="D133" s="16" t="s">
        <v>415</v>
      </c>
      <c r="E133" s="10" t="s">
        <v>942</v>
      </c>
      <c r="F133" s="4" t="s">
        <v>2312</v>
      </c>
      <c r="G133" s="10" t="s">
        <v>416</v>
      </c>
      <c r="H133" s="16" t="s">
        <v>411</v>
      </c>
      <c r="I133" t="s">
        <v>420</v>
      </c>
      <c r="J133" s="16" t="s">
        <v>63</v>
      </c>
      <c r="K133" s="10" t="s">
        <v>417</v>
      </c>
      <c r="L133" s="10">
        <v>3</v>
      </c>
      <c r="M133">
        <v>3</v>
      </c>
      <c r="N133" s="10"/>
      <c r="O133">
        <v>2620</v>
      </c>
      <c r="S133">
        <v>2700</v>
      </c>
      <c r="U133" t="s">
        <v>956</v>
      </c>
      <c r="V133" t="s">
        <v>957</v>
      </c>
      <c r="Y133" s="10">
        <v>2540</v>
      </c>
      <c r="AA133" s="5">
        <f t="shared" si="40"/>
        <v>2540</v>
      </c>
      <c r="AG133" s="10">
        <v>410</v>
      </c>
      <c r="AO133" s="14">
        <f t="shared" si="38"/>
        <v>0.96946564885496178</v>
      </c>
      <c r="AP133" s="14">
        <f t="shared" si="33"/>
        <v>0.15185185185185185</v>
      </c>
      <c r="AQ133" s="14"/>
      <c r="AR133" s="3">
        <f t="shared" si="44"/>
        <v>1.1213175007068137</v>
      </c>
      <c r="AS133" s="3"/>
      <c r="AT133" s="3"/>
      <c r="AU133" s="36"/>
      <c r="AV133" s="36"/>
      <c r="AW133" s="36"/>
      <c r="AX133" s="36"/>
      <c r="AY133" s="36"/>
      <c r="AZ133">
        <v>40</v>
      </c>
      <c r="BB133" t="s">
        <v>3</v>
      </c>
      <c r="BD133" s="10" t="s">
        <v>2</v>
      </c>
      <c r="BE133" s="10" t="s">
        <v>3</v>
      </c>
    </row>
    <row r="134" spans="1:58" s="10" customFormat="1" x14ac:dyDescent="0.3">
      <c r="A134" s="10" t="s">
        <v>421</v>
      </c>
      <c r="B134" s="10" t="s">
        <v>131</v>
      </c>
      <c r="C134" s="10" t="s">
        <v>422</v>
      </c>
      <c r="D134" s="16" t="s">
        <v>423</v>
      </c>
      <c r="F134" s="4" t="s">
        <v>2312</v>
      </c>
      <c r="G134" s="10" t="s">
        <v>387</v>
      </c>
      <c r="H134" s="16" t="s">
        <v>17</v>
      </c>
      <c r="J134" s="16" t="s">
        <v>63</v>
      </c>
      <c r="K134" s="10" t="s">
        <v>155</v>
      </c>
      <c r="L134" s="10">
        <v>4</v>
      </c>
      <c r="M134" s="10">
        <v>4</v>
      </c>
      <c r="O134" s="10">
        <v>6200</v>
      </c>
      <c r="Y134" s="10">
        <v>7800</v>
      </c>
      <c r="AA134" s="25">
        <f t="shared" si="40"/>
        <v>7800</v>
      </c>
      <c r="AM134" s="10">
        <v>2000</v>
      </c>
      <c r="AO134" s="14">
        <f t="shared" ref="AO134:AO163" si="45">Y134/O134</f>
        <v>1.2580645161290323</v>
      </c>
      <c r="AR134" s="14">
        <f t="shared" si="32"/>
        <v>1.2580645161290323</v>
      </c>
      <c r="AS134" s="14"/>
      <c r="AT134" s="14"/>
      <c r="AU134" s="44"/>
      <c r="AV134" s="44"/>
      <c r="AW134" s="44"/>
      <c r="AX134" s="44"/>
      <c r="AY134" s="44"/>
      <c r="AZ134" s="10">
        <v>0</v>
      </c>
      <c r="BA134" s="26" t="s">
        <v>2584</v>
      </c>
      <c r="BC134" s="10" t="s">
        <v>2</v>
      </c>
      <c r="BD134" s="10" t="s">
        <v>2</v>
      </c>
      <c r="BE134" s="10" t="s">
        <v>2023</v>
      </c>
      <c r="BF134" s="10" t="s">
        <v>944</v>
      </c>
    </row>
    <row r="135" spans="1:58" s="10" customFormat="1" x14ac:dyDescent="0.3">
      <c r="A135" s="10" t="s">
        <v>421</v>
      </c>
      <c r="B135" s="10" t="s">
        <v>131</v>
      </c>
      <c r="C135" s="10" t="s">
        <v>422</v>
      </c>
      <c r="D135" s="16" t="s">
        <v>423</v>
      </c>
      <c r="F135" s="4" t="s">
        <v>2312</v>
      </c>
      <c r="G135" s="10" t="s">
        <v>943</v>
      </c>
      <c r="H135" s="16" t="s">
        <v>17</v>
      </c>
      <c r="J135" s="16" t="s">
        <v>63</v>
      </c>
      <c r="K135" s="10" t="s">
        <v>361</v>
      </c>
      <c r="L135" s="10">
        <v>4</v>
      </c>
      <c r="M135" s="10">
        <v>4</v>
      </c>
      <c r="O135" s="10">
        <v>6200</v>
      </c>
      <c r="Y135" s="10">
        <v>5200</v>
      </c>
      <c r="AA135" s="25">
        <f t="shared" si="40"/>
        <v>5200</v>
      </c>
      <c r="AM135" s="10">
        <v>2000</v>
      </c>
      <c r="AO135" s="14">
        <f t="shared" si="45"/>
        <v>0.83870967741935487</v>
      </c>
      <c r="AR135" s="14">
        <f t="shared" ref="AR135:AR136" si="46">AO135+AP135</f>
        <v>0.83870967741935487</v>
      </c>
      <c r="AS135" s="14"/>
      <c r="AT135" s="14"/>
      <c r="AU135" s="44"/>
      <c r="AV135" s="44"/>
      <c r="AW135" s="44"/>
      <c r="AX135" s="44"/>
      <c r="AY135" s="44"/>
      <c r="AZ135" s="10">
        <v>0</v>
      </c>
      <c r="BA135" s="26" t="s">
        <v>2584</v>
      </c>
      <c r="BC135" s="10" t="s">
        <v>2</v>
      </c>
      <c r="BD135" s="10" t="s">
        <v>2</v>
      </c>
      <c r="BE135" s="10" t="s">
        <v>2023</v>
      </c>
      <c r="BF135" s="10" t="s">
        <v>944</v>
      </c>
    </row>
    <row r="136" spans="1:58" x14ac:dyDescent="0.3">
      <c r="A136" s="10" t="s">
        <v>424</v>
      </c>
      <c r="B136" s="10" t="s">
        <v>425</v>
      </c>
      <c r="C136" s="16" t="s">
        <v>426</v>
      </c>
      <c r="D136" s="16" t="s">
        <v>427</v>
      </c>
      <c r="E136" s="10">
        <v>1999</v>
      </c>
      <c r="F136" s="4" t="s">
        <v>2312</v>
      </c>
      <c r="G136" s="10" t="s">
        <v>428</v>
      </c>
      <c r="H136" s="16" t="s">
        <v>429</v>
      </c>
      <c r="I136" s="10" t="s">
        <v>430</v>
      </c>
      <c r="J136" s="16" t="s">
        <v>53</v>
      </c>
      <c r="K136" s="10" t="s">
        <v>433</v>
      </c>
      <c r="L136" s="10">
        <v>4</v>
      </c>
      <c r="M136">
        <v>4</v>
      </c>
      <c r="N136" s="10"/>
      <c r="O136">
        <v>1470</v>
      </c>
      <c r="Q136">
        <v>33</v>
      </c>
      <c r="Y136">
        <v>1680</v>
      </c>
      <c r="AA136" s="5">
        <f t="shared" si="40"/>
        <v>1680</v>
      </c>
      <c r="AC136">
        <v>33</v>
      </c>
      <c r="AE136">
        <f>AC136</f>
        <v>33</v>
      </c>
      <c r="AO136" s="14">
        <f t="shared" si="45"/>
        <v>1.1428571428571428</v>
      </c>
      <c r="AP136" s="3">
        <f t="shared" ref="AP136:AP151" si="47">AC136/Q136</f>
        <v>1</v>
      </c>
      <c r="AQ136" s="3"/>
      <c r="AR136" s="3">
        <f t="shared" si="46"/>
        <v>2.1428571428571428</v>
      </c>
      <c r="AS136" s="3"/>
      <c r="AT136" s="3"/>
      <c r="AU136" s="36"/>
      <c r="AV136" s="36"/>
      <c r="AW136" s="36"/>
      <c r="AX136" s="36"/>
      <c r="AY136" s="36"/>
      <c r="AZ136">
        <v>0</v>
      </c>
      <c r="BD136" s="10" t="s">
        <v>2</v>
      </c>
      <c r="BE136" s="10" t="s">
        <v>2</v>
      </c>
      <c r="BF136" t="s">
        <v>2589</v>
      </c>
    </row>
    <row r="137" spans="1:58" x14ac:dyDescent="0.3">
      <c r="A137" s="10" t="s">
        <v>424</v>
      </c>
      <c r="B137" s="10" t="s">
        <v>425</v>
      </c>
      <c r="C137" s="16" t="s">
        <v>426</v>
      </c>
      <c r="D137" s="16" t="s">
        <v>427</v>
      </c>
      <c r="E137" s="10">
        <v>2000</v>
      </c>
      <c r="F137" s="4" t="s">
        <v>2312</v>
      </c>
      <c r="G137" s="10" t="s">
        <v>428</v>
      </c>
      <c r="H137" s="16" t="s">
        <v>429</v>
      </c>
      <c r="I137" s="10" t="s">
        <v>430</v>
      </c>
      <c r="J137" s="16" t="s">
        <v>53</v>
      </c>
      <c r="K137" s="10" t="s">
        <v>433</v>
      </c>
      <c r="L137" s="10">
        <v>4</v>
      </c>
      <c r="M137">
        <v>4</v>
      </c>
      <c r="N137" s="10"/>
      <c r="O137">
        <v>2300</v>
      </c>
      <c r="Q137">
        <v>33</v>
      </c>
      <c r="Y137">
        <v>1740</v>
      </c>
      <c r="AA137" s="5">
        <f t="shared" si="40"/>
        <v>1740</v>
      </c>
      <c r="AC137">
        <v>33</v>
      </c>
      <c r="AE137">
        <f t="shared" ref="AE137:AE151" si="48">AC137</f>
        <v>33</v>
      </c>
      <c r="AO137" s="14">
        <f t="shared" si="45"/>
        <v>0.75652173913043474</v>
      </c>
      <c r="AP137" s="3">
        <f t="shared" si="47"/>
        <v>1</v>
      </c>
      <c r="AQ137" s="3"/>
      <c r="AR137" s="3">
        <f t="shared" ref="AR137" si="49">AO137+AP137</f>
        <v>1.7565217391304349</v>
      </c>
      <c r="AS137" s="3"/>
      <c r="AT137" s="3"/>
      <c r="AU137" s="36"/>
      <c r="AV137" s="36"/>
      <c r="AW137" s="36"/>
      <c r="AX137" s="36"/>
      <c r="AY137" s="36"/>
      <c r="AZ137">
        <v>0</v>
      </c>
      <c r="BD137" s="10" t="s">
        <v>2</v>
      </c>
      <c r="BE137" s="10" t="s">
        <v>2</v>
      </c>
      <c r="BF137" t="s">
        <v>2589</v>
      </c>
    </row>
    <row r="138" spans="1:58" x14ac:dyDescent="0.3">
      <c r="A138" s="10" t="s">
        <v>424</v>
      </c>
      <c r="B138" s="10" t="s">
        <v>425</v>
      </c>
      <c r="C138" s="16" t="s">
        <v>426</v>
      </c>
      <c r="D138" s="16" t="s">
        <v>427</v>
      </c>
      <c r="E138" s="10">
        <v>2001</v>
      </c>
      <c r="F138" s="4" t="s">
        <v>2312</v>
      </c>
      <c r="G138" s="10" t="s">
        <v>428</v>
      </c>
      <c r="H138" s="16" t="s">
        <v>429</v>
      </c>
      <c r="I138" s="10" t="s">
        <v>430</v>
      </c>
      <c r="J138" s="16" t="s">
        <v>53</v>
      </c>
      <c r="K138" s="10" t="s">
        <v>433</v>
      </c>
      <c r="L138" s="10">
        <v>4</v>
      </c>
      <c r="M138">
        <v>4</v>
      </c>
      <c r="N138" s="10"/>
      <c r="O138">
        <v>1040</v>
      </c>
      <c r="Q138">
        <v>33</v>
      </c>
      <c r="Y138">
        <v>1390</v>
      </c>
      <c r="AA138" s="5">
        <f t="shared" si="40"/>
        <v>1390</v>
      </c>
      <c r="AC138">
        <v>33</v>
      </c>
      <c r="AE138">
        <f t="shared" si="48"/>
        <v>33</v>
      </c>
      <c r="AO138" s="14">
        <f t="shared" si="45"/>
        <v>1.3365384615384615</v>
      </c>
      <c r="AP138" s="3">
        <f t="shared" si="47"/>
        <v>1</v>
      </c>
      <c r="AQ138" s="3"/>
      <c r="AR138" s="3">
        <f t="shared" ref="AR138:AR144" si="50">AO138+AP138</f>
        <v>2.3365384615384617</v>
      </c>
      <c r="AS138" s="3"/>
      <c r="AT138" s="3"/>
      <c r="AU138" s="36"/>
      <c r="AV138" s="36"/>
      <c r="AW138" s="36"/>
      <c r="AX138" s="36"/>
      <c r="AY138" s="36"/>
      <c r="AZ138">
        <v>0</v>
      </c>
      <c r="BD138" s="10" t="s">
        <v>2</v>
      </c>
      <c r="BE138" s="10" t="s">
        <v>2</v>
      </c>
      <c r="BF138" t="s">
        <v>2589</v>
      </c>
    </row>
    <row r="139" spans="1:58" x14ac:dyDescent="0.3">
      <c r="A139" s="10" t="s">
        <v>424</v>
      </c>
      <c r="B139" s="10" t="s">
        <v>425</v>
      </c>
      <c r="C139" s="16" t="s">
        <v>426</v>
      </c>
      <c r="D139" s="16" t="s">
        <v>427</v>
      </c>
      <c r="E139" s="10">
        <v>2002</v>
      </c>
      <c r="F139" s="4" t="s">
        <v>2312</v>
      </c>
      <c r="G139" s="10" t="s">
        <v>428</v>
      </c>
      <c r="H139" s="16" t="s">
        <v>429</v>
      </c>
      <c r="I139" s="10" t="s">
        <v>430</v>
      </c>
      <c r="J139" s="16" t="s">
        <v>53</v>
      </c>
      <c r="K139" s="10" t="s">
        <v>433</v>
      </c>
      <c r="L139" s="10">
        <v>4</v>
      </c>
      <c r="M139">
        <v>4</v>
      </c>
      <c r="N139" s="10"/>
      <c r="O139">
        <v>1360</v>
      </c>
      <c r="Q139">
        <v>33</v>
      </c>
      <c r="Y139">
        <v>1000</v>
      </c>
      <c r="AA139" s="5">
        <f t="shared" si="40"/>
        <v>1000</v>
      </c>
      <c r="AC139">
        <v>33</v>
      </c>
      <c r="AE139">
        <f t="shared" si="48"/>
        <v>33</v>
      </c>
      <c r="AO139" s="14">
        <f t="shared" si="45"/>
        <v>0.73529411764705888</v>
      </c>
      <c r="AP139" s="3">
        <f t="shared" si="47"/>
        <v>1</v>
      </c>
      <c r="AQ139" s="3"/>
      <c r="AR139" s="3">
        <f t="shared" si="50"/>
        <v>1.7352941176470589</v>
      </c>
      <c r="AS139" s="3"/>
      <c r="AT139" s="3"/>
      <c r="AU139" s="36"/>
      <c r="AV139" s="36"/>
      <c r="AW139" s="36"/>
      <c r="AX139" s="36"/>
      <c r="AY139" s="36"/>
      <c r="AZ139">
        <v>0</v>
      </c>
      <c r="BD139" s="10" t="s">
        <v>2</v>
      </c>
      <c r="BE139" s="10" t="s">
        <v>2</v>
      </c>
      <c r="BF139" t="s">
        <v>2589</v>
      </c>
    </row>
    <row r="140" spans="1:58" x14ac:dyDescent="0.3">
      <c r="A140" s="10" t="s">
        <v>424</v>
      </c>
      <c r="B140" s="10" t="s">
        <v>425</v>
      </c>
      <c r="C140" s="16" t="s">
        <v>426</v>
      </c>
      <c r="D140" s="16" t="s">
        <v>427</v>
      </c>
      <c r="E140" s="10">
        <v>1999</v>
      </c>
      <c r="F140" s="4" t="s">
        <v>2312</v>
      </c>
      <c r="G140" s="10" t="s">
        <v>428</v>
      </c>
      <c r="H140" s="16" t="s">
        <v>429</v>
      </c>
      <c r="I140" t="s">
        <v>431</v>
      </c>
      <c r="J140" s="16" t="s">
        <v>53</v>
      </c>
      <c r="K140" s="10" t="s">
        <v>433</v>
      </c>
      <c r="L140" s="10">
        <v>4</v>
      </c>
      <c r="M140">
        <v>4</v>
      </c>
      <c r="N140" s="10"/>
      <c r="O140">
        <v>1470</v>
      </c>
      <c r="Q140">
        <v>7</v>
      </c>
      <c r="Y140">
        <v>1300</v>
      </c>
      <c r="AA140" s="5">
        <f t="shared" si="40"/>
        <v>1300</v>
      </c>
      <c r="AC140">
        <v>7</v>
      </c>
      <c r="AE140">
        <f t="shared" si="48"/>
        <v>7</v>
      </c>
      <c r="AO140" s="14">
        <f t="shared" si="45"/>
        <v>0.88435374149659862</v>
      </c>
      <c r="AP140" s="3">
        <f t="shared" si="47"/>
        <v>1</v>
      </c>
      <c r="AQ140" s="3"/>
      <c r="AR140" s="3">
        <f t="shared" si="50"/>
        <v>1.8843537414965987</v>
      </c>
      <c r="AS140" s="3"/>
      <c r="AT140" s="3"/>
      <c r="AU140" s="36"/>
      <c r="AV140" s="36"/>
      <c r="AW140" s="36"/>
      <c r="AX140" s="36"/>
      <c r="AY140" s="36"/>
      <c r="AZ140">
        <v>0</v>
      </c>
      <c r="BD140" s="10" t="s">
        <v>2</v>
      </c>
      <c r="BE140" s="10" t="s">
        <v>2</v>
      </c>
      <c r="BF140" t="s">
        <v>2589</v>
      </c>
    </row>
    <row r="141" spans="1:58" x14ac:dyDescent="0.3">
      <c r="A141" s="10" t="s">
        <v>424</v>
      </c>
      <c r="B141" s="10" t="s">
        <v>425</v>
      </c>
      <c r="C141" s="16" t="s">
        <v>426</v>
      </c>
      <c r="D141" s="16" t="s">
        <v>427</v>
      </c>
      <c r="E141" s="10">
        <v>2000</v>
      </c>
      <c r="F141" s="4" t="s">
        <v>2312</v>
      </c>
      <c r="G141" s="10" t="s">
        <v>428</v>
      </c>
      <c r="H141" s="16" t="s">
        <v>429</v>
      </c>
      <c r="I141" t="s">
        <v>431</v>
      </c>
      <c r="J141" s="16" t="s">
        <v>53</v>
      </c>
      <c r="K141" s="10" t="s">
        <v>433</v>
      </c>
      <c r="L141" s="10">
        <v>4</v>
      </c>
      <c r="M141">
        <v>4</v>
      </c>
      <c r="N141" s="10"/>
      <c r="O141">
        <v>2300</v>
      </c>
      <c r="Q141">
        <v>7</v>
      </c>
      <c r="Y141">
        <v>2100</v>
      </c>
      <c r="AA141" s="5">
        <f t="shared" si="40"/>
        <v>2100</v>
      </c>
      <c r="AC141">
        <v>7</v>
      </c>
      <c r="AE141">
        <f t="shared" si="48"/>
        <v>7</v>
      </c>
      <c r="AO141" s="14">
        <f t="shared" si="45"/>
        <v>0.91304347826086951</v>
      </c>
      <c r="AP141" s="3">
        <f t="shared" si="47"/>
        <v>1</v>
      </c>
      <c r="AQ141" s="3"/>
      <c r="AR141" s="3">
        <f t="shared" si="50"/>
        <v>1.9130434782608696</v>
      </c>
      <c r="AS141" s="3"/>
      <c r="AT141" s="3"/>
      <c r="AU141" s="36"/>
      <c r="AV141" s="36"/>
      <c r="AW141" s="36"/>
      <c r="AX141" s="36"/>
      <c r="AY141" s="36"/>
      <c r="AZ141">
        <v>0</v>
      </c>
      <c r="BD141" s="10" t="s">
        <v>2</v>
      </c>
      <c r="BE141" s="10" t="s">
        <v>2</v>
      </c>
      <c r="BF141" t="s">
        <v>2589</v>
      </c>
    </row>
    <row r="142" spans="1:58" x14ac:dyDescent="0.3">
      <c r="A142" s="10" t="s">
        <v>424</v>
      </c>
      <c r="B142" s="10" t="s">
        <v>425</v>
      </c>
      <c r="C142" s="16" t="s">
        <v>426</v>
      </c>
      <c r="D142" s="16" t="s">
        <v>427</v>
      </c>
      <c r="E142" s="10">
        <v>2001</v>
      </c>
      <c r="F142" s="4" t="s">
        <v>2312</v>
      </c>
      <c r="G142" s="10" t="s">
        <v>428</v>
      </c>
      <c r="H142" s="16" t="s">
        <v>429</v>
      </c>
      <c r="I142" t="s">
        <v>431</v>
      </c>
      <c r="J142" s="16" t="s">
        <v>53</v>
      </c>
      <c r="K142" s="10" t="s">
        <v>433</v>
      </c>
      <c r="L142" s="10">
        <v>4</v>
      </c>
      <c r="M142">
        <v>4</v>
      </c>
      <c r="N142" s="10"/>
      <c r="O142">
        <v>1040</v>
      </c>
      <c r="Q142">
        <v>7</v>
      </c>
      <c r="Y142">
        <v>1450</v>
      </c>
      <c r="AA142" s="5">
        <f t="shared" si="40"/>
        <v>1450</v>
      </c>
      <c r="AC142">
        <v>7</v>
      </c>
      <c r="AE142">
        <f t="shared" si="48"/>
        <v>7</v>
      </c>
      <c r="AO142" s="14">
        <f t="shared" si="45"/>
        <v>1.3942307692307692</v>
      </c>
      <c r="AP142" s="3">
        <f t="shared" si="47"/>
        <v>1</v>
      </c>
      <c r="AQ142" s="3"/>
      <c r="AR142" s="3">
        <f t="shared" si="50"/>
        <v>2.3942307692307692</v>
      </c>
      <c r="AS142" s="3"/>
      <c r="AT142" s="3"/>
      <c r="AU142" s="36"/>
      <c r="AV142" s="36"/>
      <c r="AW142" s="36"/>
      <c r="AX142" s="36"/>
      <c r="AY142" s="36"/>
      <c r="AZ142">
        <v>0</v>
      </c>
      <c r="BD142" s="10" t="s">
        <v>2</v>
      </c>
      <c r="BE142" s="10" t="s">
        <v>2</v>
      </c>
      <c r="BF142" t="s">
        <v>2589</v>
      </c>
    </row>
    <row r="143" spans="1:58" x14ac:dyDescent="0.3">
      <c r="A143" s="10" t="s">
        <v>424</v>
      </c>
      <c r="B143" s="10" t="s">
        <v>425</v>
      </c>
      <c r="C143" s="16" t="s">
        <v>426</v>
      </c>
      <c r="D143" s="16" t="s">
        <v>427</v>
      </c>
      <c r="E143" s="10">
        <v>2002</v>
      </c>
      <c r="F143" s="4" t="s">
        <v>2312</v>
      </c>
      <c r="G143" s="10" t="s">
        <v>428</v>
      </c>
      <c r="H143" s="16" t="s">
        <v>429</v>
      </c>
      <c r="I143" t="s">
        <v>431</v>
      </c>
      <c r="J143" s="16" t="s">
        <v>53</v>
      </c>
      <c r="K143" s="10" t="s">
        <v>433</v>
      </c>
      <c r="L143" s="10">
        <v>4</v>
      </c>
      <c r="M143">
        <v>4</v>
      </c>
      <c r="N143" s="10"/>
      <c r="O143">
        <v>1360</v>
      </c>
      <c r="Q143">
        <v>7</v>
      </c>
      <c r="Y143">
        <v>1640</v>
      </c>
      <c r="AA143" s="5">
        <f t="shared" si="40"/>
        <v>1640</v>
      </c>
      <c r="AC143">
        <v>7</v>
      </c>
      <c r="AE143">
        <f t="shared" si="48"/>
        <v>7</v>
      </c>
      <c r="AO143" s="14">
        <f t="shared" si="45"/>
        <v>1.2058823529411764</v>
      </c>
      <c r="AP143" s="3">
        <f t="shared" si="47"/>
        <v>1</v>
      </c>
      <c r="AQ143" s="3"/>
      <c r="AR143" s="3">
        <f t="shared" si="50"/>
        <v>2.2058823529411766</v>
      </c>
      <c r="AS143" s="3"/>
      <c r="AT143" s="3"/>
      <c r="AU143" s="36"/>
      <c r="AV143" s="36"/>
      <c r="AW143" s="36"/>
      <c r="AX143" s="36"/>
      <c r="AY143" s="36"/>
      <c r="AZ143">
        <v>0</v>
      </c>
      <c r="BD143" s="10" t="s">
        <v>2</v>
      </c>
      <c r="BE143" s="10" t="s">
        <v>2</v>
      </c>
      <c r="BF143" t="s">
        <v>2589</v>
      </c>
    </row>
    <row r="144" spans="1:58" x14ac:dyDescent="0.3">
      <c r="A144" s="10" t="s">
        <v>424</v>
      </c>
      <c r="B144" s="10" t="s">
        <v>425</v>
      </c>
      <c r="C144" s="16" t="s">
        <v>426</v>
      </c>
      <c r="D144" s="16" t="s">
        <v>427</v>
      </c>
      <c r="E144" s="10">
        <v>1999</v>
      </c>
      <c r="F144" s="4" t="s">
        <v>2312</v>
      </c>
      <c r="G144" s="10" t="s">
        <v>428</v>
      </c>
      <c r="H144" s="16" t="s">
        <v>429</v>
      </c>
      <c r="I144" s="10" t="s">
        <v>430</v>
      </c>
      <c r="J144" s="16" t="s">
        <v>432</v>
      </c>
      <c r="K144" s="10" t="s">
        <v>433</v>
      </c>
      <c r="L144" s="10">
        <v>4</v>
      </c>
      <c r="M144">
        <v>4</v>
      </c>
      <c r="N144" s="10"/>
      <c r="O144">
        <v>760</v>
      </c>
      <c r="Q144">
        <v>33</v>
      </c>
      <c r="Y144">
        <v>610</v>
      </c>
      <c r="AA144" s="5">
        <f t="shared" si="40"/>
        <v>610</v>
      </c>
      <c r="AC144">
        <v>33</v>
      </c>
      <c r="AE144">
        <f t="shared" si="48"/>
        <v>33</v>
      </c>
      <c r="AO144" s="14">
        <f t="shared" si="45"/>
        <v>0.80263157894736847</v>
      </c>
      <c r="AP144" s="3">
        <f t="shared" si="47"/>
        <v>1</v>
      </c>
      <c r="AQ144" s="3"/>
      <c r="AR144" s="3">
        <f t="shared" si="50"/>
        <v>1.8026315789473686</v>
      </c>
      <c r="AS144" s="3"/>
      <c r="AT144" s="3"/>
      <c r="AU144" s="36"/>
      <c r="AV144" s="36"/>
      <c r="AW144" s="36"/>
      <c r="AX144" s="36"/>
      <c r="AY144" s="36"/>
      <c r="AZ144">
        <v>0</v>
      </c>
      <c r="BD144" s="10" t="s">
        <v>2</v>
      </c>
      <c r="BE144" s="10" t="s">
        <v>2</v>
      </c>
      <c r="BF144" t="s">
        <v>2589</v>
      </c>
    </row>
    <row r="145" spans="1:63" x14ac:dyDescent="0.3">
      <c r="A145" s="10" t="s">
        <v>424</v>
      </c>
      <c r="B145" s="10" t="s">
        <v>425</v>
      </c>
      <c r="C145" s="16" t="s">
        <v>426</v>
      </c>
      <c r="D145" s="16" t="s">
        <v>427</v>
      </c>
      <c r="E145" s="10">
        <v>2000</v>
      </c>
      <c r="F145" s="4" t="s">
        <v>2312</v>
      </c>
      <c r="G145" s="10" t="s">
        <v>428</v>
      </c>
      <c r="H145" s="16" t="s">
        <v>429</v>
      </c>
      <c r="I145" s="10" t="s">
        <v>430</v>
      </c>
      <c r="J145" s="16" t="s">
        <v>432</v>
      </c>
      <c r="K145" s="10" t="s">
        <v>433</v>
      </c>
      <c r="L145" s="10">
        <v>4</v>
      </c>
      <c r="M145">
        <v>4</v>
      </c>
      <c r="N145" s="10"/>
      <c r="O145">
        <v>300</v>
      </c>
      <c r="Q145">
        <v>33</v>
      </c>
      <c r="Y145">
        <v>350</v>
      </c>
      <c r="AA145" s="5">
        <f t="shared" si="40"/>
        <v>350</v>
      </c>
      <c r="AC145">
        <v>33</v>
      </c>
      <c r="AE145">
        <f t="shared" si="48"/>
        <v>33</v>
      </c>
      <c r="AO145" s="14">
        <f t="shared" si="45"/>
        <v>1.1666666666666667</v>
      </c>
      <c r="AP145" s="3">
        <f t="shared" si="47"/>
        <v>1</v>
      </c>
      <c r="AQ145" s="3"/>
      <c r="AR145" s="3">
        <f t="shared" ref="AR145:AR151" si="51">AO145+AP145</f>
        <v>2.166666666666667</v>
      </c>
      <c r="AS145" s="3"/>
      <c r="AT145" s="3"/>
      <c r="AU145" s="36"/>
      <c r="AV145" s="36"/>
      <c r="AW145" s="36"/>
      <c r="AX145" s="36"/>
      <c r="AY145" s="36"/>
      <c r="AZ145">
        <v>0</v>
      </c>
      <c r="BD145" s="10" t="s">
        <v>2</v>
      </c>
      <c r="BE145" s="10" t="s">
        <v>2</v>
      </c>
      <c r="BF145" t="s">
        <v>2589</v>
      </c>
    </row>
    <row r="146" spans="1:63" x14ac:dyDescent="0.3">
      <c r="A146" s="10" t="s">
        <v>424</v>
      </c>
      <c r="B146" s="10" t="s">
        <v>425</v>
      </c>
      <c r="C146" s="16" t="s">
        <v>426</v>
      </c>
      <c r="D146" s="16" t="s">
        <v>427</v>
      </c>
      <c r="E146" s="10">
        <v>2001</v>
      </c>
      <c r="F146" s="4" t="s">
        <v>2312</v>
      </c>
      <c r="G146" s="10" t="s">
        <v>428</v>
      </c>
      <c r="H146" s="16" t="s">
        <v>429</v>
      </c>
      <c r="I146" s="10" t="s">
        <v>430</v>
      </c>
      <c r="J146" s="16" t="s">
        <v>432</v>
      </c>
      <c r="K146" s="10" t="s">
        <v>433</v>
      </c>
      <c r="L146" s="10">
        <v>4</v>
      </c>
      <c r="M146">
        <v>4</v>
      </c>
      <c r="N146" s="10"/>
      <c r="O146">
        <v>200</v>
      </c>
      <c r="Q146">
        <v>33</v>
      </c>
      <c r="Y146">
        <v>110</v>
      </c>
      <c r="AA146" s="5">
        <f t="shared" si="40"/>
        <v>110</v>
      </c>
      <c r="AC146">
        <v>33</v>
      </c>
      <c r="AE146">
        <f t="shared" si="48"/>
        <v>33</v>
      </c>
      <c r="AO146" s="14">
        <f t="shared" si="45"/>
        <v>0.55000000000000004</v>
      </c>
      <c r="AP146" s="3">
        <f t="shared" si="47"/>
        <v>1</v>
      </c>
      <c r="AQ146" s="3"/>
      <c r="AR146" s="3">
        <f t="shared" si="51"/>
        <v>1.55</v>
      </c>
      <c r="AS146" s="3"/>
      <c r="AT146" s="3"/>
      <c r="AU146" s="36"/>
      <c r="AV146" s="36"/>
      <c r="AW146" s="36"/>
      <c r="AX146" s="36"/>
      <c r="AY146" s="36"/>
      <c r="AZ146">
        <v>0</v>
      </c>
      <c r="BD146" s="10" t="s">
        <v>2</v>
      </c>
      <c r="BE146" s="10" t="s">
        <v>2</v>
      </c>
      <c r="BF146" t="s">
        <v>2589</v>
      </c>
    </row>
    <row r="147" spans="1:63" x14ac:dyDescent="0.3">
      <c r="A147" s="10" t="s">
        <v>424</v>
      </c>
      <c r="B147" s="10" t="s">
        <v>425</v>
      </c>
      <c r="C147" s="16" t="s">
        <v>426</v>
      </c>
      <c r="D147" s="16" t="s">
        <v>427</v>
      </c>
      <c r="E147" s="10">
        <v>2002</v>
      </c>
      <c r="F147" s="4" t="s">
        <v>2312</v>
      </c>
      <c r="G147" s="10" t="s">
        <v>428</v>
      </c>
      <c r="H147" s="16" t="s">
        <v>429</v>
      </c>
      <c r="I147" s="10" t="s">
        <v>430</v>
      </c>
      <c r="J147" s="16" t="s">
        <v>432</v>
      </c>
      <c r="K147" s="10" t="s">
        <v>433</v>
      </c>
      <c r="L147" s="10">
        <v>4</v>
      </c>
      <c r="M147">
        <v>4</v>
      </c>
      <c r="N147" s="10"/>
      <c r="O147">
        <v>400</v>
      </c>
      <c r="Q147">
        <v>33</v>
      </c>
      <c r="Y147">
        <v>430</v>
      </c>
      <c r="AA147" s="5">
        <f t="shared" si="40"/>
        <v>430</v>
      </c>
      <c r="AC147">
        <v>33</v>
      </c>
      <c r="AE147">
        <f t="shared" si="48"/>
        <v>33</v>
      </c>
      <c r="AO147" s="14">
        <f t="shared" si="45"/>
        <v>1.075</v>
      </c>
      <c r="AP147" s="3">
        <f t="shared" si="47"/>
        <v>1</v>
      </c>
      <c r="AQ147" s="3"/>
      <c r="AR147" s="3">
        <f t="shared" si="51"/>
        <v>2.0750000000000002</v>
      </c>
      <c r="AS147" s="3"/>
      <c r="AT147" s="3"/>
      <c r="AU147" s="36"/>
      <c r="AV147" s="36"/>
      <c r="AW147" s="36"/>
      <c r="AX147" s="36"/>
      <c r="AY147" s="36"/>
      <c r="AZ147">
        <v>0</v>
      </c>
      <c r="BD147" s="10" t="s">
        <v>2</v>
      </c>
      <c r="BE147" s="10" t="s">
        <v>2</v>
      </c>
      <c r="BF147" t="s">
        <v>2589</v>
      </c>
    </row>
    <row r="148" spans="1:63" x14ac:dyDescent="0.3">
      <c r="A148" s="10" t="s">
        <v>424</v>
      </c>
      <c r="B148" s="10" t="s">
        <v>425</v>
      </c>
      <c r="C148" s="16" t="s">
        <v>426</v>
      </c>
      <c r="D148" s="16" t="s">
        <v>427</v>
      </c>
      <c r="E148" s="10">
        <v>1999</v>
      </c>
      <c r="F148" s="4" t="s">
        <v>2312</v>
      </c>
      <c r="G148" s="10" t="s">
        <v>428</v>
      </c>
      <c r="H148" s="16" t="s">
        <v>429</v>
      </c>
      <c r="I148" t="s">
        <v>431</v>
      </c>
      <c r="J148" s="16" t="s">
        <v>432</v>
      </c>
      <c r="K148" s="10" t="s">
        <v>433</v>
      </c>
      <c r="L148" s="10">
        <v>4</v>
      </c>
      <c r="M148">
        <v>4</v>
      </c>
      <c r="N148" s="10"/>
      <c r="O148">
        <v>760</v>
      </c>
      <c r="Q148">
        <v>7</v>
      </c>
      <c r="Y148">
        <v>550</v>
      </c>
      <c r="AA148" s="5">
        <f t="shared" si="40"/>
        <v>550</v>
      </c>
      <c r="AC148">
        <v>7</v>
      </c>
      <c r="AE148">
        <f t="shared" si="48"/>
        <v>7</v>
      </c>
      <c r="AO148" s="14">
        <f t="shared" si="45"/>
        <v>0.72368421052631582</v>
      </c>
      <c r="AP148" s="3">
        <f t="shared" si="47"/>
        <v>1</v>
      </c>
      <c r="AQ148" s="3"/>
      <c r="AR148" s="3">
        <f t="shared" si="51"/>
        <v>1.7236842105263159</v>
      </c>
      <c r="AS148" s="3"/>
      <c r="AT148" s="3"/>
      <c r="AU148" s="36"/>
      <c r="AV148" s="36"/>
      <c r="AW148" s="36"/>
      <c r="AX148" s="36"/>
      <c r="AY148" s="36"/>
      <c r="AZ148">
        <v>0</v>
      </c>
      <c r="BD148" s="10" t="s">
        <v>2</v>
      </c>
      <c r="BE148" s="10" t="s">
        <v>2</v>
      </c>
      <c r="BF148" t="s">
        <v>2589</v>
      </c>
    </row>
    <row r="149" spans="1:63" x14ac:dyDescent="0.3">
      <c r="A149" s="10" t="s">
        <v>424</v>
      </c>
      <c r="B149" s="10" t="s">
        <v>425</v>
      </c>
      <c r="C149" s="16" t="s">
        <v>426</v>
      </c>
      <c r="D149" s="16" t="s">
        <v>427</v>
      </c>
      <c r="E149" s="10">
        <v>2000</v>
      </c>
      <c r="F149" s="4" t="s">
        <v>2312</v>
      </c>
      <c r="G149" s="10" t="s">
        <v>428</v>
      </c>
      <c r="H149" s="16" t="s">
        <v>429</v>
      </c>
      <c r="I149" t="s">
        <v>431</v>
      </c>
      <c r="J149" s="16" t="s">
        <v>432</v>
      </c>
      <c r="K149" s="10" t="s">
        <v>433</v>
      </c>
      <c r="L149" s="10">
        <v>4</v>
      </c>
      <c r="M149">
        <v>4</v>
      </c>
      <c r="N149" s="10"/>
      <c r="O149">
        <v>300</v>
      </c>
      <c r="Q149">
        <v>7</v>
      </c>
      <c r="Y149">
        <v>310</v>
      </c>
      <c r="AA149" s="5">
        <f t="shared" si="40"/>
        <v>310</v>
      </c>
      <c r="AC149">
        <v>7</v>
      </c>
      <c r="AE149">
        <f t="shared" si="48"/>
        <v>7</v>
      </c>
      <c r="AO149" s="14">
        <f t="shared" si="45"/>
        <v>1.0333333333333334</v>
      </c>
      <c r="AP149" s="3">
        <f t="shared" si="47"/>
        <v>1</v>
      </c>
      <c r="AQ149" s="3"/>
      <c r="AR149" s="3">
        <f t="shared" si="51"/>
        <v>2.0333333333333332</v>
      </c>
      <c r="AS149" s="3"/>
      <c r="AT149" s="3"/>
      <c r="AU149" s="36"/>
      <c r="AV149" s="36"/>
      <c r="AW149" s="36"/>
      <c r="AX149" s="36"/>
      <c r="AY149" s="36"/>
      <c r="AZ149">
        <v>0</v>
      </c>
      <c r="BD149" s="10" t="s">
        <v>2</v>
      </c>
      <c r="BE149" s="10" t="s">
        <v>2</v>
      </c>
      <c r="BF149" t="s">
        <v>2589</v>
      </c>
    </row>
    <row r="150" spans="1:63" x14ac:dyDescent="0.3">
      <c r="A150" s="10" t="s">
        <v>424</v>
      </c>
      <c r="B150" s="10" t="s">
        <v>425</v>
      </c>
      <c r="C150" s="16" t="s">
        <v>426</v>
      </c>
      <c r="D150" s="16" t="s">
        <v>427</v>
      </c>
      <c r="E150" s="10">
        <v>2001</v>
      </c>
      <c r="F150" s="4" t="s">
        <v>2312</v>
      </c>
      <c r="G150" s="10" t="s">
        <v>428</v>
      </c>
      <c r="H150" s="16" t="s">
        <v>429</v>
      </c>
      <c r="I150" t="s">
        <v>431</v>
      </c>
      <c r="J150" s="16" t="s">
        <v>432</v>
      </c>
      <c r="K150" s="10" t="s">
        <v>433</v>
      </c>
      <c r="L150" s="10">
        <v>4</v>
      </c>
      <c r="M150">
        <v>4</v>
      </c>
      <c r="N150" s="10"/>
      <c r="O150">
        <v>200</v>
      </c>
      <c r="Q150">
        <v>7</v>
      </c>
      <c r="Y150">
        <v>120</v>
      </c>
      <c r="AA150" s="5">
        <f t="shared" si="40"/>
        <v>120</v>
      </c>
      <c r="AC150">
        <v>7</v>
      </c>
      <c r="AE150">
        <f t="shared" si="48"/>
        <v>7</v>
      </c>
      <c r="AO150" s="14">
        <f t="shared" si="45"/>
        <v>0.6</v>
      </c>
      <c r="AP150" s="3">
        <f t="shared" si="47"/>
        <v>1</v>
      </c>
      <c r="AQ150" s="3"/>
      <c r="AR150" s="3">
        <f t="shared" si="51"/>
        <v>1.6</v>
      </c>
      <c r="AS150" s="3"/>
      <c r="AT150" s="3"/>
      <c r="AU150" s="36"/>
      <c r="AV150" s="36"/>
      <c r="AW150" s="36"/>
      <c r="AX150" s="36"/>
      <c r="AY150" s="36"/>
      <c r="AZ150">
        <v>0</v>
      </c>
      <c r="BD150" s="10" t="s">
        <v>2</v>
      </c>
      <c r="BE150" s="10" t="s">
        <v>2</v>
      </c>
      <c r="BF150" t="s">
        <v>2589</v>
      </c>
    </row>
    <row r="151" spans="1:63" x14ac:dyDescent="0.3">
      <c r="A151" s="10" t="s">
        <v>424</v>
      </c>
      <c r="B151" s="10" t="s">
        <v>425</v>
      </c>
      <c r="C151" s="16" t="s">
        <v>426</v>
      </c>
      <c r="D151" s="16" t="s">
        <v>427</v>
      </c>
      <c r="E151" s="10">
        <v>2002</v>
      </c>
      <c r="F151" s="4" t="s">
        <v>2312</v>
      </c>
      <c r="G151" s="10" t="s">
        <v>428</v>
      </c>
      <c r="H151" s="16" t="s">
        <v>429</v>
      </c>
      <c r="I151" t="s">
        <v>431</v>
      </c>
      <c r="J151" s="16" t="s">
        <v>432</v>
      </c>
      <c r="K151" s="10" t="s">
        <v>433</v>
      </c>
      <c r="L151" s="10">
        <v>4</v>
      </c>
      <c r="M151">
        <v>4</v>
      </c>
      <c r="N151" s="10"/>
      <c r="O151">
        <v>400</v>
      </c>
      <c r="Q151">
        <v>7</v>
      </c>
      <c r="Y151">
        <v>500</v>
      </c>
      <c r="AA151" s="5">
        <f t="shared" si="40"/>
        <v>500</v>
      </c>
      <c r="AC151">
        <v>7</v>
      </c>
      <c r="AE151">
        <f t="shared" si="48"/>
        <v>7</v>
      </c>
      <c r="AO151" s="14">
        <f t="shared" si="45"/>
        <v>1.25</v>
      </c>
      <c r="AP151" s="3">
        <f t="shared" si="47"/>
        <v>1</v>
      </c>
      <c r="AQ151" s="3"/>
      <c r="AR151" s="3">
        <f t="shared" si="51"/>
        <v>2.25</v>
      </c>
      <c r="AS151" s="3"/>
      <c r="AT151" s="3"/>
      <c r="AU151" s="36"/>
      <c r="AV151" s="36"/>
      <c r="AW151" s="36"/>
      <c r="AX151" s="36"/>
      <c r="AY151" s="36"/>
      <c r="AZ151">
        <v>0</v>
      </c>
      <c r="BD151" s="10" t="s">
        <v>2</v>
      </c>
      <c r="BE151" s="10" t="s">
        <v>2</v>
      </c>
      <c r="BF151" t="s">
        <v>2589</v>
      </c>
    </row>
    <row r="152" spans="1:63" s="10" customFormat="1" x14ac:dyDescent="0.3">
      <c r="A152" s="10" t="s">
        <v>435</v>
      </c>
      <c r="B152" s="10" t="s">
        <v>434</v>
      </c>
      <c r="F152" s="4" t="s">
        <v>2312</v>
      </c>
      <c r="G152" s="10" t="s">
        <v>436</v>
      </c>
      <c r="H152" s="16" t="s">
        <v>17</v>
      </c>
      <c r="J152" s="16" t="s">
        <v>63</v>
      </c>
      <c r="K152" s="10" t="s">
        <v>77</v>
      </c>
      <c r="L152" s="10">
        <v>2</v>
      </c>
      <c r="M152" s="10">
        <v>2</v>
      </c>
      <c r="O152" s="10">
        <v>1849</v>
      </c>
      <c r="Y152" s="10">
        <v>1620</v>
      </c>
      <c r="AA152" s="25">
        <f t="shared" si="40"/>
        <v>1620</v>
      </c>
      <c r="AG152" s="10">
        <v>4337</v>
      </c>
      <c r="AM152" s="10">
        <v>4337</v>
      </c>
      <c r="AO152" s="14">
        <f t="shared" si="45"/>
        <v>0.87614926987560848</v>
      </c>
      <c r="AR152" s="14">
        <f t="shared" si="32"/>
        <v>0.87614926987560848</v>
      </c>
      <c r="AS152" s="14"/>
      <c r="AT152" s="14"/>
      <c r="AU152" s="44"/>
      <c r="AV152" s="44"/>
      <c r="AW152" s="44"/>
      <c r="AX152" s="44"/>
      <c r="AY152" s="44"/>
      <c r="BD152" s="10" t="s">
        <v>2</v>
      </c>
      <c r="BE152" s="10" t="s">
        <v>2023</v>
      </c>
      <c r="BF152" s="10" t="s">
        <v>945</v>
      </c>
    </row>
    <row r="153" spans="1:63" s="10" customFormat="1" x14ac:dyDescent="0.3">
      <c r="A153" s="10" t="s">
        <v>435</v>
      </c>
      <c r="B153" s="10" t="s">
        <v>434</v>
      </c>
      <c r="F153" s="4" t="s">
        <v>2312</v>
      </c>
      <c r="G153" s="10" t="s">
        <v>436</v>
      </c>
      <c r="H153" s="16" t="s">
        <v>17</v>
      </c>
      <c r="J153" s="16" t="s">
        <v>62</v>
      </c>
      <c r="K153" s="10" t="s">
        <v>77</v>
      </c>
      <c r="L153" s="10">
        <v>2</v>
      </c>
      <c r="M153" s="10">
        <v>2</v>
      </c>
      <c r="O153" s="10">
        <v>467</v>
      </c>
      <c r="Y153" s="10">
        <v>701</v>
      </c>
      <c r="AA153" s="25">
        <f t="shared" si="40"/>
        <v>701</v>
      </c>
      <c r="AG153" s="10">
        <v>4337</v>
      </c>
      <c r="AM153" s="10">
        <v>4337</v>
      </c>
      <c r="AO153" s="14">
        <f t="shared" si="45"/>
        <v>1.5010706638115632</v>
      </c>
      <c r="AR153" s="14">
        <f t="shared" si="32"/>
        <v>1.5010706638115632</v>
      </c>
      <c r="AS153" s="14"/>
      <c r="AT153" s="14"/>
      <c r="AU153" s="44"/>
      <c r="AV153" s="44"/>
      <c r="AW153" s="44"/>
      <c r="AX153" s="44"/>
      <c r="AY153" s="44"/>
      <c r="BD153" s="10" t="s">
        <v>2</v>
      </c>
      <c r="BE153" s="10" t="s">
        <v>2023</v>
      </c>
      <c r="BF153" s="10" t="s">
        <v>945</v>
      </c>
    </row>
    <row r="154" spans="1:63" s="61" customFormat="1" x14ac:dyDescent="0.3">
      <c r="A154" s="26" t="s">
        <v>437</v>
      </c>
      <c r="B154" s="26" t="s">
        <v>149</v>
      </c>
      <c r="C154" s="26"/>
      <c r="D154" s="26" t="s">
        <v>438</v>
      </c>
      <c r="E154" s="26">
        <v>1990</v>
      </c>
      <c r="F154" s="4" t="s">
        <v>2312</v>
      </c>
      <c r="G154" s="26" t="s">
        <v>387</v>
      </c>
      <c r="H154" s="26" t="s">
        <v>2811</v>
      </c>
      <c r="I154" s="26"/>
      <c r="J154" s="26" t="s">
        <v>439</v>
      </c>
      <c r="K154" s="26" t="s">
        <v>155</v>
      </c>
      <c r="L154" s="26">
        <v>3</v>
      </c>
      <c r="M154" s="26">
        <v>3</v>
      </c>
      <c r="N154" s="26"/>
      <c r="O154" s="26">
        <v>1100</v>
      </c>
      <c r="P154" s="26"/>
      <c r="Q154" s="26">
        <v>1200</v>
      </c>
      <c r="R154" s="26"/>
      <c r="S154" s="26"/>
      <c r="T154" s="26"/>
      <c r="U154" s="26"/>
      <c r="V154" s="26"/>
      <c r="W154" s="26"/>
      <c r="X154" s="26"/>
      <c r="Y154" s="26">
        <v>1100</v>
      </c>
      <c r="Z154" s="26"/>
      <c r="AA154" s="26">
        <v>1100</v>
      </c>
      <c r="AB154" s="26"/>
      <c r="AC154" s="26">
        <v>1900</v>
      </c>
      <c r="AD154" s="26"/>
      <c r="AE154" s="26">
        <v>1900</v>
      </c>
      <c r="AF154" s="26"/>
      <c r="AG154" s="20"/>
      <c r="AH154" s="20"/>
      <c r="AI154" s="20"/>
      <c r="AJ154" s="26"/>
      <c r="AK154" s="26">
        <v>10000</v>
      </c>
      <c r="AO154" s="65">
        <f t="shared" si="45"/>
        <v>1</v>
      </c>
      <c r="AP154" s="65">
        <f>AC154/Q154</f>
        <v>1.5833333333333333</v>
      </c>
      <c r="AR154" s="65">
        <f>AO154+AP154</f>
        <v>2.583333333333333</v>
      </c>
      <c r="AS154" s="65"/>
      <c r="AT154" s="65"/>
      <c r="AW154" s="66"/>
      <c r="AX154" s="66"/>
      <c r="AY154" s="66"/>
      <c r="AZ154" s="26"/>
      <c r="BA154" s="26"/>
      <c r="BB154" s="26"/>
      <c r="BC154" s="26"/>
      <c r="BD154" s="26" t="s">
        <v>2</v>
      </c>
      <c r="BE154" s="61" t="s">
        <v>2023</v>
      </c>
      <c r="BF154" s="26" t="s">
        <v>945</v>
      </c>
      <c r="BG154" s="26"/>
      <c r="BH154" s="26"/>
      <c r="BI154" s="26"/>
      <c r="BJ154" s="26"/>
      <c r="BK154" s="65"/>
    </row>
    <row r="155" spans="1:63" s="6" customFormat="1" x14ac:dyDescent="0.3">
      <c r="A155" s="10" t="s">
        <v>456</v>
      </c>
      <c r="B155" s="10" t="s">
        <v>0</v>
      </c>
      <c r="C155" s="10" t="s">
        <v>457</v>
      </c>
      <c r="D155" s="10" t="s">
        <v>458</v>
      </c>
      <c r="E155" s="26">
        <v>1994</v>
      </c>
      <c r="F155" s="4" t="s">
        <v>2312</v>
      </c>
      <c r="G155" s="26" t="s">
        <v>2583</v>
      </c>
      <c r="H155" s="34" t="s">
        <v>17</v>
      </c>
      <c r="J155" s="34" t="s">
        <v>946</v>
      </c>
      <c r="K155" s="10" t="s">
        <v>461</v>
      </c>
      <c r="L155" s="26">
        <v>3</v>
      </c>
      <c r="M155">
        <v>3</v>
      </c>
      <c r="N155" s="26"/>
      <c r="O155" s="6">
        <v>8200</v>
      </c>
      <c r="S155" s="3">
        <v>1.0845747316049907</v>
      </c>
      <c r="U155" s="6" t="s">
        <v>958</v>
      </c>
      <c r="Y155" s="6">
        <v>6900</v>
      </c>
      <c r="AA155" s="5">
        <f t="shared" si="40"/>
        <v>6900</v>
      </c>
      <c r="AG155" s="35">
        <v>0.62769389374113171</v>
      </c>
      <c r="AO155" s="14">
        <f t="shared" si="45"/>
        <v>0.84146341463414631</v>
      </c>
      <c r="AP155" s="35">
        <f t="shared" ref="AP155:AP169" si="52">AG155/S155</f>
        <v>0.57874655885837289</v>
      </c>
      <c r="AQ155" s="35"/>
      <c r="AR155" s="14">
        <f t="shared" si="32"/>
        <v>1.4202099734925193</v>
      </c>
      <c r="AS155" s="14"/>
      <c r="AT155" s="14"/>
      <c r="AU155" s="36"/>
      <c r="AV155" s="36"/>
      <c r="AW155" s="36"/>
      <c r="AX155" s="36"/>
      <c r="AY155" s="36"/>
      <c r="BD155" s="10" t="s">
        <v>2</v>
      </c>
      <c r="BE155" s="10" t="s">
        <v>3</v>
      </c>
      <c r="BF155" s="6" t="s">
        <v>949</v>
      </c>
    </row>
    <row r="156" spans="1:63" s="6" customFormat="1" x14ac:dyDescent="0.3">
      <c r="A156" s="10" t="s">
        <v>456</v>
      </c>
      <c r="B156" s="10" t="s">
        <v>0</v>
      </c>
      <c r="C156" s="10" t="s">
        <v>457</v>
      </c>
      <c r="D156" s="10" t="s">
        <v>458</v>
      </c>
      <c r="E156" s="26">
        <v>1995</v>
      </c>
      <c r="F156" s="4" t="s">
        <v>2312</v>
      </c>
      <c r="G156" s="26" t="s">
        <v>2583</v>
      </c>
      <c r="H156" s="34" t="s">
        <v>17</v>
      </c>
      <c r="J156" s="34" t="s">
        <v>947</v>
      </c>
      <c r="K156" s="10" t="s">
        <v>461</v>
      </c>
      <c r="L156" s="26">
        <v>3</v>
      </c>
      <c r="M156">
        <v>3</v>
      </c>
      <c r="N156" s="26"/>
      <c r="O156" s="6">
        <v>2800</v>
      </c>
      <c r="S156" s="3">
        <v>4.4480362304314118</v>
      </c>
      <c r="U156" s="6" t="s">
        <v>958</v>
      </c>
      <c r="Y156" s="6">
        <v>2000</v>
      </c>
      <c r="AA156" s="5">
        <f t="shared" si="40"/>
        <v>2000</v>
      </c>
      <c r="AG156" s="35">
        <v>1.7791158265282887</v>
      </c>
      <c r="AO156" s="14">
        <f t="shared" si="45"/>
        <v>0.7142857142857143</v>
      </c>
      <c r="AP156" s="35">
        <f t="shared" si="52"/>
        <v>0.39997781815633582</v>
      </c>
      <c r="AQ156" s="35"/>
      <c r="AR156" s="14">
        <f t="shared" si="32"/>
        <v>1.1142635324420502</v>
      </c>
      <c r="AS156" s="14"/>
      <c r="AT156" s="14"/>
      <c r="AU156" s="36"/>
      <c r="AV156" s="36"/>
      <c r="AW156" s="36"/>
      <c r="AX156" s="36"/>
      <c r="AY156" s="36"/>
      <c r="BD156" s="10" t="s">
        <v>2</v>
      </c>
      <c r="BE156" s="10" t="s">
        <v>3</v>
      </c>
      <c r="BF156" s="6" t="s">
        <v>949</v>
      </c>
    </row>
    <row r="157" spans="1:63" s="6" customFormat="1" x14ac:dyDescent="0.3">
      <c r="A157" s="10" t="s">
        <v>456</v>
      </c>
      <c r="B157" s="10" t="s">
        <v>0</v>
      </c>
      <c r="C157" s="10" t="s">
        <v>457</v>
      </c>
      <c r="D157" s="10" t="s">
        <v>458</v>
      </c>
      <c r="E157" s="26">
        <v>1996</v>
      </c>
      <c r="F157" s="4" t="s">
        <v>2312</v>
      </c>
      <c r="G157" s="26" t="s">
        <v>2583</v>
      </c>
      <c r="H157" s="34" t="s">
        <v>17</v>
      </c>
      <c r="J157" s="34" t="s">
        <v>948</v>
      </c>
      <c r="K157" s="10" t="s">
        <v>461</v>
      </c>
      <c r="L157" s="26">
        <v>3</v>
      </c>
      <c r="M157">
        <v>3</v>
      </c>
      <c r="N157" s="26"/>
      <c r="O157" s="6">
        <v>10100</v>
      </c>
      <c r="S157" s="3">
        <v>8.5857702367969058</v>
      </c>
      <c r="U157" s="6" t="s">
        <v>958</v>
      </c>
      <c r="Y157" s="6">
        <v>7900</v>
      </c>
      <c r="AA157" s="5">
        <f t="shared" si="40"/>
        <v>7900</v>
      </c>
      <c r="AG157" s="35">
        <v>3.8617966335021015</v>
      </c>
      <c r="AO157" s="14">
        <f t="shared" si="45"/>
        <v>0.78217821782178221</v>
      </c>
      <c r="AP157" s="35">
        <f t="shared" si="52"/>
        <v>0.44979035392202882</v>
      </c>
      <c r="AQ157" s="35"/>
      <c r="AR157" s="14">
        <f t="shared" si="32"/>
        <v>1.2319685717438111</v>
      </c>
      <c r="AS157" s="14"/>
      <c r="AT157" s="14"/>
      <c r="AU157" s="36"/>
      <c r="AV157" s="36"/>
      <c r="AW157" s="36"/>
      <c r="AX157" s="36"/>
      <c r="AY157" s="36"/>
      <c r="BD157" s="10" t="s">
        <v>2</v>
      </c>
      <c r="BE157" s="10" t="s">
        <v>3</v>
      </c>
      <c r="BF157" s="6" t="s">
        <v>949</v>
      </c>
    </row>
    <row r="158" spans="1:63" s="6" customFormat="1" x14ac:dyDescent="0.3">
      <c r="A158" s="10" t="s">
        <v>456</v>
      </c>
      <c r="B158" s="10" t="s">
        <v>0</v>
      </c>
      <c r="C158" s="10" t="s">
        <v>457</v>
      </c>
      <c r="D158" s="10" t="s">
        <v>458</v>
      </c>
      <c r="E158" s="26">
        <v>1997</v>
      </c>
      <c r="F158" s="4" t="s">
        <v>2312</v>
      </c>
      <c r="G158" s="26" t="s">
        <v>2583</v>
      </c>
      <c r="H158" s="34" t="s">
        <v>17</v>
      </c>
      <c r="J158" s="34" t="s">
        <v>946</v>
      </c>
      <c r="K158" s="10" t="s">
        <v>461</v>
      </c>
      <c r="L158" s="26">
        <v>3</v>
      </c>
      <c r="M158">
        <v>3</v>
      </c>
      <c r="N158" s="26"/>
      <c r="O158" s="6">
        <v>7600</v>
      </c>
      <c r="S158" s="3">
        <v>14.95793870152016</v>
      </c>
      <c r="U158" s="6" t="s">
        <v>958</v>
      </c>
      <c r="Y158" s="6">
        <v>6500</v>
      </c>
      <c r="AA158" s="5">
        <f t="shared" si="40"/>
        <v>6500</v>
      </c>
      <c r="AG158" s="35">
        <v>7.5262190269885378</v>
      </c>
      <c r="AO158" s="14">
        <f t="shared" si="45"/>
        <v>0.85526315789473684</v>
      </c>
      <c r="AP158" s="35">
        <f t="shared" si="52"/>
        <v>0.50315883606500245</v>
      </c>
      <c r="AQ158" s="35"/>
      <c r="AR158" s="14">
        <f t="shared" si="32"/>
        <v>1.3584219939597393</v>
      </c>
      <c r="AS158" s="14"/>
      <c r="AT158" s="14"/>
      <c r="AU158" s="36"/>
      <c r="AV158" s="36"/>
      <c r="AW158" s="36"/>
      <c r="AX158" s="36"/>
      <c r="AY158" s="36"/>
      <c r="BD158" s="10" t="s">
        <v>2</v>
      </c>
      <c r="BE158" s="10" t="s">
        <v>3</v>
      </c>
      <c r="BF158" s="6" t="s">
        <v>949</v>
      </c>
    </row>
    <row r="159" spans="1:63" s="10" customFormat="1" x14ac:dyDescent="0.3">
      <c r="A159" s="10" t="s">
        <v>456</v>
      </c>
      <c r="B159" s="10" t="s">
        <v>0</v>
      </c>
      <c r="C159" s="10" t="s">
        <v>457</v>
      </c>
      <c r="D159" s="10" t="s">
        <v>459</v>
      </c>
      <c r="E159" s="26">
        <v>1994</v>
      </c>
      <c r="F159" s="4" t="s">
        <v>2312</v>
      </c>
      <c r="G159" s="26" t="s">
        <v>2583</v>
      </c>
      <c r="H159" s="34" t="s">
        <v>17</v>
      </c>
      <c r="J159" s="10" t="s">
        <v>948</v>
      </c>
      <c r="K159" s="10" t="s">
        <v>461</v>
      </c>
      <c r="L159" s="10">
        <v>3</v>
      </c>
      <c r="M159">
        <v>3</v>
      </c>
      <c r="O159" s="10">
        <v>8700</v>
      </c>
      <c r="S159" s="3">
        <v>0.7421325420712912</v>
      </c>
      <c r="T159" s="14"/>
      <c r="U159" s="6" t="s">
        <v>958</v>
      </c>
      <c r="W159" s="6"/>
      <c r="X159" s="6"/>
      <c r="Y159" s="14">
        <v>9200</v>
      </c>
      <c r="Z159" s="14"/>
      <c r="AA159" s="5">
        <f t="shared" si="40"/>
        <v>9200</v>
      </c>
      <c r="AB159" s="14"/>
      <c r="AC159" s="14"/>
      <c r="AD159" s="14"/>
      <c r="AE159" s="14"/>
      <c r="AF159" s="14"/>
      <c r="AG159" s="35">
        <v>0.58248932069908732</v>
      </c>
      <c r="AO159" s="14">
        <f t="shared" si="45"/>
        <v>1.0574712643678161</v>
      </c>
      <c r="AP159" s="35">
        <f t="shared" si="52"/>
        <v>0.7848858359901052</v>
      </c>
      <c r="AQ159" s="35"/>
      <c r="AR159" s="14">
        <f t="shared" ref="AR159" si="53">AO159+AP159</f>
        <v>1.8423571003579213</v>
      </c>
      <c r="AS159" s="14"/>
      <c r="AT159" s="14"/>
      <c r="AU159" s="36"/>
      <c r="AV159" s="36"/>
      <c r="AW159" s="36"/>
      <c r="AX159" s="36"/>
      <c r="AY159" s="36"/>
      <c r="BD159" s="10" t="s">
        <v>2</v>
      </c>
      <c r="BE159" s="10" t="s">
        <v>3</v>
      </c>
      <c r="BF159" s="6" t="s">
        <v>949</v>
      </c>
    </row>
    <row r="160" spans="1:63" s="10" customFormat="1" x14ac:dyDescent="0.3">
      <c r="A160" s="10" t="s">
        <v>456</v>
      </c>
      <c r="B160" s="10" t="s">
        <v>0</v>
      </c>
      <c r="C160" s="10" t="s">
        <v>457</v>
      </c>
      <c r="D160" s="10" t="s">
        <v>459</v>
      </c>
      <c r="E160" s="26">
        <v>1995</v>
      </c>
      <c r="F160" s="4" t="s">
        <v>2312</v>
      </c>
      <c r="G160" s="26" t="s">
        <v>2583</v>
      </c>
      <c r="H160" s="34" t="s">
        <v>17</v>
      </c>
      <c r="J160" s="10" t="s">
        <v>948</v>
      </c>
      <c r="K160" s="10" t="s">
        <v>461</v>
      </c>
      <c r="L160" s="10">
        <v>3</v>
      </c>
      <c r="M160">
        <v>3</v>
      </c>
      <c r="O160" s="10">
        <v>8200</v>
      </c>
      <c r="S160" s="3">
        <v>3.3921493939291438</v>
      </c>
      <c r="T160" s="14"/>
      <c r="U160" s="6" t="s">
        <v>958</v>
      </c>
      <c r="W160" s="6"/>
      <c r="X160" s="6"/>
      <c r="Y160" s="14">
        <v>7800</v>
      </c>
      <c r="Z160" s="14"/>
      <c r="AA160" s="5">
        <f t="shared" si="40"/>
        <v>7800</v>
      </c>
      <c r="AB160" s="14"/>
      <c r="AC160" s="14"/>
      <c r="AD160" s="14"/>
      <c r="AE160" s="14"/>
      <c r="AF160" s="14"/>
      <c r="AG160" s="14">
        <v>1.3933981981913888</v>
      </c>
      <c r="AH160" s="14"/>
      <c r="AI160" s="14"/>
      <c r="AJ160" s="14"/>
      <c r="AK160" s="14"/>
      <c r="AL160" s="14"/>
      <c r="AO160" s="14">
        <f t="shared" si="45"/>
        <v>0.95121951219512191</v>
      </c>
      <c r="AP160" s="35">
        <f t="shared" si="52"/>
        <v>0.41077147152926791</v>
      </c>
      <c r="AQ160" s="35"/>
      <c r="AR160" s="14">
        <f t="shared" ref="AR160:AR163" si="54">AO160+AP160</f>
        <v>1.3619909837243898</v>
      </c>
      <c r="AS160" s="14"/>
      <c r="AT160" s="14"/>
      <c r="AU160" s="36"/>
      <c r="AV160" s="36"/>
      <c r="AW160" s="36"/>
      <c r="AX160" s="36"/>
      <c r="AY160" s="36"/>
      <c r="BD160" s="10" t="s">
        <v>2</v>
      </c>
      <c r="BE160" s="10" t="s">
        <v>3</v>
      </c>
      <c r="BF160" s="6" t="s">
        <v>949</v>
      </c>
    </row>
    <row r="161" spans="1:58" s="10" customFormat="1" x14ac:dyDescent="0.3">
      <c r="A161" s="10" t="s">
        <v>456</v>
      </c>
      <c r="B161" s="10" t="s">
        <v>0</v>
      </c>
      <c r="C161" s="10" t="s">
        <v>457</v>
      </c>
      <c r="D161" s="10" t="s">
        <v>459</v>
      </c>
      <c r="E161" s="26">
        <v>1996</v>
      </c>
      <c r="F161" s="4" t="s">
        <v>2312</v>
      </c>
      <c r="G161" s="26" t="s">
        <v>2583</v>
      </c>
      <c r="H161" s="34" t="s">
        <v>17</v>
      </c>
      <c r="J161" s="34" t="s">
        <v>946</v>
      </c>
      <c r="K161" s="10" t="s">
        <v>461</v>
      </c>
      <c r="L161" s="10">
        <v>3</v>
      </c>
      <c r="M161">
        <v>3</v>
      </c>
      <c r="O161" s="10">
        <v>7700</v>
      </c>
      <c r="S161" s="3">
        <v>6.2839351169887046</v>
      </c>
      <c r="T161" s="14"/>
      <c r="U161" s="6" t="s">
        <v>958</v>
      </c>
      <c r="W161" s="6"/>
      <c r="X161" s="6"/>
      <c r="Y161" s="14">
        <v>6900</v>
      </c>
      <c r="Z161" s="14"/>
      <c r="AA161" s="5">
        <f t="shared" si="40"/>
        <v>6900</v>
      </c>
      <c r="AB161" s="14"/>
      <c r="AC161" s="14"/>
      <c r="AD161" s="14"/>
      <c r="AE161" s="14"/>
      <c r="AF161" s="14"/>
      <c r="AG161" s="14">
        <v>3.3018813740775395</v>
      </c>
      <c r="AH161" s="14"/>
      <c r="AI161" s="14"/>
      <c r="AJ161" s="14"/>
      <c r="AK161" s="14"/>
      <c r="AL161" s="14"/>
      <c r="AO161" s="14">
        <f t="shared" si="45"/>
        <v>0.89610389610389607</v>
      </c>
      <c r="AP161" s="35">
        <f t="shared" si="52"/>
        <v>0.52544803735335488</v>
      </c>
      <c r="AQ161" s="35"/>
      <c r="AR161" s="14">
        <f t="shared" si="54"/>
        <v>1.4215519334572511</v>
      </c>
      <c r="AS161" s="14"/>
      <c r="AT161" s="14"/>
      <c r="AU161" s="36"/>
      <c r="AV161" s="36"/>
      <c r="AW161" s="36"/>
      <c r="AX161" s="36"/>
      <c r="AY161" s="36"/>
      <c r="BD161" s="10" t="s">
        <v>2</v>
      </c>
      <c r="BE161" s="10" t="s">
        <v>3</v>
      </c>
      <c r="BF161" s="6" t="s">
        <v>949</v>
      </c>
    </row>
    <row r="162" spans="1:58" s="10" customFormat="1" x14ac:dyDescent="0.3">
      <c r="A162" s="10" t="s">
        <v>456</v>
      </c>
      <c r="B162" s="10" t="s">
        <v>0</v>
      </c>
      <c r="C162" s="10" t="s">
        <v>457</v>
      </c>
      <c r="D162" s="10" t="s">
        <v>459</v>
      </c>
      <c r="E162" s="26">
        <v>1997</v>
      </c>
      <c r="F162" s="4" t="s">
        <v>2312</v>
      </c>
      <c r="G162" s="26" t="s">
        <v>2583</v>
      </c>
      <c r="H162" s="34" t="s">
        <v>17</v>
      </c>
      <c r="J162" s="10" t="s">
        <v>950</v>
      </c>
      <c r="K162" s="10" t="s">
        <v>461</v>
      </c>
      <c r="L162" s="10">
        <v>3</v>
      </c>
      <c r="M162">
        <v>3</v>
      </c>
      <c r="O162" s="10">
        <v>4200</v>
      </c>
      <c r="S162" s="3">
        <v>12.248848863113146</v>
      </c>
      <c r="T162" s="14"/>
      <c r="U162" s="6" t="s">
        <v>958</v>
      </c>
      <c r="W162" s="6"/>
      <c r="X162" s="6"/>
      <c r="Y162" s="14">
        <v>3600</v>
      </c>
      <c r="Z162" s="14"/>
      <c r="AA162" s="5">
        <f t="shared" si="40"/>
        <v>3600</v>
      </c>
      <c r="AB162" s="14"/>
      <c r="AC162" s="14"/>
      <c r="AD162" s="14"/>
      <c r="AE162" s="14"/>
      <c r="AF162" s="14"/>
      <c r="AG162" s="14">
        <v>7.8737061725374327</v>
      </c>
      <c r="AH162" s="14"/>
      <c r="AI162" s="14"/>
      <c r="AJ162" s="14"/>
      <c r="AK162" s="14"/>
      <c r="AL162" s="14"/>
      <c r="AO162" s="14">
        <f t="shared" si="45"/>
        <v>0.8571428571428571</v>
      </c>
      <c r="AP162" s="35">
        <f t="shared" si="52"/>
        <v>0.64281192955598809</v>
      </c>
      <c r="AQ162" s="35"/>
      <c r="AR162" s="14">
        <f t="shared" si="54"/>
        <v>1.4999547866988452</v>
      </c>
      <c r="AS162" s="14"/>
      <c r="AT162" s="14"/>
      <c r="AU162" s="36"/>
      <c r="AV162" s="36"/>
      <c r="AW162" s="36"/>
      <c r="AX162" s="36"/>
      <c r="AY162" s="36"/>
      <c r="BD162" s="10" t="s">
        <v>2</v>
      </c>
      <c r="BE162" s="10" t="s">
        <v>3</v>
      </c>
      <c r="BF162" s="6" t="s">
        <v>949</v>
      </c>
    </row>
    <row r="163" spans="1:58" s="10" customFormat="1" x14ac:dyDescent="0.3">
      <c r="A163" s="10" t="s">
        <v>456</v>
      </c>
      <c r="B163" s="10" t="s">
        <v>0</v>
      </c>
      <c r="C163" s="10" t="s">
        <v>457</v>
      </c>
      <c r="D163" s="10" t="s">
        <v>459</v>
      </c>
      <c r="E163" s="10">
        <v>1998</v>
      </c>
      <c r="F163" s="4" t="s">
        <v>2312</v>
      </c>
      <c r="G163" s="26" t="s">
        <v>2583</v>
      </c>
      <c r="H163" s="34" t="s">
        <v>17</v>
      </c>
      <c r="J163" s="10" t="s">
        <v>948</v>
      </c>
      <c r="K163" s="10" t="s">
        <v>461</v>
      </c>
      <c r="L163" s="10">
        <v>3</v>
      </c>
      <c r="M163">
        <v>3</v>
      </c>
      <c r="O163" s="10">
        <v>10600</v>
      </c>
      <c r="S163" s="3">
        <v>19.32305897522015</v>
      </c>
      <c r="T163" s="14"/>
      <c r="U163" s="6" t="s">
        <v>958</v>
      </c>
      <c r="W163" s="6"/>
      <c r="X163" s="6"/>
      <c r="Y163" s="14">
        <v>9600</v>
      </c>
      <c r="Z163" s="14"/>
      <c r="AA163" s="5">
        <f t="shared" si="40"/>
        <v>9600</v>
      </c>
      <c r="AB163" s="14"/>
      <c r="AC163" s="14"/>
      <c r="AD163" s="14"/>
      <c r="AE163" s="14"/>
      <c r="AF163" s="14"/>
      <c r="AG163" s="14">
        <v>12.992056418920594</v>
      </c>
      <c r="AH163" s="14"/>
      <c r="AI163" s="14"/>
      <c r="AJ163" s="14"/>
      <c r="AK163" s="14"/>
      <c r="AL163" s="14"/>
      <c r="AO163" s="14">
        <f t="shared" si="45"/>
        <v>0.90566037735849059</v>
      </c>
      <c r="AP163" s="35">
        <f t="shared" si="52"/>
        <v>0.67236023217553598</v>
      </c>
      <c r="AQ163" s="35"/>
      <c r="AR163" s="14">
        <f t="shared" si="54"/>
        <v>1.5780206095340266</v>
      </c>
      <c r="AS163" s="14"/>
      <c r="AT163" s="14"/>
      <c r="AU163" s="36"/>
      <c r="AV163" s="36"/>
      <c r="AW163" s="36"/>
      <c r="AX163" s="36"/>
      <c r="AY163" s="36"/>
      <c r="BD163" s="10" t="s">
        <v>2</v>
      </c>
      <c r="BE163" s="10" t="s">
        <v>3</v>
      </c>
      <c r="BF163" s="6" t="s">
        <v>949</v>
      </c>
    </row>
    <row r="164" spans="1:58" s="10" customFormat="1" x14ac:dyDescent="0.3">
      <c r="A164" s="10" t="s">
        <v>456</v>
      </c>
      <c r="B164" s="10" t="s">
        <v>0</v>
      </c>
      <c r="C164" s="10" t="s">
        <v>457</v>
      </c>
      <c r="D164" s="10" t="s">
        <v>460</v>
      </c>
      <c r="E164" s="26">
        <v>1995</v>
      </c>
      <c r="F164" s="4" t="s">
        <v>2312</v>
      </c>
      <c r="G164" s="26" t="s">
        <v>2583</v>
      </c>
      <c r="H164" s="34" t="s">
        <v>17</v>
      </c>
      <c r="J164" s="10" t="s">
        <v>948</v>
      </c>
      <c r="K164" s="10" t="s">
        <v>461</v>
      </c>
      <c r="L164" s="10">
        <v>3</v>
      </c>
      <c r="M164">
        <v>3</v>
      </c>
      <c r="O164" s="10">
        <v>7800</v>
      </c>
      <c r="S164" s="35">
        <v>3.0805218104624901</v>
      </c>
      <c r="U164" s="6" t="s">
        <v>958</v>
      </c>
      <c r="W164" s="6"/>
      <c r="X164" s="6"/>
      <c r="Y164" s="14">
        <v>8100</v>
      </c>
      <c r="Z164" s="14"/>
      <c r="AA164" s="5">
        <f t="shared" si="40"/>
        <v>8100</v>
      </c>
      <c r="AB164" s="14"/>
      <c r="AC164" s="14"/>
      <c r="AD164" s="14"/>
      <c r="AE164" s="14"/>
      <c r="AF164" s="14"/>
      <c r="AG164" s="35">
        <v>2.1942318898688575</v>
      </c>
      <c r="AO164" s="14">
        <f t="shared" ref="AO164:AO188" si="55">Y164/O164</f>
        <v>1.0384615384615385</v>
      </c>
      <c r="AP164" s="35">
        <f t="shared" si="52"/>
        <v>0.71229227542441242</v>
      </c>
      <c r="AQ164" s="35"/>
      <c r="AR164" s="14">
        <f t="shared" ref="AR164:AR167" si="56">AO164+AP164</f>
        <v>1.7507538138859511</v>
      </c>
      <c r="AS164" s="14"/>
      <c r="AT164" s="14"/>
      <c r="AU164" s="36"/>
      <c r="AV164" s="36"/>
      <c r="AW164" s="36"/>
      <c r="AX164" s="36"/>
      <c r="AY164" s="36"/>
      <c r="BD164" s="10" t="s">
        <v>2</v>
      </c>
      <c r="BE164" s="10" t="s">
        <v>3</v>
      </c>
      <c r="BF164" s="6" t="s">
        <v>949</v>
      </c>
    </row>
    <row r="165" spans="1:58" s="10" customFormat="1" x14ac:dyDescent="0.3">
      <c r="A165" s="10" t="s">
        <v>456</v>
      </c>
      <c r="B165" s="10" t="s">
        <v>0</v>
      </c>
      <c r="C165" s="10" t="s">
        <v>457</v>
      </c>
      <c r="D165" s="10" t="s">
        <v>460</v>
      </c>
      <c r="E165" s="26">
        <v>1996</v>
      </c>
      <c r="F165" s="4" t="s">
        <v>2312</v>
      </c>
      <c r="G165" s="26" t="s">
        <v>2583</v>
      </c>
      <c r="H165" s="34" t="s">
        <v>17</v>
      </c>
      <c r="J165" s="10" t="s">
        <v>948</v>
      </c>
      <c r="K165" s="10" t="s">
        <v>461</v>
      </c>
      <c r="L165" s="10">
        <v>3</v>
      </c>
      <c r="M165">
        <v>3</v>
      </c>
      <c r="O165" s="10">
        <v>7500</v>
      </c>
      <c r="S165" s="14">
        <v>6.7879005747482406</v>
      </c>
      <c r="T165" s="14"/>
      <c r="U165" s="6" t="s">
        <v>958</v>
      </c>
      <c r="W165" s="6"/>
      <c r="X165" s="6"/>
      <c r="Y165" s="14">
        <v>7300</v>
      </c>
      <c r="Z165" s="14"/>
      <c r="AA165" s="5">
        <f t="shared" si="40"/>
        <v>7300</v>
      </c>
      <c r="AB165" s="14"/>
      <c r="AC165" s="14"/>
      <c r="AD165" s="14"/>
      <c r="AE165" s="14"/>
      <c r="AF165" s="14"/>
      <c r="AG165" s="14">
        <v>4.1732585470436634</v>
      </c>
      <c r="AH165" s="14"/>
      <c r="AI165" s="14"/>
      <c r="AJ165" s="14"/>
      <c r="AK165" s="14"/>
      <c r="AL165" s="14"/>
      <c r="AO165" s="14">
        <f t="shared" si="55"/>
        <v>0.97333333333333338</v>
      </c>
      <c r="AP165" s="35">
        <f t="shared" si="52"/>
        <v>0.61480843761451931</v>
      </c>
      <c r="AQ165" s="35"/>
      <c r="AR165" s="14">
        <f t="shared" si="56"/>
        <v>1.5881417709478527</v>
      </c>
      <c r="AS165" s="14"/>
      <c r="AT165" s="14"/>
      <c r="AU165" s="36"/>
      <c r="AV165" s="36"/>
      <c r="AW165" s="36"/>
      <c r="AX165" s="36"/>
      <c r="AY165" s="36"/>
      <c r="BD165" s="10" t="s">
        <v>2</v>
      </c>
      <c r="BE165" s="10" t="s">
        <v>3</v>
      </c>
      <c r="BF165" s="6" t="s">
        <v>949</v>
      </c>
    </row>
    <row r="166" spans="1:58" s="10" customFormat="1" x14ac:dyDescent="0.3">
      <c r="A166" s="10" t="s">
        <v>456</v>
      </c>
      <c r="B166" s="10" t="s">
        <v>0</v>
      </c>
      <c r="C166" s="10" t="s">
        <v>457</v>
      </c>
      <c r="D166" s="10" t="s">
        <v>460</v>
      </c>
      <c r="E166" s="26">
        <v>1997</v>
      </c>
      <c r="F166" s="4" t="s">
        <v>2312</v>
      </c>
      <c r="G166" s="26" t="s">
        <v>2583</v>
      </c>
      <c r="H166" s="34" t="s">
        <v>17</v>
      </c>
      <c r="J166" s="10" t="s">
        <v>948</v>
      </c>
      <c r="K166" s="10" t="s">
        <v>461</v>
      </c>
      <c r="L166" s="10">
        <v>3</v>
      </c>
      <c r="M166">
        <v>3</v>
      </c>
      <c r="O166" s="10">
        <v>5400</v>
      </c>
      <c r="S166" s="14">
        <v>13.525809329211604</v>
      </c>
      <c r="T166" s="14"/>
      <c r="U166" s="6" t="s">
        <v>958</v>
      </c>
      <c r="W166" s="6"/>
      <c r="X166" s="6"/>
      <c r="Y166" s="14">
        <v>5600</v>
      </c>
      <c r="Z166" s="14"/>
      <c r="AA166" s="5">
        <f t="shared" ref="AA166:AA202" si="57">Y166</f>
        <v>5600</v>
      </c>
      <c r="AB166" s="14"/>
      <c r="AC166" s="14"/>
      <c r="AD166" s="14"/>
      <c r="AE166" s="14"/>
      <c r="AF166" s="14"/>
      <c r="AG166" s="14">
        <v>6.4694842059067215</v>
      </c>
      <c r="AH166" s="14"/>
      <c r="AI166" s="14"/>
      <c r="AJ166" s="14"/>
      <c r="AK166" s="14"/>
      <c r="AL166" s="14"/>
      <c r="AO166" s="14">
        <f t="shared" si="55"/>
        <v>1.037037037037037</v>
      </c>
      <c r="AP166" s="35">
        <f t="shared" si="52"/>
        <v>0.47830662464941137</v>
      </c>
      <c r="AQ166" s="35"/>
      <c r="AR166" s="14">
        <f t="shared" si="56"/>
        <v>1.5153436616864484</v>
      </c>
      <c r="AS166" s="14"/>
      <c r="AT166" s="14"/>
      <c r="AU166" s="36"/>
      <c r="AV166" s="36"/>
      <c r="AW166" s="36"/>
      <c r="AX166" s="36"/>
      <c r="AY166" s="36"/>
      <c r="BD166" s="10" t="s">
        <v>2</v>
      </c>
      <c r="BE166" s="10" t="s">
        <v>3</v>
      </c>
      <c r="BF166" s="6" t="s">
        <v>949</v>
      </c>
    </row>
    <row r="167" spans="1:58" s="10" customFormat="1" x14ac:dyDescent="0.3">
      <c r="A167" s="10" t="s">
        <v>456</v>
      </c>
      <c r="B167" s="10" t="s">
        <v>0</v>
      </c>
      <c r="C167" s="10" t="s">
        <v>457</v>
      </c>
      <c r="D167" s="10" t="s">
        <v>460</v>
      </c>
      <c r="E167" s="10">
        <v>1998</v>
      </c>
      <c r="F167" s="4" t="s">
        <v>2312</v>
      </c>
      <c r="G167" s="26" t="s">
        <v>2583</v>
      </c>
      <c r="H167" s="34" t="s">
        <v>17</v>
      </c>
      <c r="J167" s="10" t="s">
        <v>947</v>
      </c>
      <c r="K167" s="10" t="s">
        <v>461</v>
      </c>
      <c r="L167" s="10">
        <v>3</v>
      </c>
      <c r="M167">
        <v>3</v>
      </c>
      <c r="O167" s="10">
        <v>4400</v>
      </c>
      <c r="S167" s="35">
        <v>17.013546588364733</v>
      </c>
      <c r="T167" s="14"/>
      <c r="U167" s="6" t="s">
        <v>958</v>
      </c>
      <c r="W167" s="6"/>
      <c r="X167" s="6"/>
      <c r="Y167" s="14">
        <v>3600</v>
      </c>
      <c r="Z167" s="14"/>
      <c r="AA167" s="5">
        <f t="shared" si="57"/>
        <v>3600</v>
      </c>
      <c r="AB167" s="14"/>
      <c r="AC167" s="14"/>
      <c r="AD167" s="14"/>
      <c r="AE167" s="14"/>
      <c r="AF167" s="14"/>
      <c r="AG167" s="14">
        <v>9.8918346135877613</v>
      </c>
      <c r="AH167" s="14"/>
      <c r="AI167" s="14"/>
      <c r="AJ167" s="14"/>
      <c r="AK167" s="14"/>
      <c r="AL167" s="14"/>
      <c r="AO167" s="14">
        <f t="shared" si="55"/>
        <v>0.81818181818181823</v>
      </c>
      <c r="AP167" s="35">
        <f t="shared" si="52"/>
        <v>0.58140932357704977</v>
      </c>
      <c r="AQ167" s="35"/>
      <c r="AR167" s="14">
        <f t="shared" si="56"/>
        <v>1.399591141758868</v>
      </c>
      <c r="AS167" s="14"/>
      <c r="AT167" s="14"/>
      <c r="AU167" s="36"/>
      <c r="AV167" s="36"/>
      <c r="AW167" s="36"/>
      <c r="AX167" s="36"/>
      <c r="AY167" s="36"/>
      <c r="BD167" s="10" t="s">
        <v>2</v>
      </c>
      <c r="BE167" s="10" t="s">
        <v>3</v>
      </c>
      <c r="BF167" s="6" t="s">
        <v>949</v>
      </c>
    </row>
    <row r="168" spans="1:58" s="10" customFormat="1" x14ac:dyDescent="0.3">
      <c r="A168" s="10" t="s">
        <v>494</v>
      </c>
      <c r="B168" s="10" t="s">
        <v>58</v>
      </c>
      <c r="D168" s="10" t="s">
        <v>495</v>
      </c>
      <c r="E168" s="10">
        <v>1</v>
      </c>
      <c r="F168" s="4" t="s">
        <v>2312</v>
      </c>
      <c r="G168" s="10" t="s">
        <v>436</v>
      </c>
      <c r="H168" s="10" t="s">
        <v>17</v>
      </c>
      <c r="J168" s="10" t="s">
        <v>63</v>
      </c>
      <c r="K168" s="10" t="s">
        <v>496</v>
      </c>
      <c r="L168" s="10">
        <v>4</v>
      </c>
      <c r="M168">
        <v>4</v>
      </c>
      <c r="O168" s="10">
        <v>2361</v>
      </c>
      <c r="Q168" s="10">
        <v>3223</v>
      </c>
      <c r="S168" s="10">
        <v>6198</v>
      </c>
      <c r="U168" s="10" t="s">
        <v>963</v>
      </c>
      <c r="Y168" s="10">
        <v>993</v>
      </c>
      <c r="AA168" s="5">
        <f t="shared" si="57"/>
        <v>993</v>
      </c>
      <c r="AC168" s="10">
        <v>1579</v>
      </c>
      <c r="AE168" s="10">
        <f>AC168</f>
        <v>1579</v>
      </c>
      <c r="AG168" s="10">
        <v>2729</v>
      </c>
      <c r="AO168" s="14">
        <f t="shared" si="55"/>
        <v>0.42058449809402798</v>
      </c>
      <c r="AP168" s="14">
        <f t="shared" si="52"/>
        <v>0.44030332365279123</v>
      </c>
      <c r="AQ168" s="14"/>
      <c r="AR168" s="14">
        <f>AO168+AP168</f>
        <v>0.86088782174681922</v>
      </c>
      <c r="AS168" s="14"/>
      <c r="AT168" s="14"/>
      <c r="AU168" s="36"/>
      <c r="AV168" s="36"/>
      <c r="AW168" s="36"/>
      <c r="AX168" s="36"/>
      <c r="AY168" s="36"/>
      <c r="BA168" s="10" t="s">
        <v>1</v>
      </c>
      <c r="BD168" s="10" t="s">
        <v>2</v>
      </c>
      <c r="BE168" s="10" t="s">
        <v>3</v>
      </c>
      <c r="BF168" s="10" t="s">
        <v>2590</v>
      </c>
    </row>
    <row r="169" spans="1:58" s="10" customFormat="1" x14ac:dyDescent="0.3">
      <c r="A169" s="10" t="s">
        <v>494</v>
      </c>
      <c r="B169" s="10" t="s">
        <v>58</v>
      </c>
      <c r="D169" s="10" t="s">
        <v>495</v>
      </c>
      <c r="E169" s="10">
        <v>2</v>
      </c>
      <c r="F169" s="4" t="s">
        <v>2312</v>
      </c>
      <c r="G169" s="10" t="s">
        <v>436</v>
      </c>
      <c r="H169" s="10" t="s">
        <v>17</v>
      </c>
      <c r="J169" s="10" t="s">
        <v>63</v>
      </c>
      <c r="K169" s="10" t="s">
        <v>496</v>
      </c>
      <c r="L169" s="10">
        <v>4</v>
      </c>
      <c r="M169" s="10">
        <v>4</v>
      </c>
      <c r="O169" s="10">
        <v>2187</v>
      </c>
      <c r="P169" s="10">
        <f>AVERAGE(O168:O169)</f>
        <v>2274</v>
      </c>
      <c r="Q169" s="10">
        <v>3419</v>
      </c>
      <c r="R169" s="10">
        <f>AVERAGE(Q168:Q169)</f>
        <v>3321</v>
      </c>
      <c r="S169" s="10">
        <v>6121</v>
      </c>
      <c r="U169" s="10" t="s">
        <v>963</v>
      </c>
      <c r="Y169" s="10">
        <v>880</v>
      </c>
      <c r="AA169" s="25">
        <f t="shared" si="57"/>
        <v>880</v>
      </c>
      <c r="AC169" s="10">
        <v>1507</v>
      </c>
      <c r="AE169" s="10">
        <f t="shared" ref="AE169" si="58">AC169</f>
        <v>1507</v>
      </c>
      <c r="AG169" s="10">
        <v>2898</v>
      </c>
      <c r="AO169" s="14">
        <f t="shared" si="55"/>
        <v>0.40237768632830362</v>
      </c>
      <c r="AP169" s="14">
        <f t="shared" si="52"/>
        <v>0.4734520503185754</v>
      </c>
      <c r="AQ169" s="14"/>
      <c r="AR169" s="14">
        <f>AO169+AP169</f>
        <v>0.87582973664687902</v>
      </c>
      <c r="AS169" s="14"/>
      <c r="AT169" s="14"/>
      <c r="AU169" s="44"/>
      <c r="AV169" s="44"/>
      <c r="AW169" s="44"/>
      <c r="AX169" s="44"/>
      <c r="AY169" s="44"/>
      <c r="BA169" s="10" t="s">
        <v>1</v>
      </c>
      <c r="BD169" s="10" t="s">
        <v>2</v>
      </c>
      <c r="BE169" s="10" t="s">
        <v>3</v>
      </c>
      <c r="BF169" s="10" t="s">
        <v>2590</v>
      </c>
    </row>
    <row r="170" spans="1:58" s="10" customFormat="1" x14ac:dyDescent="0.3">
      <c r="A170" s="10" t="s">
        <v>687</v>
      </c>
      <c r="B170" s="10" t="s">
        <v>81</v>
      </c>
      <c r="C170" s="10" t="s">
        <v>688</v>
      </c>
      <c r="D170" s="10" t="s">
        <v>689</v>
      </c>
      <c r="F170" s="4" t="s">
        <v>2312</v>
      </c>
      <c r="G170" s="10" t="s">
        <v>690</v>
      </c>
      <c r="H170" s="10" t="s">
        <v>17</v>
      </c>
      <c r="J170" s="10" t="s">
        <v>180</v>
      </c>
      <c r="K170" s="10" t="s">
        <v>692</v>
      </c>
      <c r="L170" s="10">
        <v>3</v>
      </c>
      <c r="M170" s="10">
        <v>3</v>
      </c>
      <c r="O170" s="10">
        <v>1910</v>
      </c>
      <c r="P170" s="10">
        <v>40</v>
      </c>
      <c r="Y170" s="10">
        <f>(1480+1690+1840)/3</f>
        <v>1670</v>
      </c>
      <c r="Z170" s="25">
        <f>(60+40+60)/3</f>
        <v>53.333333333333336</v>
      </c>
      <c r="AA170" s="25">
        <f t="shared" si="57"/>
        <v>1670</v>
      </c>
      <c r="AB170" s="25">
        <f>Z170</f>
        <v>53.333333333333336</v>
      </c>
      <c r="AI170" s="10">
        <v>2.4</v>
      </c>
      <c r="AJ170" s="10">
        <v>4.0999999999999996</v>
      </c>
      <c r="AO170" s="14">
        <f t="shared" si="55"/>
        <v>0.87434554973821987</v>
      </c>
      <c r="AR170" s="14">
        <f t="shared" si="32"/>
        <v>0.87434554973821987</v>
      </c>
      <c r="AS170" s="14"/>
      <c r="AT170" s="14"/>
      <c r="AU170" s="44">
        <f>(AB170^2)/(O170^2)+(P170^2)*(AA170^2)/(O170^4)</f>
        <v>1.1149948381348354E-3</v>
      </c>
      <c r="AV170" s="44"/>
      <c r="AW170" s="44"/>
      <c r="AX170" s="44">
        <f t="shared" ref="AX170:AX188" si="59">AU170+AV170+AW170</f>
        <v>1.1149948381348354E-3</v>
      </c>
      <c r="AY170" s="44">
        <f t="shared" ref="AY170:AY171" si="60">SQRT(AX170)/AR170</f>
        <v>3.8190322385929516E-2</v>
      </c>
      <c r="AZ170" s="10">
        <v>147</v>
      </c>
      <c r="BC170" s="10" t="s">
        <v>2</v>
      </c>
      <c r="BD170" s="10" t="s">
        <v>2</v>
      </c>
      <c r="BE170" s="10" t="s">
        <v>2</v>
      </c>
      <c r="BF170" s="10" t="s">
        <v>2591</v>
      </c>
    </row>
    <row r="171" spans="1:58" s="10" customFormat="1" x14ac:dyDescent="0.3">
      <c r="A171" s="10" t="s">
        <v>687</v>
      </c>
      <c r="B171" s="10" t="s">
        <v>81</v>
      </c>
      <c r="C171" s="10" t="s">
        <v>688</v>
      </c>
      <c r="D171" s="10" t="s">
        <v>689</v>
      </c>
      <c r="F171" s="4" t="s">
        <v>2312</v>
      </c>
      <c r="G171" s="10" t="s">
        <v>690</v>
      </c>
      <c r="H171" s="10" t="s">
        <v>17</v>
      </c>
      <c r="J171" s="10" t="s">
        <v>691</v>
      </c>
      <c r="K171" s="10" t="s">
        <v>692</v>
      </c>
      <c r="L171" s="10">
        <v>3</v>
      </c>
      <c r="M171" s="10">
        <v>3</v>
      </c>
      <c r="O171" s="10">
        <v>1860</v>
      </c>
      <c r="P171" s="10">
        <v>40</v>
      </c>
      <c r="Y171" s="25">
        <f>(1620+1660+1810)/3</f>
        <v>1696.6666666666667</v>
      </c>
      <c r="Z171" s="25">
        <f>(40+40+50)/3</f>
        <v>43.333333333333336</v>
      </c>
      <c r="AA171" s="25">
        <f t="shared" si="57"/>
        <v>1696.6666666666667</v>
      </c>
      <c r="AB171" s="25">
        <f>Z171</f>
        <v>43.333333333333336</v>
      </c>
      <c r="AI171" s="10">
        <v>2.5</v>
      </c>
      <c r="AJ171" s="10">
        <v>4.2</v>
      </c>
      <c r="AO171" s="14">
        <f t="shared" si="55"/>
        <v>0.91218637992831542</v>
      </c>
      <c r="AR171" s="14">
        <f t="shared" si="32"/>
        <v>0.91218637992831542</v>
      </c>
      <c r="AS171" s="14"/>
      <c r="AT171" s="14"/>
      <c r="AU171" s="44">
        <f>(AB171^2)/(O171^2)+(P171^2)*(AA171^2)/(O171^4)</f>
        <v>9.2759630146275226E-4</v>
      </c>
      <c r="AV171" s="44"/>
      <c r="AW171" s="44"/>
      <c r="AX171" s="44">
        <f t="shared" si="59"/>
        <v>9.2759630146275226E-4</v>
      </c>
      <c r="AY171" s="44">
        <f t="shared" si="60"/>
        <v>3.3388424061121358E-2</v>
      </c>
      <c r="AZ171" s="10">
        <v>147</v>
      </c>
      <c r="BC171" s="10" t="s">
        <v>2</v>
      </c>
      <c r="BD171" s="10" t="s">
        <v>2</v>
      </c>
      <c r="BE171" s="10" t="s">
        <v>2</v>
      </c>
      <c r="BF171" s="10" t="s">
        <v>2591</v>
      </c>
    </row>
    <row r="172" spans="1:58" s="10" customFormat="1" x14ac:dyDescent="0.3">
      <c r="A172" s="10" t="s">
        <v>693</v>
      </c>
      <c r="B172" s="10" t="s">
        <v>441</v>
      </c>
      <c r="C172" s="10" t="s">
        <v>694</v>
      </c>
      <c r="D172" s="10" t="s">
        <v>695</v>
      </c>
      <c r="E172" s="10">
        <v>1997</v>
      </c>
      <c r="F172" s="4" t="s">
        <v>2312</v>
      </c>
      <c r="G172" s="10" t="s">
        <v>696</v>
      </c>
      <c r="H172" s="10" t="s">
        <v>17</v>
      </c>
      <c r="J172" s="10" t="s">
        <v>180</v>
      </c>
      <c r="K172" s="10" t="s">
        <v>461</v>
      </c>
      <c r="L172" s="10">
        <v>4</v>
      </c>
      <c r="M172" s="10">
        <v>4</v>
      </c>
      <c r="O172" s="10">
        <v>2590</v>
      </c>
      <c r="Y172" s="10">
        <v>1500</v>
      </c>
      <c r="AA172" s="25">
        <f t="shared" si="57"/>
        <v>1500</v>
      </c>
      <c r="AI172" s="10">
        <v>12.1</v>
      </c>
      <c r="AJ172" s="10">
        <v>22.3</v>
      </c>
      <c r="AO172" s="14">
        <f t="shared" si="55"/>
        <v>0.5791505791505791</v>
      </c>
      <c r="AP172" s="14"/>
      <c r="AQ172" s="14"/>
      <c r="AR172" s="14">
        <f t="shared" si="32"/>
        <v>0.5791505791505791</v>
      </c>
      <c r="AS172" s="14"/>
      <c r="AT172" s="14"/>
      <c r="AU172" s="44"/>
      <c r="AV172" s="44"/>
      <c r="AW172" s="44"/>
      <c r="AX172" s="44"/>
      <c r="AY172" s="44"/>
      <c r="BD172" s="10" t="s">
        <v>2</v>
      </c>
      <c r="BE172" s="10" t="s">
        <v>2</v>
      </c>
      <c r="BF172" s="10" t="s">
        <v>959</v>
      </c>
    </row>
    <row r="173" spans="1:58" s="10" customFormat="1" x14ac:dyDescent="0.3">
      <c r="A173" s="10" t="s">
        <v>693</v>
      </c>
      <c r="B173" s="10" t="s">
        <v>441</v>
      </c>
      <c r="C173" s="10" t="s">
        <v>694</v>
      </c>
      <c r="D173" s="10" t="s">
        <v>695</v>
      </c>
      <c r="E173" s="10">
        <v>1997</v>
      </c>
      <c r="F173" s="4" t="s">
        <v>2312</v>
      </c>
      <c r="G173" s="10" t="s">
        <v>697</v>
      </c>
      <c r="H173" s="10" t="s">
        <v>17</v>
      </c>
      <c r="J173" s="10" t="s">
        <v>180</v>
      </c>
      <c r="K173" s="10" t="s">
        <v>698</v>
      </c>
      <c r="L173" s="10">
        <v>4</v>
      </c>
      <c r="M173" s="10">
        <v>4</v>
      </c>
      <c r="O173" s="10">
        <v>2590</v>
      </c>
      <c r="Y173" s="10">
        <v>1670</v>
      </c>
      <c r="AA173" s="25">
        <f t="shared" si="57"/>
        <v>1670</v>
      </c>
      <c r="AI173" s="10">
        <v>7.6</v>
      </c>
      <c r="AJ173" s="10">
        <v>15.6</v>
      </c>
      <c r="AO173" s="14">
        <f t="shared" si="55"/>
        <v>0.64478764478764483</v>
      </c>
      <c r="AR173" s="14">
        <f t="shared" si="32"/>
        <v>0.64478764478764483</v>
      </c>
      <c r="AS173" s="14"/>
      <c r="AT173" s="14"/>
      <c r="AU173" s="44"/>
      <c r="AV173" s="44"/>
      <c r="AW173" s="44"/>
      <c r="AX173" s="44"/>
      <c r="AY173" s="44"/>
      <c r="BD173" s="10" t="s">
        <v>2</v>
      </c>
      <c r="BE173" s="10" t="s">
        <v>2</v>
      </c>
      <c r="BF173" s="10" t="s">
        <v>959</v>
      </c>
    </row>
    <row r="174" spans="1:58" s="10" customFormat="1" x14ac:dyDescent="0.3">
      <c r="A174" s="10" t="s">
        <v>693</v>
      </c>
      <c r="B174" s="10" t="s">
        <v>441</v>
      </c>
      <c r="C174" s="10" t="s">
        <v>694</v>
      </c>
      <c r="D174" s="10" t="s">
        <v>695</v>
      </c>
      <c r="E174" s="10">
        <v>1997</v>
      </c>
      <c r="F174" s="4" t="s">
        <v>2312</v>
      </c>
      <c r="G174" s="10" t="s">
        <v>696</v>
      </c>
      <c r="H174" s="10" t="s">
        <v>17</v>
      </c>
      <c r="J174" s="10" t="s">
        <v>63</v>
      </c>
      <c r="K174" s="10" t="s">
        <v>461</v>
      </c>
      <c r="L174" s="10">
        <v>4</v>
      </c>
      <c r="M174" s="10">
        <v>4</v>
      </c>
      <c r="O174" s="10">
        <v>4520</v>
      </c>
      <c r="Y174" s="10">
        <v>3750</v>
      </c>
      <c r="AA174" s="25">
        <f t="shared" si="57"/>
        <v>3750</v>
      </c>
      <c r="AI174" s="10">
        <v>12.3</v>
      </c>
      <c r="AJ174" s="10">
        <v>25.3</v>
      </c>
      <c r="AO174" s="14">
        <f t="shared" si="55"/>
        <v>0.82964601769911506</v>
      </c>
      <c r="AP174" s="14"/>
      <c r="AQ174" s="14"/>
      <c r="AR174" s="14">
        <f t="shared" si="32"/>
        <v>0.82964601769911506</v>
      </c>
      <c r="AS174" s="14"/>
      <c r="AT174" s="14"/>
      <c r="AU174" s="44"/>
      <c r="AV174" s="44"/>
      <c r="AW174" s="44"/>
      <c r="AX174" s="44"/>
      <c r="AY174" s="44"/>
      <c r="BD174" s="10" t="s">
        <v>2</v>
      </c>
      <c r="BE174" s="10" t="s">
        <v>2</v>
      </c>
      <c r="BF174" s="10" t="s">
        <v>959</v>
      </c>
    </row>
    <row r="175" spans="1:58" s="10" customFormat="1" x14ac:dyDescent="0.3">
      <c r="A175" s="10" t="s">
        <v>693</v>
      </c>
      <c r="B175" s="10" t="s">
        <v>441</v>
      </c>
      <c r="C175" s="10" t="s">
        <v>694</v>
      </c>
      <c r="D175" s="10" t="s">
        <v>695</v>
      </c>
      <c r="E175" s="10">
        <v>1997</v>
      </c>
      <c r="F175" s="4" t="s">
        <v>2312</v>
      </c>
      <c r="G175" s="10" t="s">
        <v>697</v>
      </c>
      <c r="H175" s="10" t="s">
        <v>17</v>
      </c>
      <c r="J175" s="10" t="s">
        <v>63</v>
      </c>
      <c r="K175" s="10" t="s">
        <v>698</v>
      </c>
      <c r="L175" s="10">
        <v>4</v>
      </c>
      <c r="M175" s="10">
        <v>4</v>
      </c>
      <c r="O175" s="10">
        <v>4520</v>
      </c>
      <c r="Y175" s="10">
        <v>3330</v>
      </c>
      <c r="AA175" s="25">
        <f t="shared" si="57"/>
        <v>3330</v>
      </c>
      <c r="AI175" s="10">
        <v>10.1</v>
      </c>
      <c r="AJ175" s="10">
        <v>15.5</v>
      </c>
      <c r="AO175" s="14">
        <f t="shared" si="55"/>
        <v>0.73672566371681414</v>
      </c>
      <c r="AR175" s="14">
        <f t="shared" si="32"/>
        <v>0.73672566371681414</v>
      </c>
      <c r="AS175" s="14"/>
      <c r="AT175" s="14"/>
      <c r="AU175" s="44"/>
      <c r="AV175" s="44"/>
      <c r="AW175" s="44"/>
      <c r="AX175" s="44"/>
      <c r="AY175" s="44"/>
      <c r="BD175" s="10" t="s">
        <v>2</v>
      </c>
      <c r="BE175" s="10" t="s">
        <v>2</v>
      </c>
      <c r="BF175" s="10" t="s">
        <v>959</v>
      </c>
    </row>
    <row r="176" spans="1:58" s="10" customFormat="1" x14ac:dyDescent="0.3">
      <c r="A176" s="10" t="s">
        <v>693</v>
      </c>
      <c r="B176" s="10" t="s">
        <v>441</v>
      </c>
      <c r="C176" s="10" t="s">
        <v>694</v>
      </c>
      <c r="D176" s="10" t="s">
        <v>695</v>
      </c>
      <c r="E176" s="10">
        <v>1998</v>
      </c>
      <c r="F176" s="4" t="s">
        <v>2312</v>
      </c>
      <c r="G176" s="10" t="s">
        <v>696</v>
      </c>
      <c r="H176" s="10" t="s">
        <v>17</v>
      </c>
      <c r="J176" s="10" t="s">
        <v>180</v>
      </c>
      <c r="K176" s="10" t="s">
        <v>461</v>
      </c>
      <c r="L176" s="10">
        <v>4</v>
      </c>
      <c r="M176" s="10">
        <v>4</v>
      </c>
      <c r="O176" s="10">
        <v>2240</v>
      </c>
      <c r="Y176" s="10">
        <v>1390</v>
      </c>
      <c r="AA176" s="25">
        <f t="shared" si="57"/>
        <v>1390</v>
      </c>
      <c r="AI176" s="10">
        <v>11.1</v>
      </c>
      <c r="AJ176" s="10">
        <v>21.5</v>
      </c>
      <c r="AO176" s="14">
        <f t="shared" si="55"/>
        <v>0.6205357142857143</v>
      </c>
      <c r="AR176" s="14">
        <f t="shared" si="32"/>
        <v>0.6205357142857143</v>
      </c>
      <c r="AS176" s="14"/>
      <c r="AT176" s="14"/>
      <c r="AU176" s="44"/>
      <c r="AV176" s="44"/>
      <c r="AW176" s="44"/>
      <c r="AX176" s="44"/>
      <c r="AY176" s="44"/>
      <c r="BD176" s="10" t="s">
        <v>2</v>
      </c>
      <c r="BE176" s="10" t="s">
        <v>2</v>
      </c>
      <c r="BF176" s="10" t="s">
        <v>959</v>
      </c>
    </row>
    <row r="177" spans="1:58" s="10" customFormat="1" x14ac:dyDescent="0.3">
      <c r="A177" s="10" t="s">
        <v>693</v>
      </c>
      <c r="B177" s="10" t="s">
        <v>441</v>
      </c>
      <c r="C177" s="10" t="s">
        <v>694</v>
      </c>
      <c r="D177" s="10" t="s">
        <v>695</v>
      </c>
      <c r="E177" s="10">
        <v>1998</v>
      </c>
      <c r="F177" s="4" t="s">
        <v>2312</v>
      </c>
      <c r="G177" s="10" t="s">
        <v>697</v>
      </c>
      <c r="H177" s="10" t="s">
        <v>17</v>
      </c>
      <c r="J177" s="10" t="s">
        <v>180</v>
      </c>
      <c r="K177" s="10" t="s">
        <v>698</v>
      </c>
      <c r="L177" s="10">
        <v>4</v>
      </c>
      <c r="M177" s="10">
        <v>4</v>
      </c>
      <c r="O177" s="10">
        <v>2240</v>
      </c>
      <c r="Y177" s="10">
        <v>2140</v>
      </c>
      <c r="AA177" s="25">
        <f t="shared" si="57"/>
        <v>2140</v>
      </c>
      <c r="AI177" s="10">
        <v>8.5</v>
      </c>
      <c r="AJ177" s="10">
        <v>17.600000000000001</v>
      </c>
      <c r="AO177" s="14">
        <f t="shared" si="55"/>
        <v>0.9553571428571429</v>
      </c>
      <c r="AP177" s="14"/>
      <c r="AQ177" s="14"/>
      <c r="AR177" s="14">
        <f t="shared" si="32"/>
        <v>0.9553571428571429</v>
      </c>
      <c r="AS177" s="14"/>
      <c r="AT177" s="14"/>
      <c r="AU177" s="44"/>
      <c r="AV177" s="44"/>
      <c r="AW177" s="44"/>
      <c r="AX177" s="44"/>
      <c r="AY177" s="44"/>
      <c r="BD177" s="10" t="s">
        <v>2</v>
      </c>
      <c r="BE177" s="10" t="s">
        <v>2</v>
      </c>
      <c r="BF177" s="10" t="s">
        <v>959</v>
      </c>
    </row>
    <row r="178" spans="1:58" s="10" customFormat="1" x14ac:dyDescent="0.3">
      <c r="A178" s="10" t="s">
        <v>693</v>
      </c>
      <c r="B178" s="10" t="s">
        <v>441</v>
      </c>
      <c r="C178" s="10" t="s">
        <v>694</v>
      </c>
      <c r="D178" s="10" t="s">
        <v>695</v>
      </c>
      <c r="E178" s="10">
        <v>1998</v>
      </c>
      <c r="F178" s="4" t="s">
        <v>2312</v>
      </c>
      <c r="G178" s="10" t="s">
        <v>696</v>
      </c>
      <c r="H178" s="10" t="s">
        <v>17</v>
      </c>
      <c r="J178" s="10" t="s">
        <v>63</v>
      </c>
      <c r="K178" s="10" t="s">
        <v>461</v>
      </c>
      <c r="L178" s="10">
        <v>4</v>
      </c>
      <c r="M178" s="10">
        <v>4</v>
      </c>
      <c r="O178" s="10">
        <v>5790</v>
      </c>
      <c r="Y178" s="10">
        <v>2990</v>
      </c>
      <c r="AA178" s="25">
        <f t="shared" si="57"/>
        <v>2990</v>
      </c>
      <c r="AI178" s="10">
        <v>13.3</v>
      </c>
      <c r="AJ178" s="10">
        <v>24.7</v>
      </c>
      <c r="AO178" s="14">
        <f t="shared" si="55"/>
        <v>0.5164075993091537</v>
      </c>
      <c r="AR178" s="14">
        <f t="shared" si="32"/>
        <v>0.5164075993091537</v>
      </c>
      <c r="AS178" s="14"/>
      <c r="AT178" s="14"/>
      <c r="AU178" s="44"/>
      <c r="AV178" s="44"/>
      <c r="AW178" s="44"/>
      <c r="AX178" s="44"/>
      <c r="AY178" s="44"/>
      <c r="BD178" s="10" t="s">
        <v>2</v>
      </c>
      <c r="BE178" s="10" t="s">
        <v>2</v>
      </c>
      <c r="BF178" s="10" t="s">
        <v>959</v>
      </c>
    </row>
    <row r="179" spans="1:58" s="10" customFormat="1" x14ac:dyDescent="0.3">
      <c r="A179" s="10" t="s">
        <v>693</v>
      </c>
      <c r="B179" s="10" t="s">
        <v>441</v>
      </c>
      <c r="C179" s="10" t="s">
        <v>694</v>
      </c>
      <c r="D179" s="10" t="s">
        <v>695</v>
      </c>
      <c r="E179" s="10">
        <v>1998</v>
      </c>
      <c r="F179" s="4" t="s">
        <v>2312</v>
      </c>
      <c r="G179" s="10" t="s">
        <v>697</v>
      </c>
      <c r="H179" s="10" t="s">
        <v>17</v>
      </c>
      <c r="J179" s="10" t="s">
        <v>63</v>
      </c>
      <c r="K179" s="10" t="s">
        <v>698</v>
      </c>
      <c r="L179" s="10">
        <v>4</v>
      </c>
      <c r="M179" s="10">
        <v>4</v>
      </c>
      <c r="O179" s="10">
        <v>5790</v>
      </c>
      <c r="Y179" s="10">
        <v>5430</v>
      </c>
      <c r="AA179" s="25">
        <f t="shared" si="57"/>
        <v>5430</v>
      </c>
      <c r="AI179" s="10">
        <v>7.8</v>
      </c>
      <c r="AJ179" s="10">
        <v>17.600000000000001</v>
      </c>
      <c r="AO179" s="14">
        <f t="shared" si="55"/>
        <v>0.93782383419689119</v>
      </c>
      <c r="AP179" s="14"/>
      <c r="AQ179" s="14"/>
      <c r="AR179" s="14">
        <f t="shared" si="32"/>
        <v>0.93782383419689119</v>
      </c>
      <c r="AS179" s="14"/>
      <c r="AT179" s="14"/>
      <c r="AU179" s="44"/>
      <c r="AV179" s="44"/>
      <c r="AW179" s="44"/>
      <c r="AX179" s="44"/>
      <c r="AY179" s="44"/>
      <c r="BD179" s="10" t="s">
        <v>2</v>
      </c>
      <c r="BE179" s="10" t="s">
        <v>2</v>
      </c>
      <c r="BF179" s="10" t="s">
        <v>959</v>
      </c>
    </row>
    <row r="180" spans="1:58" s="26" customFormat="1" x14ac:dyDescent="0.3">
      <c r="A180" s="26" t="s">
        <v>766</v>
      </c>
      <c r="B180" s="26" t="s">
        <v>767</v>
      </c>
      <c r="C180" s="26" t="s">
        <v>768</v>
      </c>
      <c r="F180" s="4" t="s">
        <v>2312</v>
      </c>
      <c r="G180" s="26" t="s">
        <v>776</v>
      </c>
      <c r="H180" s="26" t="s">
        <v>770</v>
      </c>
      <c r="J180" s="26" t="s">
        <v>756</v>
      </c>
      <c r="K180" s="26" t="s">
        <v>775</v>
      </c>
      <c r="L180" s="26">
        <v>1</v>
      </c>
      <c r="M180" s="10">
        <v>1</v>
      </c>
      <c r="O180" s="26">
        <v>7350</v>
      </c>
      <c r="Y180" s="26">
        <v>6370</v>
      </c>
      <c r="AA180" s="25">
        <f t="shared" si="57"/>
        <v>6370</v>
      </c>
      <c r="AO180" s="67">
        <f t="shared" si="55"/>
        <v>0.8666666666666667</v>
      </c>
      <c r="AR180" s="20">
        <f>AO180</f>
        <v>0.8666666666666667</v>
      </c>
      <c r="AS180" s="20"/>
      <c r="AT180" s="20"/>
      <c r="AU180" s="44"/>
      <c r="AV180" s="44"/>
      <c r="AW180" s="44"/>
      <c r="AX180" s="44"/>
      <c r="AY180" s="44"/>
      <c r="BA180" s="26" t="s">
        <v>14</v>
      </c>
      <c r="BB180" s="26" t="s">
        <v>2</v>
      </c>
      <c r="BD180" s="10" t="s">
        <v>2</v>
      </c>
      <c r="BE180" s="10" t="s">
        <v>2023</v>
      </c>
      <c r="BF180" s="26" t="s">
        <v>1913</v>
      </c>
    </row>
    <row r="181" spans="1:58" s="10" customFormat="1" x14ac:dyDescent="0.3">
      <c r="A181" s="10" t="s">
        <v>826</v>
      </c>
      <c r="B181" s="10" t="s">
        <v>827</v>
      </c>
      <c r="C181" s="10" t="s">
        <v>828</v>
      </c>
      <c r="D181" s="10" t="s">
        <v>829</v>
      </c>
      <c r="E181" s="10">
        <v>2003</v>
      </c>
      <c r="F181" s="4" t="s">
        <v>2312</v>
      </c>
      <c r="G181" s="10" t="s">
        <v>830</v>
      </c>
      <c r="H181" s="10" t="s">
        <v>781</v>
      </c>
      <c r="I181" s="10" t="s">
        <v>838</v>
      </c>
      <c r="J181" s="10" t="s">
        <v>756</v>
      </c>
      <c r="K181" s="10" t="s">
        <v>363</v>
      </c>
      <c r="L181" s="10">
        <v>3</v>
      </c>
      <c r="M181">
        <v>3</v>
      </c>
      <c r="O181" s="10">
        <v>17600</v>
      </c>
      <c r="P181" s="25">
        <f>SQRT(32490)</f>
        <v>180.24982662959764</v>
      </c>
      <c r="Y181" s="10">
        <v>14500</v>
      </c>
      <c r="Z181" s="10">
        <f>M181*(15630-Y181)</f>
        <v>3390</v>
      </c>
      <c r="AA181" s="5">
        <f t="shared" si="57"/>
        <v>14500</v>
      </c>
      <c r="AB181" s="10">
        <f>Z181</f>
        <v>3390</v>
      </c>
      <c r="AO181" s="14">
        <f t="shared" si="55"/>
        <v>0.82386363636363635</v>
      </c>
      <c r="AR181" s="18">
        <f t="shared" ref="AR181:AR194" si="61">AO181</f>
        <v>0.82386363636363635</v>
      </c>
      <c r="AS181" s="18"/>
      <c r="AT181" s="18"/>
      <c r="AU181" s="36">
        <f t="shared" ref="AU181:AU188" si="62">(AB181^2)/(O181^2)+(P181^2)*(AA181^2)/(O181^4)</f>
        <v>3.7171205544470107E-2</v>
      </c>
      <c r="AV181" s="36"/>
      <c r="AW181" s="36"/>
      <c r="AX181" s="36">
        <f t="shared" si="59"/>
        <v>3.7171205544470107E-2</v>
      </c>
      <c r="AY181" s="36">
        <f t="shared" ref="AY181:AY188" si="63">SQRT(AX181)/AR181</f>
        <v>0.2340173131948465</v>
      </c>
      <c r="AZ181" s="10">
        <v>221</v>
      </c>
      <c r="BA181" s="10" t="s">
        <v>1</v>
      </c>
      <c r="BB181" s="10" t="s">
        <v>3</v>
      </c>
      <c r="BD181" s="10" t="s">
        <v>2</v>
      </c>
      <c r="BE181" s="10" t="s">
        <v>2023</v>
      </c>
      <c r="BF181" s="10" t="s">
        <v>2592</v>
      </c>
    </row>
    <row r="182" spans="1:58" s="10" customFormat="1" x14ac:dyDescent="0.3">
      <c r="A182" s="10" t="s">
        <v>826</v>
      </c>
      <c r="B182" s="10" t="s">
        <v>827</v>
      </c>
      <c r="C182" s="10" t="s">
        <v>828</v>
      </c>
      <c r="D182" s="10" t="s">
        <v>829</v>
      </c>
      <c r="E182" s="10">
        <v>2003</v>
      </c>
      <c r="F182" s="4" t="s">
        <v>2312</v>
      </c>
      <c r="G182" s="10" t="s">
        <v>831</v>
      </c>
      <c r="H182" s="10" t="s">
        <v>781</v>
      </c>
      <c r="I182" s="10" t="s">
        <v>838</v>
      </c>
      <c r="J182" s="10" t="s">
        <v>756</v>
      </c>
      <c r="K182" s="10" t="s">
        <v>363</v>
      </c>
      <c r="L182" s="10">
        <v>3</v>
      </c>
      <c r="M182">
        <v>3</v>
      </c>
      <c r="O182" s="10">
        <v>14700</v>
      </c>
      <c r="P182" s="25">
        <f>SQRT(22090)</f>
        <v>148.62705002791384</v>
      </c>
      <c r="Y182" s="10">
        <v>9900</v>
      </c>
      <c r="Z182" s="10">
        <f>M182*(11800-Y182)</f>
        <v>5700</v>
      </c>
      <c r="AA182" s="5">
        <f t="shared" si="57"/>
        <v>9900</v>
      </c>
      <c r="AB182" s="10">
        <f t="shared" ref="AB182:AB188" si="64">Z182</f>
        <v>5700</v>
      </c>
      <c r="AO182" s="14">
        <f t="shared" si="55"/>
        <v>0.67346938775510201</v>
      </c>
      <c r="AR182" s="18">
        <f t="shared" si="61"/>
        <v>0.67346938775510201</v>
      </c>
      <c r="AS182" s="18"/>
      <c r="AT182" s="18"/>
      <c r="AU182" s="36">
        <f t="shared" si="62"/>
        <v>0.15040038485283361</v>
      </c>
      <c r="AV182" s="36"/>
      <c r="AW182" s="36"/>
      <c r="AX182" s="36">
        <f t="shared" si="59"/>
        <v>0.15040038485283361</v>
      </c>
      <c r="AY182" s="36">
        <f t="shared" si="63"/>
        <v>0.57584634405944091</v>
      </c>
      <c r="AZ182" s="10">
        <v>110</v>
      </c>
      <c r="BA182" s="10" t="s">
        <v>1</v>
      </c>
      <c r="BB182" s="10" t="s">
        <v>3</v>
      </c>
      <c r="BD182" s="10" t="s">
        <v>2</v>
      </c>
      <c r="BE182" s="10" t="s">
        <v>2023</v>
      </c>
      <c r="BF182" s="10" t="s">
        <v>2592</v>
      </c>
    </row>
    <row r="183" spans="1:58" s="10" customFormat="1" x14ac:dyDescent="0.3">
      <c r="A183" s="10" t="s">
        <v>826</v>
      </c>
      <c r="B183" s="10" t="s">
        <v>827</v>
      </c>
      <c r="C183" s="10" t="s">
        <v>828</v>
      </c>
      <c r="D183" s="10" t="s">
        <v>829</v>
      </c>
      <c r="E183" s="10">
        <v>2004</v>
      </c>
      <c r="F183" s="4" t="s">
        <v>2312</v>
      </c>
      <c r="G183" s="10" t="s">
        <v>830</v>
      </c>
      <c r="H183" s="10" t="s">
        <v>781</v>
      </c>
      <c r="I183" s="10" t="s">
        <v>838</v>
      </c>
      <c r="J183" s="10" t="s">
        <v>756</v>
      </c>
      <c r="K183" s="10" t="s">
        <v>363</v>
      </c>
      <c r="L183" s="10">
        <v>3</v>
      </c>
      <c r="M183">
        <v>3</v>
      </c>
      <c r="O183" s="26">
        <v>5100</v>
      </c>
      <c r="P183" s="25">
        <f>SQRT(1960)</f>
        <v>44.271887242357309</v>
      </c>
      <c r="Y183" s="10">
        <v>6700</v>
      </c>
      <c r="Z183" s="10">
        <f>M183*(8300-Y183)</f>
        <v>4800</v>
      </c>
      <c r="AA183" s="5">
        <f t="shared" si="57"/>
        <v>6700</v>
      </c>
      <c r="AB183" s="10">
        <f t="shared" si="64"/>
        <v>4800</v>
      </c>
      <c r="AO183" s="32">
        <f t="shared" si="55"/>
        <v>1.3137254901960784</v>
      </c>
      <c r="AR183" s="18">
        <f t="shared" si="61"/>
        <v>1.3137254901960784</v>
      </c>
      <c r="AS183" s="18"/>
      <c r="AT183" s="18"/>
      <c r="AU183" s="36">
        <f t="shared" si="62"/>
        <v>0.88594320316573005</v>
      </c>
      <c r="AV183" s="36"/>
      <c r="AW183" s="36"/>
      <c r="AX183" s="36">
        <f t="shared" si="59"/>
        <v>0.88594320316573005</v>
      </c>
      <c r="AY183" s="36">
        <f t="shared" si="63"/>
        <v>0.71647050046933924</v>
      </c>
      <c r="AZ183" s="10">
        <v>221</v>
      </c>
      <c r="BA183" s="10" t="s">
        <v>1</v>
      </c>
      <c r="BB183" s="10" t="s">
        <v>3</v>
      </c>
      <c r="BD183" s="10" t="s">
        <v>2</v>
      </c>
      <c r="BE183" s="10" t="s">
        <v>2023</v>
      </c>
      <c r="BF183" s="10" t="s">
        <v>2592</v>
      </c>
    </row>
    <row r="184" spans="1:58" s="10" customFormat="1" x14ac:dyDescent="0.3">
      <c r="A184" s="10" t="s">
        <v>826</v>
      </c>
      <c r="B184" s="10" t="s">
        <v>827</v>
      </c>
      <c r="C184" s="10" t="s">
        <v>828</v>
      </c>
      <c r="D184" s="10" t="s">
        <v>829</v>
      </c>
      <c r="E184" s="10">
        <v>2004</v>
      </c>
      <c r="F184" s="4" t="s">
        <v>2312</v>
      </c>
      <c r="G184" s="10" t="s">
        <v>831</v>
      </c>
      <c r="H184" s="10" t="s">
        <v>781</v>
      </c>
      <c r="I184" s="10" t="s">
        <v>838</v>
      </c>
      <c r="J184" s="10" t="s">
        <v>756</v>
      </c>
      <c r="K184" s="10" t="s">
        <v>363</v>
      </c>
      <c r="L184" s="10">
        <v>3</v>
      </c>
      <c r="M184">
        <v>3</v>
      </c>
      <c r="O184" s="26">
        <v>4500</v>
      </c>
      <c r="P184" s="25">
        <f>SQRT(2250)</f>
        <v>47.434164902525687</v>
      </c>
      <c r="Y184" s="10">
        <v>4700</v>
      </c>
      <c r="Z184" s="10">
        <f>M184*(4900-Y184)</f>
        <v>600</v>
      </c>
      <c r="AA184" s="5">
        <f t="shared" si="57"/>
        <v>4700</v>
      </c>
      <c r="AB184" s="10">
        <f t="shared" si="64"/>
        <v>600</v>
      </c>
      <c r="AO184" s="14">
        <f t="shared" si="55"/>
        <v>1.0444444444444445</v>
      </c>
      <c r="AR184" s="18">
        <f t="shared" si="61"/>
        <v>1.0444444444444445</v>
      </c>
      <c r="AS184" s="18"/>
      <c r="AT184" s="18"/>
      <c r="AU184" s="36">
        <f t="shared" si="62"/>
        <v>1.7898984910836763E-2</v>
      </c>
      <c r="AV184" s="36"/>
      <c r="AW184" s="36"/>
      <c r="AX184" s="36">
        <f t="shared" si="59"/>
        <v>1.7898984910836763E-2</v>
      </c>
      <c r="AY184" s="36">
        <f t="shared" si="63"/>
        <v>0.12809402040877504</v>
      </c>
      <c r="AZ184" s="10">
        <v>110</v>
      </c>
      <c r="BA184" s="10" t="s">
        <v>1</v>
      </c>
      <c r="BB184" s="10" t="s">
        <v>3</v>
      </c>
      <c r="BD184" s="10" t="s">
        <v>2</v>
      </c>
      <c r="BE184" s="10" t="s">
        <v>2023</v>
      </c>
      <c r="BF184" s="10" t="s">
        <v>2592</v>
      </c>
    </row>
    <row r="185" spans="1:58" s="10" customFormat="1" x14ac:dyDescent="0.3">
      <c r="A185" s="10" t="s">
        <v>826</v>
      </c>
      <c r="B185" s="10" t="s">
        <v>827</v>
      </c>
      <c r="C185" s="10" t="s">
        <v>828</v>
      </c>
      <c r="D185" s="10" t="s">
        <v>829</v>
      </c>
      <c r="E185" s="10">
        <v>2003</v>
      </c>
      <c r="F185" s="4" t="s">
        <v>2312</v>
      </c>
      <c r="G185" s="10" t="s">
        <v>830</v>
      </c>
      <c r="H185" s="10" t="s">
        <v>781</v>
      </c>
      <c r="I185" s="10" t="s">
        <v>839</v>
      </c>
      <c r="J185" s="10" t="s">
        <v>756</v>
      </c>
      <c r="K185" s="10" t="s">
        <v>837</v>
      </c>
      <c r="L185" s="10">
        <v>3</v>
      </c>
      <c r="M185" s="10">
        <v>3</v>
      </c>
      <c r="O185" s="26">
        <v>17600</v>
      </c>
      <c r="P185" s="25">
        <f>SQRT(32490)</f>
        <v>180.24982662959764</v>
      </c>
      <c r="Y185" s="10">
        <v>13300</v>
      </c>
      <c r="Z185" s="10">
        <f>M185*(14500-Y185)</f>
        <v>3600</v>
      </c>
      <c r="AA185" s="25">
        <f t="shared" si="57"/>
        <v>13300</v>
      </c>
      <c r="AB185" s="10">
        <f t="shared" si="64"/>
        <v>3600</v>
      </c>
      <c r="AO185" s="14">
        <f t="shared" si="55"/>
        <v>0.75568181818181823</v>
      </c>
      <c r="AR185" s="20">
        <f t="shared" si="61"/>
        <v>0.75568181818181823</v>
      </c>
      <c r="AS185" s="20"/>
      <c r="AT185" s="20"/>
      <c r="AU185" s="44">
        <f t="shared" si="62"/>
        <v>4.1898739596092589E-2</v>
      </c>
      <c r="AV185" s="44"/>
      <c r="AW185" s="44"/>
      <c r="AX185" s="44">
        <f t="shared" si="59"/>
        <v>4.1898739596092589E-2</v>
      </c>
      <c r="AY185" s="44">
        <f t="shared" si="63"/>
        <v>0.27087037324242347</v>
      </c>
      <c r="AZ185" s="10">
        <v>221</v>
      </c>
      <c r="BA185" s="10" t="s">
        <v>1</v>
      </c>
      <c r="BB185" s="10" t="s">
        <v>3</v>
      </c>
      <c r="BD185" s="10" t="s">
        <v>2</v>
      </c>
      <c r="BE185" s="10" t="s">
        <v>2</v>
      </c>
      <c r="BF185" s="10" t="s">
        <v>960</v>
      </c>
    </row>
    <row r="186" spans="1:58" s="10" customFormat="1" x14ac:dyDescent="0.3">
      <c r="A186" s="10" t="s">
        <v>826</v>
      </c>
      <c r="B186" s="10" t="s">
        <v>827</v>
      </c>
      <c r="C186" s="10" t="s">
        <v>828</v>
      </c>
      <c r="D186" s="10" t="s">
        <v>829</v>
      </c>
      <c r="E186" s="10">
        <v>2003</v>
      </c>
      <c r="F186" s="4" t="s">
        <v>2312</v>
      </c>
      <c r="G186" s="10" t="s">
        <v>831</v>
      </c>
      <c r="H186" s="10" t="s">
        <v>781</v>
      </c>
      <c r="I186" s="10" t="s">
        <v>839</v>
      </c>
      <c r="J186" s="10" t="s">
        <v>756</v>
      </c>
      <c r="K186" s="10" t="s">
        <v>837</v>
      </c>
      <c r="L186" s="10">
        <v>3</v>
      </c>
      <c r="M186" s="10">
        <v>3</v>
      </c>
      <c r="O186" s="26">
        <v>14700</v>
      </c>
      <c r="P186" s="25">
        <f>SQRT(22090)</f>
        <v>148.62705002791384</v>
      </c>
      <c r="Y186" s="10">
        <v>10100</v>
      </c>
      <c r="Z186" s="10">
        <f>M186*(12500-Y186)</f>
        <v>7200</v>
      </c>
      <c r="AA186" s="25">
        <f t="shared" si="57"/>
        <v>10100</v>
      </c>
      <c r="AB186" s="10">
        <f t="shared" si="64"/>
        <v>7200</v>
      </c>
      <c r="AO186" s="32">
        <f t="shared" si="55"/>
        <v>0.68707482993197277</v>
      </c>
      <c r="AR186" s="20">
        <f t="shared" si="61"/>
        <v>0.68707482993197277</v>
      </c>
      <c r="AS186" s="20"/>
      <c r="AT186" s="20"/>
      <c r="AU186" s="44">
        <f t="shared" si="62"/>
        <v>0.23994829962768449</v>
      </c>
      <c r="AV186" s="44"/>
      <c r="AW186" s="44"/>
      <c r="AX186" s="44">
        <f t="shared" si="59"/>
        <v>0.23994829962768449</v>
      </c>
      <c r="AY186" s="44">
        <f t="shared" si="63"/>
        <v>0.71294298365081843</v>
      </c>
      <c r="AZ186" s="10">
        <v>110</v>
      </c>
      <c r="BA186" s="10" t="s">
        <v>1</v>
      </c>
      <c r="BB186" s="10" t="s">
        <v>3</v>
      </c>
      <c r="BD186" s="10" t="s">
        <v>2</v>
      </c>
      <c r="BE186" s="10" t="s">
        <v>2</v>
      </c>
      <c r="BF186" s="10" t="s">
        <v>960</v>
      </c>
    </row>
    <row r="187" spans="1:58" s="10" customFormat="1" x14ac:dyDescent="0.3">
      <c r="A187" s="10" t="s">
        <v>826</v>
      </c>
      <c r="B187" s="10" t="s">
        <v>827</v>
      </c>
      <c r="C187" s="10" t="s">
        <v>828</v>
      </c>
      <c r="D187" s="10" t="s">
        <v>829</v>
      </c>
      <c r="E187" s="10">
        <v>2004</v>
      </c>
      <c r="F187" s="4" t="s">
        <v>2312</v>
      </c>
      <c r="G187" s="10" t="s">
        <v>830</v>
      </c>
      <c r="H187" s="10" t="s">
        <v>781</v>
      </c>
      <c r="I187" s="10" t="s">
        <v>839</v>
      </c>
      <c r="J187" s="10" t="s">
        <v>756</v>
      </c>
      <c r="K187" s="10" t="s">
        <v>837</v>
      </c>
      <c r="L187" s="10">
        <v>3</v>
      </c>
      <c r="M187" s="10">
        <v>3</v>
      </c>
      <c r="O187" s="26">
        <v>5100</v>
      </c>
      <c r="P187" s="25">
        <f>SQRT(1960)</f>
        <v>44.271887242357309</v>
      </c>
      <c r="Y187" s="10">
        <v>6600</v>
      </c>
      <c r="Z187" s="10">
        <f>M187*(8900-Y187)</f>
        <v>6900</v>
      </c>
      <c r="AA187" s="25">
        <f t="shared" si="57"/>
        <v>6600</v>
      </c>
      <c r="AB187" s="10">
        <f t="shared" si="64"/>
        <v>6900</v>
      </c>
      <c r="AO187" s="14">
        <f t="shared" si="55"/>
        <v>1.2941176470588236</v>
      </c>
      <c r="AR187" s="20">
        <f t="shared" si="61"/>
        <v>1.2941176470588236</v>
      </c>
      <c r="AS187" s="20"/>
      <c r="AT187" s="20"/>
      <c r="AU187" s="44">
        <f t="shared" si="62"/>
        <v>1.8305760281180117</v>
      </c>
      <c r="AV187" s="44"/>
      <c r="AW187" s="44"/>
      <c r="AX187" s="44">
        <f t="shared" si="59"/>
        <v>1.8305760281180117</v>
      </c>
      <c r="AY187" s="44">
        <f t="shared" si="63"/>
        <v>1.0454905844836764</v>
      </c>
      <c r="AZ187" s="10">
        <v>221</v>
      </c>
      <c r="BA187" s="10" t="s">
        <v>1</v>
      </c>
      <c r="BB187" s="10" t="s">
        <v>3</v>
      </c>
      <c r="BD187" s="10" t="s">
        <v>2</v>
      </c>
      <c r="BE187" s="10" t="s">
        <v>2</v>
      </c>
      <c r="BF187" s="10" t="s">
        <v>960</v>
      </c>
    </row>
    <row r="188" spans="1:58" s="10" customFormat="1" x14ac:dyDescent="0.3">
      <c r="A188" s="10" t="s">
        <v>826</v>
      </c>
      <c r="B188" s="10" t="s">
        <v>827</v>
      </c>
      <c r="C188" s="10" t="s">
        <v>828</v>
      </c>
      <c r="D188" s="10" t="s">
        <v>829</v>
      </c>
      <c r="E188" s="10">
        <v>2004</v>
      </c>
      <c r="F188" s="4" t="s">
        <v>2312</v>
      </c>
      <c r="G188" s="10" t="s">
        <v>831</v>
      </c>
      <c r="H188" s="10" t="s">
        <v>781</v>
      </c>
      <c r="I188" s="10" t="s">
        <v>839</v>
      </c>
      <c r="J188" s="10" t="s">
        <v>756</v>
      </c>
      <c r="K188" s="10" t="s">
        <v>837</v>
      </c>
      <c r="L188" s="10">
        <v>3</v>
      </c>
      <c r="M188" s="10">
        <v>3</v>
      </c>
      <c r="O188" s="26">
        <v>4500</v>
      </c>
      <c r="P188" s="25">
        <f>SQRT(2250)</f>
        <v>47.434164902525687</v>
      </c>
      <c r="Y188" s="10">
        <v>2900</v>
      </c>
      <c r="Z188" s="10">
        <f>M188*(3100-Y188)</f>
        <v>600</v>
      </c>
      <c r="AA188" s="25">
        <f t="shared" si="57"/>
        <v>2900</v>
      </c>
      <c r="AB188" s="10">
        <f t="shared" si="64"/>
        <v>600</v>
      </c>
      <c r="AO188" s="14">
        <f t="shared" si="55"/>
        <v>0.64444444444444449</v>
      </c>
      <c r="AR188" s="20">
        <f t="shared" si="61"/>
        <v>0.64444444444444449</v>
      </c>
      <c r="AS188" s="20"/>
      <c r="AT188" s="20"/>
      <c r="AU188" s="44">
        <f t="shared" si="62"/>
        <v>1.7823923182441703E-2</v>
      </c>
      <c r="AV188" s="44"/>
      <c r="AW188" s="44"/>
      <c r="AX188" s="44">
        <f t="shared" si="59"/>
        <v>1.7823923182441703E-2</v>
      </c>
      <c r="AY188" s="44">
        <f t="shared" si="63"/>
        <v>0.20716489622146411</v>
      </c>
      <c r="AZ188" s="10">
        <v>110</v>
      </c>
      <c r="BA188" s="10" t="s">
        <v>1</v>
      </c>
      <c r="BB188" s="10" t="s">
        <v>3</v>
      </c>
      <c r="BD188" s="10" t="s">
        <v>2</v>
      </c>
      <c r="BE188" s="10" t="s">
        <v>2</v>
      </c>
      <c r="BF188" s="10" t="s">
        <v>960</v>
      </c>
    </row>
    <row r="189" spans="1:58" s="10" customFormat="1" x14ac:dyDescent="0.3">
      <c r="A189" s="10" t="s">
        <v>853</v>
      </c>
      <c r="B189" s="10" t="s">
        <v>854</v>
      </c>
      <c r="F189" s="4" t="s">
        <v>2312</v>
      </c>
      <c r="G189" s="10" t="s">
        <v>855</v>
      </c>
      <c r="L189" s="10">
        <v>66</v>
      </c>
      <c r="M189" s="10">
        <v>66</v>
      </c>
      <c r="N189" s="10">
        <v>12</v>
      </c>
      <c r="AA189" s="25"/>
      <c r="AO189" s="14">
        <v>2.1</v>
      </c>
      <c r="AR189" s="20">
        <f t="shared" si="61"/>
        <v>2.1</v>
      </c>
      <c r="AS189" s="20">
        <v>1.8</v>
      </c>
      <c r="AT189" s="20">
        <v>2.5</v>
      </c>
      <c r="AU189" s="44"/>
      <c r="AV189" s="44"/>
      <c r="AW189" s="44"/>
      <c r="AX189" s="44"/>
      <c r="AY189" s="44"/>
      <c r="BD189" s="10" t="s">
        <v>3</v>
      </c>
      <c r="BE189" s="10" t="s">
        <v>2023</v>
      </c>
      <c r="BF189" s="10" t="s">
        <v>961</v>
      </c>
    </row>
    <row r="190" spans="1:58" s="10" customFormat="1" x14ac:dyDescent="0.3">
      <c r="A190" s="10" t="s">
        <v>1061</v>
      </c>
      <c r="B190" s="10" t="s">
        <v>777</v>
      </c>
      <c r="C190" s="10" t="s">
        <v>1064</v>
      </c>
      <c r="D190" s="10" t="s">
        <v>1065</v>
      </c>
      <c r="E190" s="10" t="s">
        <v>1066</v>
      </c>
      <c r="F190" s="4" t="s">
        <v>2312</v>
      </c>
      <c r="G190" s="10" t="s">
        <v>1062</v>
      </c>
      <c r="H190" s="10" t="s">
        <v>217</v>
      </c>
      <c r="I190" s="10" t="s">
        <v>838</v>
      </c>
      <c r="J190" s="10" t="s">
        <v>1063</v>
      </c>
      <c r="K190" s="10" t="s">
        <v>682</v>
      </c>
      <c r="L190" s="10">
        <v>6</v>
      </c>
      <c r="M190" s="10">
        <v>6</v>
      </c>
      <c r="O190" s="26">
        <v>1689</v>
      </c>
      <c r="Q190" s="10">
        <v>1135</v>
      </c>
      <c r="Y190" s="10">
        <v>1872</v>
      </c>
      <c r="AA190" s="25">
        <f t="shared" si="57"/>
        <v>1872</v>
      </c>
      <c r="AC190" s="10">
        <v>1415</v>
      </c>
      <c r="AE190" s="10">
        <f>AC190</f>
        <v>1415</v>
      </c>
      <c r="AO190" s="14">
        <f t="shared" ref="AO190:AO194" si="65">Y190/O190</f>
        <v>1.1083481349911191</v>
      </c>
      <c r="AR190" s="20">
        <f t="shared" si="61"/>
        <v>1.1083481349911191</v>
      </c>
      <c r="AS190" s="20"/>
      <c r="AT190" s="20"/>
      <c r="AU190" s="44"/>
      <c r="AV190" s="44"/>
      <c r="AW190" s="44"/>
      <c r="AX190" s="44"/>
      <c r="AY190" s="44"/>
      <c r="BC190" s="10" t="s">
        <v>2</v>
      </c>
      <c r="BD190" s="10" t="s">
        <v>2</v>
      </c>
      <c r="BE190" s="10" t="s">
        <v>3</v>
      </c>
      <c r="BF190" s="10" t="s">
        <v>1068</v>
      </c>
    </row>
    <row r="191" spans="1:58" s="10" customFormat="1" x14ac:dyDescent="0.3">
      <c r="A191" s="10" t="s">
        <v>1085</v>
      </c>
      <c r="B191" s="10" t="s">
        <v>123</v>
      </c>
      <c r="C191" s="10" t="s">
        <v>1087</v>
      </c>
      <c r="D191" s="10" t="s">
        <v>1086</v>
      </c>
      <c r="E191" s="10">
        <v>2</v>
      </c>
      <c r="F191" s="4" t="s">
        <v>2312</v>
      </c>
      <c r="G191" s="10" t="s">
        <v>855</v>
      </c>
      <c r="H191" s="10" t="s">
        <v>781</v>
      </c>
      <c r="J191" s="10" t="s">
        <v>63</v>
      </c>
      <c r="K191" s="10" t="s">
        <v>1090</v>
      </c>
      <c r="L191" s="10">
        <v>6</v>
      </c>
      <c r="M191" s="10">
        <v>6</v>
      </c>
      <c r="O191" s="25">
        <f>10000*55/210</f>
        <v>2619.0476190476193</v>
      </c>
      <c r="X191" s="10">
        <v>2.7</v>
      </c>
      <c r="Y191" s="25">
        <f>10000*13.3/210</f>
        <v>633.33333333333337</v>
      </c>
      <c r="AA191" s="25">
        <f t="shared" si="57"/>
        <v>633.33333333333337</v>
      </c>
      <c r="AJ191" s="10">
        <v>2.1</v>
      </c>
      <c r="AO191" s="14">
        <f t="shared" si="65"/>
        <v>0.24181818181818182</v>
      </c>
      <c r="AR191" s="20">
        <f t="shared" si="61"/>
        <v>0.24181818181818182</v>
      </c>
      <c r="AS191" s="20"/>
      <c r="AT191" s="20"/>
      <c r="AU191" s="44"/>
      <c r="AV191" s="44"/>
      <c r="AW191" s="44"/>
      <c r="AX191" s="44"/>
      <c r="AY191" s="44"/>
      <c r="BD191" s="10" t="s">
        <v>2</v>
      </c>
      <c r="BE191" s="10" t="s">
        <v>2</v>
      </c>
      <c r="BF191" s="10" t="s">
        <v>1091</v>
      </c>
    </row>
    <row r="192" spans="1:58" s="10" customFormat="1" x14ac:dyDescent="0.3">
      <c r="A192" s="10" t="s">
        <v>1085</v>
      </c>
      <c r="B192" s="10" t="s">
        <v>123</v>
      </c>
      <c r="C192" s="10" t="s">
        <v>1087</v>
      </c>
      <c r="D192" s="10" t="s">
        <v>1086</v>
      </c>
      <c r="E192" s="10">
        <v>2</v>
      </c>
      <c r="F192" s="4" t="s">
        <v>2312</v>
      </c>
      <c r="G192" s="10" t="s">
        <v>855</v>
      </c>
      <c r="H192" s="10" t="s">
        <v>781</v>
      </c>
      <c r="J192" s="10" t="s">
        <v>1088</v>
      </c>
      <c r="K192" s="10" t="s">
        <v>1090</v>
      </c>
      <c r="L192" s="10">
        <v>6</v>
      </c>
      <c r="M192" s="10">
        <v>6</v>
      </c>
      <c r="O192" s="25">
        <f>10000*4.7/210</f>
        <v>223.8095238095238</v>
      </c>
      <c r="X192" s="10">
        <v>2.7</v>
      </c>
      <c r="Y192" s="25">
        <f>10000*18.1/210</f>
        <v>861.90476190476193</v>
      </c>
      <c r="AA192" s="25">
        <f t="shared" si="57"/>
        <v>861.90476190476193</v>
      </c>
      <c r="AJ192" s="10">
        <v>2</v>
      </c>
      <c r="AO192" s="14">
        <f t="shared" si="65"/>
        <v>3.8510638297872344</v>
      </c>
      <c r="AR192" s="20">
        <f t="shared" si="61"/>
        <v>3.8510638297872344</v>
      </c>
      <c r="AS192" s="20"/>
      <c r="AT192" s="20"/>
      <c r="AU192" s="44"/>
      <c r="AV192" s="44"/>
      <c r="AW192" s="44"/>
      <c r="AX192" s="44"/>
      <c r="AY192" s="44"/>
      <c r="BD192" s="10" t="s">
        <v>2</v>
      </c>
      <c r="BE192" s="10" t="s">
        <v>2</v>
      </c>
      <c r="BF192" s="10" t="s">
        <v>1091</v>
      </c>
    </row>
    <row r="193" spans="1:58" s="10" customFormat="1" x14ac:dyDescent="0.3">
      <c r="A193" s="10" t="s">
        <v>1085</v>
      </c>
      <c r="B193" s="10" t="s">
        <v>123</v>
      </c>
      <c r="C193" s="10" t="s">
        <v>1087</v>
      </c>
      <c r="D193" s="10" t="s">
        <v>1086</v>
      </c>
      <c r="E193" s="10">
        <v>1</v>
      </c>
      <c r="F193" s="4" t="s">
        <v>2312</v>
      </c>
      <c r="G193" s="10" t="s">
        <v>855</v>
      </c>
      <c r="H193" s="10" t="s">
        <v>781</v>
      </c>
      <c r="J193" s="10" t="s">
        <v>1089</v>
      </c>
      <c r="K193" s="10" t="s">
        <v>1090</v>
      </c>
      <c r="L193" s="10">
        <v>6</v>
      </c>
      <c r="M193" s="10">
        <v>6</v>
      </c>
      <c r="O193" s="25">
        <f>10000*126.7/210</f>
        <v>6033.333333333333</v>
      </c>
      <c r="X193" s="10">
        <v>2.7</v>
      </c>
      <c r="Y193" s="25">
        <f>10000*54.6/210</f>
        <v>2600</v>
      </c>
      <c r="AA193" s="25">
        <f t="shared" si="57"/>
        <v>2600</v>
      </c>
      <c r="AJ193" s="10">
        <v>2.1</v>
      </c>
      <c r="AO193" s="14">
        <f t="shared" si="65"/>
        <v>0.43093922651933703</v>
      </c>
      <c r="AR193" s="20">
        <f t="shared" si="61"/>
        <v>0.43093922651933703</v>
      </c>
      <c r="AS193" s="20"/>
      <c r="AT193" s="20"/>
      <c r="AU193" s="44"/>
      <c r="AV193" s="44"/>
      <c r="AW193" s="44"/>
      <c r="AX193" s="44"/>
      <c r="AY193" s="44"/>
      <c r="BD193" s="10" t="s">
        <v>2</v>
      </c>
      <c r="BE193" s="10" t="s">
        <v>2</v>
      </c>
      <c r="BF193" s="10" t="s">
        <v>1091</v>
      </c>
    </row>
    <row r="194" spans="1:58" s="10" customFormat="1" x14ac:dyDescent="0.3">
      <c r="A194" s="10" t="s">
        <v>1085</v>
      </c>
      <c r="B194" s="10" t="s">
        <v>123</v>
      </c>
      <c r="C194" s="10" t="s">
        <v>1087</v>
      </c>
      <c r="D194" s="10" t="s">
        <v>1086</v>
      </c>
      <c r="E194" s="10">
        <v>2</v>
      </c>
      <c r="F194" s="4" t="s">
        <v>2312</v>
      </c>
      <c r="G194" s="10" t="s">
        <v>855</v>
      </c>
      <c r="H194" s="10" t="s">
        <v>781</v>
      </c>
      <c r="J194" s="10" t="s">
        <v>1089</v>
      </c>
      <c r="K194" s="10" t="s">
        <v>1090</v>
      </c>
      <c r="L194" s="10">
        <v>6</v>
      </c>
      <c r="M194" s="10">
        <v>6</v>
      </c>
      <c r="O194" s="25">
        <f>10000*136.2/210</f>
        <v>6485.7142857142853</v>
      </c>
      <c r="X194" s="10">
        <v>2.7</v>
      </c>
      <c r="Y194" s="25">
        <f>10000*222.8/210</f>
        <v>10609.523809523809</v>
      </c>
      <c r="AA194" s="25">
        <f t="shared" si="57"/>
        <v>10609.523809523809</v>
      </c>
      <c r="AJ194" s="10">
        <v>2.1</v>
      </c>
      <c r="AO194" s="14">
        <f t="shared" si="65"/>
        <v>1.6358296622613804</v>
      </c>
      <c r="AR194" s="20">
        <f t="shared" si="61"/>
        <v>1.6358296622613804</v>
      </c>
      <c r="AS194" s="20"/>
      <c r="AT194" s="20"/>
      <c r="AU194" s="44"/>
      <c r="AV194" s="44"/>
      <c r="AW194" s="44"/>
      <c r="AX194" s="44"/>
      <c r="AY194" s="44"/>
      <c r="BD194" s="10" t="s">
        <v>2</v>
      </c>
      <c r="BE194" s="10" t="s">
        <v>2</v>
      </c>
      <c r="BF194" s="10" t="s">
        <v>1091</v>
      </c>
    </row>
    <row r="195" spans="1:58" s="10" customFormat="1" x14ac:dyDescent="0.3">
      <c r="A195" s="10" t="s">
        <v>1101</v>
      </c>
      <c r="B195" s="10" t="s">
        <v>1055</v>
      </c>
      <c r="C195" s="10" t="s">
        <v>1102</v>
      </c>
      <c r="D195" s="10" t="s">
        <v>1103</v>
      </c>
      <c r="E195" s="10">
        <v>2003</v>
      </c>
      <c r="F195" s="4" t="s">
        <v>2312</v>
      </c>
      <c r="G195" s="10" t="s">
        <v>855</v>
      </c>
      <c r="H195" s="10" t="s">
        <v>1104</v>
      </c>
      <c r="J195" s="10" t="s">
        <v>1106</v>
      </c>
      <c r="K195" s="10" t="s">
        <v>1105</v>
      </c>
      <c r="L195" s="10">
        <v>3</v>
      </c>
      <c r="M195" s="10">
        <v>3</v>
      </c>
      <c r="S195" s="10">
        <v>0.01</v>
      </c>
      <c r="U195" s="10" t="s">
        <v>954</v>
      </c>
      <c r="V195" s="10">
        <v>6</v>
      </c>
      <c r="W195" s="10">
        <v>4.71</v>
      </c>
      <c r="X195" s="10">
        <v>6.2</v>
      </c>
      <c r="AA195" s="25"/>
      <c r="AG195" s="10">
        <v>0.03</v>
      </c>
      <c r="AI195" s="10">
        <v>5.22</v>
      </c>
      <c r="AJ195" s="10">
        <v>9.1999999999999993</v>
      </c>
      <c r="AO195" s="14"/>
      <c r="AP195" s="10">
        <f>AG195/S195</f>
        <v>3</v>
      </c>
      <c r="AR195" s="10">
        <f>AP195</f>
        <v>3</v>
      </c>
      <c r="AU195" s="44"/>
      <c r="AV195" s="44"/>
      <c r="AW195" s="44"/>
      <c r="AX195" s="44"/>
      <c r="AY195" s="44"/>
      <c r="BD195" s="10" t="s">
        <v>2</v>
      </c>
      <c r="BE195" s="10" t="s">
        <v>2</v>
      </c>
      <c r="BF195" s="10" t="s">
        <v>2263</v>
      </c>
    </row>
    <row r="196" spans="1:58" s="26" customFormat="1" x14ac:dyDescent="0.3">
      <c r="A196" s="26" t="s">
        <v>1225</v>
      </c>
      <c r="B196" s="26" t="s">
        <v>29</v>
      </c>
      <c r="C196" s="26" t="s">
        <v>700</v>
      </c>
      <c r="D196" s="26" t="s">
        <v>1226</v>
      </c>
      <c r="E196" s="26">
        <v>1997</v>
      </c>
      <c r="F196" s="4" t="s">
        <v>2312</v>
      </c>
      <c r="G196" s="26" t="s">
        <v>855</v>
      </c>
      <c r="H196" s="26" t="s">
        <v>1227</v>
      </c>
      <c r="J196" s="26" t="s">
        <v>2257</v>
      </c>
      <c r="K196" s="26" t="s">
        <v>1228</v>
      </c>
      <c r="L196" s="26">
        <v>6</v>
      </c>
      <c r="M196" s="26">
        <v>6</v>
      </c>
      <c r="O196" s="20">
        <f>(72*1243)*278/1000000</f>
        <v>24.879888000000001</v>
      </c>
      <c r="Y196" s="20">
        <f>(72*622)*278/1000000</f>
        <v>12.449952</v>
      </c>
      <c r="AA196" s="20">
        <f>Y196</f>
        <v>12.449952</v>
      </c>
      <c r="AO196" s="20">
        <f t="shared" ref="AO196:AO202" si="66">Y196/O196</f>
        <v>0.500402252614642</v>
      </c>
      <c r="AR196" s="20">
        <f t="shared" ref="AR196:AR198" si="67">AO196</f>
        <v>0.500402252614642</v>
      </c>
      <c r="AS196" s="20"/>
      <c r="AT196" s="20"/>
      <c r="BD196" s="26" t="s">
        <v>2</v>
      </c>
      <c r="BE196" s="26" t="s">
        <v>2</v>
      </c>
      <c r="BF196" s="26" t="s">
        <v>2593</v>
      </c>
    </row>
    <row r="197" spans="1:58" s="26" customFormat="1" x14ac:dyDescent="0.3">
      <c r="A197" s="26" t="s">
        <v>1225</v>
      </c>
      <c r="B197" s="26" t="s">
        <v>29</v>
      </c>
      <c r="C197" s="26" t="s">
        <v>700</v>
      </c>
      <c r="D197" s="26" t="s">
        <v>1226</v>
      </c>
      <c r="E197" s="26">
        <v>1997</v>
      </c>
      <c r="F197" s="4" t="s">
        <v>2312</v>
      </c>
      <c r="G197" s="26" t="s">
        <v>855</v>
      </c>
      <c r="H197" s="26" t="s">
        <v>1227</v>
      </c>
      <c r="J197" s="26" t="s">
        <v>1229</v>
      </c>
      <c r="K197" s="26" t="s">
        <v>1228</v>
      </c>
      <c r="L197" s="26">
        <v>6</v>
      </c>
      <c r="M197" s="26">
        <v>6</v>
      </c>
      <c r="O197" s="20">
        <f>(72*1243)*278/1000000</f>
        <v>24.879888000000001</v>
      </c>
      <c r="Y197" s="20">
        <f>(79*705)*278/1000000</f>
        <v>15.48321</v>
      </c>
      <c r="AA197" s="20">
        <f t="shared" ref="AA197:AA198" si="68">Y197</f>
        <v>15.48321</v>
      </c>
      <c r="AO197" s="20">
        <f t="shared" si="66"/>
        <v>0.62231831590238662</v>
      </c>
      <c r="AR197" s="20">
        <f t="shared" si="67"/>
        <v>0.62231831590238662</v>
      </c>
      <c r="AS197" s="20"/>
      <c r="AT197" s="20"/>
      <c r="BD197" s="26" t="s">
        <v>2</v>
      </c>
      <c r="BE197" s="26" t="s">
        <v>2</v>
      </c>
      <c r="BF197" s="26" t="s">
        <v>2593</v>
      </c>
    </row>
    <row r="198" spans="1:58" s="26" customFormat="1" x14ac:dyDescent="0.3">
      <c r="A198" s="26" t="s">
        <v>1225</v>
      </c>
      <c r="B198" s="26" t="s">
        <v>29</v>
      </c>
      <c r="C198" s="26" t="s">
        <v>700</v>
      </c>
      <c r="D198" s="26" t="s">
        <v>1226</v>
      </c>
      <c r="E198" s="26">
        <v>1998</v>
      </c>
      <c r="F198" s="4" t="s">
        <v>2312</v>
      </c>
      <c r="G198" s="26" t="s">
        <v>855</v>
      </c>
      <c r="H198" s="26" t="s">
        <v>1227</v>
      </c>
      <c r="J198" s="26" t="s">
        <v>2257</v>
      </c>
      <c r="K198" s="26" t="s">
        <v>1228</v>
      </c>
      <c r="L198" s="26">
        <v>6</v>
      </c>
      <c r="M198" s="26">
        <v>6</v>
      </c>
      <c r="O198" s="20">
        <f>(51*101)*278/1000000</f>
        <v>1.431978</v>
      </c>
      <c r="Y198" s="20">
        <f>(57*55)*278/1000000</f>
        <v>0.87153000000000003</v>
      </c>
      <c r="AA198" s="20">
        <f t="shared" si="68"/>
        <v>0.87153000000000003</v>
      </c>
      <c r="AO198" s="20">
        <f t="shared" si="66"/>
        <v>0.60861968549796164</v>
      </c>
      <c r="AR198" s="20">
        <f t="shared" si="67"/>
        <v>0.60861968549796164</v>
      </c>
      <c r="AS198" s="20"/>
      <c r="AT198" s="20"/>
      <c r="BD198" s="26" t="s">
        <v>2</v>
      </c>
      <c r="BE198" s="26" t="s">
        <v>2</v>
      </c>
      <c r="BF198" s="26" t="s">
        <v>2593</v>
      </c>
    </row>
    <row r="199" spans="1:58" s="26" customFormat="1" x14ac:dyDescent="0.3">
      <c r="A199" s="26" t="s">
        <v>1225</v>
      </c>
      <c r="B199" s="26" t="s">
        <v>29</v>
      </c>
      <c r="C199" s="26" t="s">
        <v>700</v>
      </c>
      <c r="D199" s="26" t="s">
        <v>1226</v>
      </c>
      <c r="E199" s="26">
        <v>1998</v>
      </c>
      <c r="F199" s="4" t="s">
        <v>2312</v>
      </c>
      <c r="G199" s="26" t="s">
        <v>855</v>
      </c>
      <c r="H199" s="26" t="s">
        <v>1227</v>
      </c>
      <c r="J199" s="26" t="s">
        <v>1229</v>
      </c>
      <c r="K199" s="26" t="s">
        <v>1228</v>
      </c>
      <c r="L199" s="26">
        <v>6</v>
      </c>
      <c r="M199" s="26">
        <v>6</v>
      </c>
      <c r="O199" s="20">
        <f>(51*101)*278/1000000</f>
        <v>1.431978</v>
      </c>
      <c r="Y199" s="20">
        <f>(60*138)*278/1000000</f>
        <v>2.3018399999999999</v>
      </c>
      <c r="AA199" s="42">
        <f t="shared" si="57"/>
        <v>2.3018399999999999</v>
      </c>
      <c r="AO199" s="20">
        <f t="shared" si="66"/>
        <v>1.607454863133372</v>
      </c>
      <c r="AR199" s="20">
        <f>AO199</f>
        <v>1.607454863133372</v>
      </c>
      <c r="AS199" s="20"/>
      <c r="AT199" s="20"/>
      <c r="AU199" s="68"/>
      <c r="AV199" s="68"/>
      <c r="AW199" s="68"/>
      <c r="AX199" s="68"/>
      <c r="AY199" s="68"/>
      <c r="BD199" s="26" t="s">
        <v>2</v>
      </c>
      <c r="BE199" s="26" t="s">
        <v>2</v>
      </c>
      <c r="BF199" s="26" t="s">
        <v>2594</v>
      </c>
    </row>
    <row r="200" spans="1:58" s="26" customFormat="1" x14ac:dyDescent="0.3">
      <c r="A200" s="26" t="s">
        <v>1587</v>
      </c>
      <c r="B200" s="26" t="s">
        <v>143</v>
      </c>
      <c r="C200" s="26" t="s">
        <v>1608</v>
      </c>
      <c r="D200" s="26" t="s">
        <v>1609</v>
      </c>
      <c r="E200" s="26" t="s">
        <v>835</v>
      </c>
      <c r="F200" s="4" t="s">
        <v>2312</v>
      </c>
      <c r="J200" s="26" t="s">
        <v>145</v>
      </c>
      <c r="K200" s="26" t="s">
        <v>756</v>
      </c>
      <c r="L200" s="26">
        <v>22</v>
      </c>
      <c r="M200">
        <v>30</v>
      </c>
      <c r="O200" s="26">
        <v>14820</v>
      </c>
      <c r="P200" s="26">
        <v>8100</v>
      </c>
      <c r="Q200" s="26">
        <v>1230</v>
      </c>
      <c r="R200" s="26">
        <v>880</v>
      </c>
      <c r="Y200" s="26">
        <v>20190</v>
      </c>
      <c r="Z200" s="26">
        <v>10250</v>
      </c>
      <c r="AA200" s="5">
        <f t="shared" si="57"/>
        <v>20190</v>
      </c>
      <c r="AB200" s="26">
        <f>Z200</f>
        <v>10250</v>
      </c>
      <c r="AC200" s="26">
        <v>1180</v>
      </c>
      <c r="AD200" s="26">
        <v>990</v>
      </c>
      <c r="AE200" s="26">
        <f>AC200</f>
        <v>1180</v>
      </c>
      <c r="AF200" s="26">
        <f>AD200</f>
        <v>990</v>
      </c>
      <c r="AO200" s="20">
        <f t="shared" si="66"/>
        <v>1.3623481781376519</v>
      </c>
      <c r="AP200" s="20">
        <f>AC200/Q200</f>
        <v>0.95934959349593496</v>
      </c>
      <c r="AQ200" s="20"/>
      <c r="AR200" s="20">
        <f>AO200+AP200</f>
        <v>2.3216977716335867</v>
      </c>
      <c r="AS200" s="20"/>
      <c r="AT200" s="20"/>
      <c r="AU200" s="36">
        <f>(AB200^2)/(O200^2)+(P200^2)*(AA200^2)/(O200^4)</f>
        <v>1.0327901154908992</v>
      </c>
      <c r="AV200" s="36">
        <f>(AF200^2)/(Q200^2)+(R200^2)*(AE200^2)/(Q200^4)</f>
        <v>1.118924127162144</v>
      </c>
      <c r="AW200" s="36"/>
      <c r="AX200" s="36">
        <f t="shared" ref="AX200:AX210" si="69">AU200+AV200+AW200</f>
        <v>2.1517142426530431</v>
      </c>
      <c r="AY200" s="36">
        <f t="shared" ref="AY200:AY210" si="70">SQRT(AX200)/AR200</f>
        <v>0.63181017064495515</v>
      </c>
      <c r="BD200" s="10" t="s">
        <v>2</v>
      </c>
      <c r="BE200" s="26" t="s">
        <v>3</v>
      </c>
    </row>
    <row r="201" spans="1:58" s="26" customFormat="1" x14ac:dyDescent="0.3">
      <c r="A201" s="26" t="s">
        <v>1587</v>
      </c>
      <c r="B201" s="26" t="s">
        <v>143</v>
      </c>
      <c r="C201" s="26" t="s">
        <v>1610</v>
      </c>
      <c r="D201" s="26" t="s">
        <v>1611</v>
      </c>
      <c r="E201" s="26" t="s">
        <v>835</v>
      </c>
      <c r="F201" s="4" t="s">
        <v>2312</v>
      </c>
      <c r="J201" s="26" t="s">
        <v>145</v>
      </c>
      <c r="K201" s="26" t="s">
        <v>756</v>
      </c>
      <c r="L201" s="26">
        <v>28</v>
      </c>
      <c r="M201">
        <v>20</v>
      </c>
      <c r="O201" s="26">
        <v>15040</v>
      </c>
      <c r="P201" s="26">
        <v>6150</v>
      </c>
      <c r="Q201" s="26">
        <v>1250</v>
      </c>
      <c r="R201" s="26">
        <v>650</v>
      </c>
      <c r="Y201" s="26">
        <v>8890</v>
      </c>
      <c r="Z201" s="26">
        <v>3220</v>
      </c>
      <c r="AA201" s="5">
        <f t="shared" si="57"/>
        <v>8890</v>
      </c>
      <c r="AB201" s="26">
        <f>Z201</f>
        <v>3220</v>
      </c>
      <c r="AC201" s="26">
        <v>1090</v>
      </c>
      <c r="AD201" s="26">
        <v>620</v>
      </c>
      <c r="AE201" s="26">
        <f>AC201</f>
        <v>1090</v>
      </c>
      <c r="AF201" s="26">
        <f>AD201</f>
        <v>620</v>
      </c>
      <c r="AO201" s="20">
        <f t="shared" si="66"/>
        <v>0.59109042553191493</v>
      </c>
      <c r="AP201" s="20">
        <f>AC201/Q201</f>
        <v>0.872</v>
      </c>
      <c r="AQ201" s="20"/>
      <c r="AR201" s="20">
        <f>AO201+AP201</f>
        <v>1.4630904255319148</v>
      </c>
      <c r="AS201" s="20"/>
      <c r="AT201" s="20"/>
      <c r="AU201" s="36">
        <f>(AB201^2)/(O201^2)+(P201^2)*(AA201^2)/(O201^4)</f>
        <v>0.10425710301443009</v>
      </c>
      <c r="AV201" s="36">
        <f>(AF201^2)/(Q201^2)+(R201^2)*(AE201^2)/(Q201^4)</f>
        <v>0.45162383360000002</v>
      </c>
      <c r="AW201" s="36"/>
      <c r="AX201" s="36">
        <f t="shared" si="69"/>
        <v>0.55588093661443017</v>
      </c>
      <c r="AY201" s="36">
        <f t="shared" si="70"/>
        <v>0.50958862131050664</v>
      </c>
      <c r="BD201" s="10" t="s">
        <v>2</v>
      </c>
      <c r="BE201" s="26" t="s">
        <v>3</v>
      </c>
    </row>
    <row r="202" spans="1:58" s="10" customFormat="1" x14ac:dyDescent="0.3">
      <c r="A202" s="26" t="s">
        <v>1906</v>
      </c>
      <c r="B202" s="26" t="s">
        <v>81</v>
      </c>
      <c r="C202" s="26" t="s">
        <v>1915</v>
      </c>
      <c r="D202" s="26" t="s">
        <v>1914</v>
      </c>
      <c r="E202" s="10" t="s">
        <v>1918</v>
      </c>
      <c r="F202" s="4" t="s">
        <v>2312</v>
      </c>
      <c r="G202" s="10" t="s">
        <v>1920</v>
      </c>
      <c r="H202" s="10" t="s">
        <v>1919</v>
      </c>
      <c r="J202" s="10" t="s">
        <v>1916</v>
      </c>
      <c r="K202" s="10" t="s">
        <v>1917</v>
      </c>
      <c r="L202" s="10">
        <v>3</v>
      </c>
      <c r="M202" s="10">
        <v>3</v>
      </c>
      <c r="O202" s="10">
        <v>434.1</v>
      </c>
      <c r="S202" s="10">
        <v>2793.3</v>
      </c>
      <c r="Y202" s="10">
        <v>534.4</v>
      </c>
      <c r="AA202" s="25">
        <f t="shared" si="57"/>
        <v>534.4</v>
      </c>
      <c r="AG202" s="10">
        <v>3465</v>
      </c>
      <c r="AO202" s="14">
        <f t="shared" si="66"/>
        <v>1.2310527528219304</v>
      </c>
      <c r="AP202" s="14">
        <f>AG202/S202</f>
        <v>1.2404682633444313</v>
      </c>
      <c r="AQ202" s="14"/>
      <c r="AR202" s="20">
        <f>AO202+AP202</f>
        <v>2.4715210161663617</v>
      </c>
      <c r="AS202" s="20"/>
      <c r="AT202" s="20"/>
      <c r="AU202" s="44"/>
      <c r="AV202" s="44"/>
      <c r="AW202" s="44"/>
      <c r="AX202" s="44"/>
      <c r="AY202" s="44"/>
      <c r="AZ202" s="10" t="s">
        <v>1580</v>
      </c>
      <c r="BA202" s="10" t="s">
        <v>1</v>
      </c>
      <c r="BC202" s="10" t="s">
        <v>2</v>
      </c>
      <c r="BD202" s="10" t="s">
        <v>2</v>
      </c>
      <c r="BE202" s="26" t="s">
        <v>3</v>
      </c>
      <c r="BF202" s="26" t="s">
        <v>1921</v>
      </c>
    </row>
    <row r="203" spans="1:58" s="10" customFormat="1" x14ac:dyDescent="0.3">
      <c r="A203" s="10" t="s">
        <v>699</v>
      </c>
      <c r="B203" s="10" t="s">
        <v>29</v>
      </c>
      <c r="C203" s="10" t="s">
        <v>700</v>
      </c>
      <c r="D203" s="16" t="s">
        <v>701</v>
      </c>
      <c r="E203" s="10">
        <v>2003</v>
      </c>
      <c r="F203" s="4" t="s">
        <v>2312</v>
      </c>
      <c r="G203" s="10" t="s">
        <v>703</v>
      </c>
      <c r="H203" s="10" t="s">
        <v>702</v>
      </c>
      <c r="I203" s="10" t="s">
        <v>969</v>
      </c>
      <c r="J203" s="10" t="s">
        <v>210</v>
      </c>
      <c r="K203" s="10" t="s">
        <v>704</v>
      </c>
      <c r="L203" s="10">
        <v>4</v>
      </c>
      <c r="M203" s="10">
        <v>4</v>
      </c>
      <c r="O203" s="10">
        <v>8800</v>
      </c>
      <c r="P203" s="10">
        <f>608*SQRT(L203)</f>
        <v>1216</v>
      </c>
      <c r="Y203" s="10">
        <v>5106</v>
      </c>
      <c r="Z203" s="10">
        <f>292*SQRT(M203)</f>
        <v>584</v>
      </c>
      <c r="AA203" s="25">
        <f>Y203-(AL203)*Y203/10000</f>
        <v>5100.696837096184</v>
      </c>
      <c r="AB203" s="25">
        <f>Z203*(1-AL203/10000)</f>
        <v>583.39344944460856</v>
      </c>
      <c r="AJ203" s="10">
        <v>22</v>
      </c>
      <c r="AK203" s="25">
        <f>10000/(3*12.2)</f>
        <v>273.22404371584702</v>
      </c>
      <c r="AL203" s="14">
        <f>AK203*PI()*((AJ203/100)^2)/4</f>
        <v>10.386139647113797</v>
      </c>
      <c r="AN203" s="33"/>
      <c r="AO203" s="33">
        <f t="shared" ref="AO203:AO233" si="71">AA203/O203</f>
        <v>0.57962464057911178</v>
      </c>
      <c r="AR203" s="14">
        <f>AO203</f>
        <v>0.57962464057911178</v>
      </c>
      <c r="AS203" s="14"/>
      <c r="AT203" s="14"/>
      <c r="AU203" s="44">
        <f t="shared" ref="AU203:AU210" si="72">(AB203^2)/(O203^2)+(P203^2)*(AA203^2)/(O203^4)</f>
        <v>1.0809971225932795E-2</v>
      </c>
      <c r="AV203" s="44"/>
      <c r="AW203" s="44"/>
      <c r="AX203" s="44">
        <f t="shared" si="69"/>
        <v>1.0809971225932795E-2</v>
      </c>
      <c r="AY203" s="44">
        <f t="shared" si="70"/>
        <v>0.17937645191436574</v>
      </c>
      <c r="BD203" s="10" t="s">
        <v>2</v>
      </c>
      <c r="BE203" s="26" t="s">
        <v>2</v>
      </c>
      <c r="BF203" s="10" t="s">
        <v>921</v>
      </c>
    </row>
    <row r="204" spans="1:58" s="10" customFormat="1" x14ac:dyDescent="0.3">
      <c r="A204" s="10" t="s">
        <v>699</v>
      </c>
      <c r="B204" s="10" t="s">
        <v>29</v>
      </c>
      <c r="C204" s="10" t="s">
        <v>700</v>
      </c>
      <c r="D204" s="16" t="s">
        <v>701</v>
      </c>
      <c r="E204" s="10">
        <v>2003</v>
      </c>
      <c r="F204" s="4" t="s">
        <v>2312</v>
      </c>
      <c r="G204" s="10" t="s">
        <v>703</v>
      </c>
      <c r="H204" s="10" t="s">
        <v>702</v>
      </c>
      <c r="I204" s="10" t="s">
        <v>970</v>
      </c>
      <c r="J204" s="10" t="s">
        <v>210</v>
      </c>
      <c r="K204" s="10" t="s">
        <v>704</v>
      </c>
      <c r="L204" s="10">
        <v>4</v>
      </c>
      <c r="M204" s="10">
        <v>4</v>
      </c>
      <c r="O204" s="10">
        <v>8800</v>
      </c>
      <c r="P204" s="10">
        <f>608*SQRT(L204)</f>
        <v>1216</v>
      </c>
      <c r="Y204" s="10">
        <v>6771</v>
      </c>
      <c r="Z204" s="10">
        <f>671*SQRT(M204)</f>
        <v>1342</v>
      </c>
      <c r="AA204" s="25">
        <f t="shared" ref="AA204:AA210" si="73">Y204-(AL204)*Y204/10000</f>
        <v>6767.4837724224699</v>
      </c>
      <c r="AB204" s="25">
        <f t="shared" ref="AB204:AB210" si="74">Z204*(1-AL204/10000)</f>
        <v>1341.3030900296787</v>
      </c>
      <c r="AJ204" s="10">
        <v>22</v>
      </c>
      <c r="AK204" s="25">
        <f>10000/(3*24.4)</f>
        <v>136.61202185792351</v>
      </c>
      <c r="AL204" s="14">
        <f>AK204*PI()*((AJ204/100)^2)/4</f>
        <v>5.1930698235568986</v>
      </c>
      <c r="AN204" s="33"/>
      <c r="AO204" s="33">
        <f t="shared" si="71"/>
        <v>0.76903224686618976</v>
      </c>
      <c r="AR204" s="14">
        <f t="shared" ref="AR204:AR206" si="75">AO204</f>
        <v>0.76903224686618976</v>
      </c>
      <c r="AS204" s="14"/>
      <c r="AT204" s="14"/>
      <c r="AU204" s="44">
        <f t="shared" si="72"/>
        <v>3.4524623019458446E-2</v>
      </c>
      <c r="AV204" s="44"/>
      <c r="AW204" s="44"/>
      <c r="AX204" s="44">
        <f t="shared" si="69"/>
        <v>3.4524623019458446E-2</v>
      </c>
      <c r="AY204" s="44">
        <f t="shared" si="70"/>
        <v>0.24161279073146213</v>
      </c>
      <c r="BD204" s="10" t="s">
        <v>2</v>
      </c>
      <c r="BE204" s="26" t="s">
        <v>2</v>
      </c>
      <c r="BF204" s="10" t="s">
        <v>921</v>
      </c>
    </row>
    <row r="205" spans="1:58" s="10" customFormat="1" x14ac:dyDescent="0.3">
      <c r="A205" s="10" t="s">
        <v>699</v>
      </c>
      <c r="B205" s="10" t="s">
        <v>29</v>
      </c>
      <c r="C205" s="10" t="s">
        <v>700</v>
      </c>
      <c r="D205" s="16" t="s">
        <v>701</v>
      </c>
      <c r="E205" s="10">
        <v>2004</v>
      </c>
      <c r="F205" s="4" t="s">
        <v>2312</v>
      </c>
      <c r="G205" s="10" t="s">
        <v>703</v>
      </c>
      <c r="H205" s="10" t="s">
        <v>702</v>
      </c>
      <c r="I205" s="10" t="s">
        <v>969</v>
      </c>
      <c r="J205" s="10" t="s">
        <v>210</v>
      </c>
      <c r="K205" s="10" t="s">
        <v>704</v>
      </c>
      <c r="L205" s="10">
        <v>4</v>
      </c>
      <c r="M205" s="10">
        <v>4</v>
      </c>
      <c r="O205" s="10">
        <v>9223</v>
      </c>
      <c r="P205" s="10">
        <f>518*SQRT(L205)</f>
        <v>1036</v>
      </c>
      <c r="Y205" s="10">
        <v>4102</v>
      </c>
      <c r="Z205" s="10">
        <f>520*SQRT(M205)</f>
        <v>1040</v>
      </c>
      <c r="AA205" s="25">
        <f t="shared" si="73"/>
        <v>4097.7396055167537</v>
      </c>
      <c r="AB205" s="25">
        <f t="shared" si="74"/>
        <v>1038.9198414767002</v>
      </c>
      <c r="AJ205" s="10">
        <v>22</v>
      </c>
      <c r="AK205" s="25">
        <f>10000/(3*12.2)</f>
        <v>273.22404371584702</v>
      </c>
      <c r="AL205" s="14">
        <f>AK205*PI()*((AJ205/100)^2)/4</f>
        <v>10.386139647113797</v>
      </c>
      <c r="AN205" s="33"/>
      <c r="AO205" s="33">
        <f t="shared" si="71"/>
        <v>0.44429573951173734</v>
      </c>
      <c r="AR205" s="14">
        <f t="shared" si="75"/>
        <v>0.44429573951173734</v>
      </c>
      <c r="AS205" s="14"/>
      <c r="AT205" s="14"/>
      <c r="AU205" s="44">
        <f t="shared" si="72"/>
        <v>1.5179462407314707E-2</v>
      </c>
      <c r="AV205" s="44"/>
      <c r="AW205" s="44"/>
      <c r="AX205" s="44">
        <f t="shared" si="69"/>
        <v>1.5179462407314707E-2</v>
      </c>
      <c r="AY205" s="44">
        <f t="shared" si="70"/>
        <v>0.27730394422454141</v>
      </c>
      <c r="BD205" s="10" t="s">
        <v>2</v>
      </c>
      <c r="BE205" s="26" t="s">
        <v>2</v>
      </c>
      <c r="BF205" s="10" t="s">
        <v>921</v>
      </c>
    </row>
    <row r="206" spans="1:58" s="10" customFormat="1" x14ac:dyDescent="0.3">
      <c r="A206" s="10" t="s">
        <v>699</v>
      </c>
      <c r="B206" s="10" t="s">
        <v>29</v>
      </c>
      <c r="C206" s="10" t="s">
        <v>700</v>
      </c>
      <c r="D206" s="16" t="s">
        <v>701</v>
      </c>
      <c r="E206" s="10">
        <v>2004</v>
      </c>
      <c r="F206" s="4" t="s">
        <v>2312</v>
      </c>
      <c r="G206" s="10" t="s">
        <v>703</v>
      </c>
      <c r="H206" s="10" t="s">
        <v>702</v>
      </c>
      <c r="I206" s="10" t="s">
        <v>970</v>
      </c>
      <c r="J206" s="10" t="s">
        <v>210</v>
      </c>
      <c r="K206" s="10" t="s">
        <v>704</v>
      </c>
      <c r="L206" s="10">
        <v>4</v>
      </c>
      <c r="M206" s="10">
        <v>4</v>
      </c>
      <c r="O206" s="10">
        <v>9223</v>
      </c>
      <c r="P206" s="10">
        <f>518*SQRT(L206)</f>
        <v>1036</v>
      </c>
      <c r="Y206" s="10">
        <v>6431</v>
      </c>
      <c r="Z206" s="10">
        <f>970*SQRT(M206)</f>
        <v>1940</v>
      </c>
      <c r="AA206" s="25">
        <f t="shared" si="73"/>
        <v>6427.6603367964708</v>
      </c>
      <c r="AB206" s="25">
        <f t="shared" si="74"/>
        <v>1938.99254445423</v>
      </c>
      <c r="AJ206" s="10">
        <v>22</v>
      </c>
      <c r="AK206" s="25">
        <f>10000/(3*24.4)</f>
        <v>136.61202185792351</v>
      </c>
      <c r="AL206" s="14">
        <f>AK206*PI()*((AJ206/100)^2)/4</f>
        <v>5.1930698235568986</v>
      </c>
      <c r="AN206" s="33"/>
      <c r="AO206" s="33">
        <f t="shared" si="71"/>
        <v>0.69691644115759199</v>
      </c>
      <c r="AR206" s="14">
        <f t="shared" si="75"/>
        <v>0.69691644115759199</v>
      </c>
      <c r="AS206" s="14"/>
      <c r="AT206" s="14"/>
      <c r="AU206" s="44">
        <f t="shared" si="72"/>
        <v>5.0326784201845963E-2</v>
      </c>
      <c r="AV206" s="44"/>
      <c r="AW206" s="44"/>
      <c r="AX206" s="44">
        <f t="shared" si="69"/>
        <v>5.0326784201845963E-2</v>
      </c>
      <c r="AY206" s="44">
        <f t="shared" si="70"/>
        <v>0.32189844599901529</v>
      </c>
      <c r="BD206" s="10" t="s">
        <v>2</v>
      </c>
      <c r="BE206" s="26" t="s">
        <v>2</v>
      </c>
      <c r="BF206" s="10" t="s">
        <v>921</v>
      </c>
    </row>
    <row r="207" spans="1:58" s="10" customFormat="1" x14ac:dyDescent="0.3">
      <c r="A207" s="10" t="s">
        <v>1907</v>
      </c>
      <c r="B207" s="10" t="s">
        <v>131</v>
      </c>
      <c r="C207" s="16" t="s">
        <v>1954</v>
      </c>
      <c r="D207" s="16" t="s">
        <v>1955</v>
      </c>
      <c r="E207" s="10">
        <v>1996</v>
      </c>
      <c r="F207" s="4" t="s">
        <v>2312</v>
      </c>
      <c r="G207" s="10" t="s">
        <v>855</v>
      </c>
      <c r="H207" s="10" t="s">
        <v>781</v>
      </c>
      <c r="I207" s="10" t="s">
        <v>1957</v>
      </c>
      <c r="J207" s="10" t="s">
        <v>1961</v>
      </c>
      <c r="K207" s="10" t="s">
        <v>1956</v>
      </c>
      <c r="L207" s="10">
        <v>3</v>
      </c>
      <c r="M207" s="10">
        <v>3</v>
      </c>
      <c r="O207" s="10">
        <v>6600</v>
      </c>
      <c r="P207" s="10">
        <v>400</v>
      </c>
      <c r="Q207" s="10">
        <v>700</v>
      </c>
      <c r="R207" s="10">
        <v>600</v>
      </c>
      <c r="S207" s="10">
        <v>12.1</v>
      </c>
      <c r="T207" s="10">
        <v>5.0999999999999996</v>
      </c>
      <c r="U207" s="10" t="s">
        <v>1962</v>
      </c>
      <c r="V207" s="10">
        <v>2</v>
      </c>
      <c r="Y207" s="10">
        <v>5300</v>
      </c>
      <c r="Z207" s="10">
        <v>200</v>
      </c>
      <c r="AA207" s="25">
        <f t="shared" si="73"/>
        <v>5298.3971307479369</v>
      </c>
      <c r="AB207">
        <f>Z207*(1-AL207/10000)</f>
        <v>199.93951436784667</v>
      </c>
      <c r="AC207" s="10">
        <v>500</v>
      </c>
      <c r="AD207" s="10">
        <v>400</v>
      </c>
      <c r="AE207" s="25">
        <f>AC207-(AL207)*AC207/10000</f>
        <v>499.84878591961666</v>
      </c>
      <c r="AF207" s="25">
        <f>AD207*(1-AL207/10000)</f>
        <v>399.87902873569334</v>
      </c>
      <c r="AG207" s="10">
        <v>9.6</v>
      </c>
      <c r="AH207" s="10">
        <v>2.9</v>
      </c>
      <c r="AK207" s="10">
        <v>2500</v>
      </c>
      <c r="AL207" s="14">
        <f>((((((AG207*1000/AK207)/0.6775)^(1/0.9538))/100)^2)/PI())*AK207</f>
        <v>3.0242816076664449</v>
      </c>
      <c r="AN207" s="37"/>
      <c r="AO207" s="33">
        <f t="shared" si="71"/>
        <v>0.80278744405271774</v>
      </c>
      <c r="AP207" s="14">
        <f>AC207/Q207</f>
        <v>0.7142857142857143</v>
      </c>
      <c r="AQ207" s="14">
        <f>AG207/S207</f>
        <v>0.79338842975206614</v>
      </c>
      <c r="AR207" s="14">
        <f>AO207+AP207+AQ207</f>
        <v>2.3104615880904982</v>
      </c>
      <c r="AS207" s="14"/>
      <c r="AT207" s="14"/>
      <c r="AU207" s="36">
        <f t="shared" si="72"/>
        <v>3.2849090509238202E-3</v>
      </c>
      <c r="AV207" s="36">
        <f>(AF207^2)/(Q207^2)+(R207^2)*(AE207^2)/(Q207^4)</f>
        <v>0.70095026071548538</v>
      </c>
      <c r="AW207" s="44">
        <f>(AH207^2)/(S207^2)+(T207^2)*(AG207^2)/(S207^4)</f>
        <v>0.16926705733269803</v>
      </c>
      <c r="AX207" s="36">
        <f t="shared" si="69"/>
        <v>0.8735022270991073</v>
      </c>
      <c r="AY207" s="36">
        <f t="shared" si="70"/>
        <v>0.40451371939024339</v>
      </c>
      <c r="BD207" s="10" t="s">
        <v>2</v>
      </c>
      <c r="BE207" s="10" t="s">
        <v>3</v>
      </c>
      <c r="BF207" s="10" t="s">
        <v>2595</v>
      </c>
    </row>
    <row r="208" spans="1:58" s="10" customFormat="1" x14ac:dyDescent="0.3">
      <c r="A208" s="10" t="s">
        <v>1907</v>
      </c>
      <c r="B208" s="10" t="s">
        <v>131</v>
      </c>
      <c r="C208" s="16" t="s">
        <v>1954</v>
      </c>
      <c r="D208" s="16" t="s">
        <v>1955</v>
      </c>
      <c r="E208" s="10">
        <v>1996</v>
      </c>
      <c r="F208" s="4" t="s">
        <v>2312</v>
      </c>
      <c r="G208" s="10" t="s">
        <v>855</v>
      </c>
      <c r="H208" s="10" t="s">
        <v>781</v>
      </c>
      <c r="I208" s="10" t="s">
        <v>1958</v>
      </c>
      <c r="J208" s="10" t="s">
        <v>1961</v>
      </c>
      <c r="K208" s="10" t="s">
        <v>1956</v>
      </c>
      <c r="L208" s="10">
        <v>3</v>
      </c>
      <c r="M208" s="10">
        <v>3</v>
      </c>
      <c r="O208" s="10">
        <v>6600</v>
      </c>
      <c r="P208" s="10">
        <v>400</v>
      </c>
      <c r="Q208" s="10">
        <v>700</v>
      </c>
      <c r="R208" s="10">
        <v>600</v>
      </c>
      <c r="S208" s="10">
        <v>14.2</v>
      </c>
      <c r="T208" s="10">
        <v>3.3</v>
      </c>
      <c r="U208" s="10" t="s">
        <v>1962</v>
      </c>
      <c r="V208" s="10">
        <v>2</v>
      </c>
      <c r="Y208" s="10">
        <v>700</v>
      </c>
      <c r="Z208" s="10">
        <v>500</v>
      </c>
      <c r="AA208" s="25">
        <f t="shared" si="73"/>
        <v>699.65007005003281</v>
      </c>
      <c r="AB208">
        <f t="shared" si="74"/>
        <v>499.75005003573767</v>
      </c>
      <c r="AC208" s="10">
        <v>20</v>
      </c>
      <c r="AD208" s="10">
        <v>20</v>
      </c>
      <c r="AE208" s="25">
        <f t="shared" ref="AE208:AE210" si="76">AC208-(AL208)*AC208/10000</f>
        <v>19.990002001429509</v>
      </c>
      <c r="AF208" s="25">
        <f t="shared" ref="AF208:AF210" si="77">AD208*(1-AL208/10000)</f>
        <v>19.990002001429509</v>
      </c>
      <c r="AG208" s="10">
        <v>12.2</v>
      </c>
      <c r="AH208" s="10">
        <v>1.2</v>
      </c>
      <c r="AK208" s="10">
        <v>2500</v>
      </c>
      <c r="AL208" s="14">
        <f>((((((AG208*1000/AK208)/0.6775)^(1/0.9538))/100)^2)/PI())*AK208</f>
        <v>4.9989992852461098</v>
      </c>
      <c r="AN208" s="37"/>
      <c r="AO208" s="33">
        <f t="shared" si="71"/>
        <v>0.10600758637121709</v>
      </c>
      <c r="AP208" s="14">
        <f>AC208/Q208</f>
        <v>2.8571428571428571E-2</v>
      </c>
      <c r="AQ208" s="14">
        <f>AG208/S208</f>
        <v>0.85915492957746475</v>
      </c>
      <c r="AR208" s="14">
        <f t="shared" ref="AR208:AR210" si="78">AO208+AP208+AQ208</f>
        <v>0.99373394452011043</v>
      </c>
      <c r="AS208" s="14"/>
      <c r="AT208" s="14"/>
      <c r="AU208" s="36">
        <f t="shared" si="72"/>
        <v>5.774750455685089E-3</v>
      </c>
      <c r="AV208" s="36">
        <f>(AF208^2)/(Q208^2)+(R208^2)*(AE208^2)/(Q208^4)</f>
        <v>1.4146611953960119E-3</v>
      </c>
      <c r="AW208" s="44">
        <f>(AH208^2)/(S208^2)+(T208^2)*(AG208^2)/(S208^4)</f>
        <v>4.7006660047401026E-2</v>
      </c>
      <c r="AX208" s="36">
        <f t="shared" si="69"/>
        <v>5.4196071698482125E-2</v>
      </c>
      <c r="AY208" s="36">
        <f t="shared" si="70"/>
        <v>0.23426843665493194</v>
      </c>
      <c r="BD208" s="10" t="s">
        <v>2</v>
      </c>
      <c r="BE208" s="10" t="s">
        <v>3</v>
      </c>
      <c r="BF208" s="10" t="s">
        <v>2595</v>
      </c>
    </row>
    <row r="209" spans="1:59" s="10" customFormat="1" x14ac:dyDescent="0.3">
      <c r="A209" s="10" t="s">
        <v>1907</v>
      </c>
      <c r="B209" s="10" t="s">
        <v>131</v>
      </c>
      <c r="C209" s="16" t="s">
        <v>1954</v>
      </c>
      <c r="D209" s="16" t="s">
        <v>1955</v>
      </c>
      <c r="E209" s="10">
        <v>1996</v>
      </c>
      <c r="F209" s="4" t="s">
        <v>2312</v>
      </c>
      <c r="G209" s="10" t="s">
        <v>855</v>
      </c>
      <c r="H209" s="10" t="s">
        <v>781</v>
      </c>
      <c r="I209" s="10" t="s">
        <v>1959</v>
      </c>
      <c r="J209" s="10" t="s">
        <v>1961</v>
      </c>
      <c r="K209" s="10" t="s">
        <v>1956</v>
      </c>
      <c r="L209" s="10">
        <v>3</v>
      </c>
      <c r="M209" s="10">
        <v>3</v>
      </c>
      <c r="O209" s="10">
        <v>6600</v>
      </c>
      <c r="P209" s="10">
        <v>400</v>
      </c>
      <c r="Q209" s="10">
        <v>700</v>
      </c>
      <c r="R209" s="10">
        <v>600</v>
      </c>
      <c r="S209" s="10">
        <v>8.9</v>
      </c>
      <c r="T209" s="10">
        <v>3.3</v>
      </c>
      <c r="U209" s="10" t="s">
        <v>1962</v>
      </c>
      <c r="V209" s="10">
        <v>2</v>
      </c>
      <c r="Y209" s="10">
        <v>5700</v>
      </c>
      <c r="Z209" s="10">
        <v>1800</v>
      </c>
      <c r="AA209" s="25">
        <f>Y209-(AL209)*Y209/10000</f>
        <v>5696.9428789871181</v>
      </c>
      <c r="AB209">
        <f t="shared" si="74"/>
        <v>1799.0345933643532</v>
      </c>
      <c r="AC209" s="10">
        <v>600</v>
      </c>
      <c r="AD209" s="10">
        <v>300</v>
      </c>
      <c r="AE209" s="25">
        <f t="shared" si="76"/>
        <v>599.6781977881177</v>
      </c>
      <c r="AF209" s="25">
        <f t="shared" si="77"/>
        <v>299.83909889405885</v>
      </c>
      <c r="AG209" s="10">
        <v>7.1</v>
      </c>
      <c r="AH209" s="10">
        <v>1.8</v>
      </c>
      <c r="AK209" s="10">
        <v>833</v>
      </c>
      <c r="AL209" s="14">
        <f t="shared" ref="AL209" si="79">((((((AG209*1000/AK209)/0.6775)^(1/0.9538))/100)^2)/PI())*AK209</f>
        <v>5.363370198038357</v>
      </c>
      <c r="AN209" s="37"/>
      <c r="AO209" s="33">
        <f t="shared" si="71"/>
        <v>0.86317316348289663</v>
      </c>
      <c r="AP209" s="14">
        <f>AC209/Q209</f>
        <v>0.8571428571428571</v>
      </c>
      <c r="AQ209" s="14">
        <f>AG209/S209</f>
        <v>0.797752808988764</v>
      </c>
      <c r="AR209" s="14">
        <f t="shared" si="78"/>
        <v>2.5180688296145179</v>
      </c>
      <c r="AS209" s="14"/>
      <c r="AT209" s="14"/>
      <c r="AU209" s="36">
        <f t="shared" si="72"/>
        <v>7.7037105917051762E-2</v>
      </c>
      <c r="AV209" s="36">
        <f>(AF209^2)/(Q209^2)+(R209^2)*(AE209^2)/(Q209^4)</f>
        <v>0.72267274671141335</v>
      </c>
      <c r="AW209" s="44">
        <f>(AH209^2)/(S209^2)+(T209^2)*(AG209^2)/(S209^4)</f>
        <v>0.12839919122429813</v>
      </c>
      <c r="AX209" s="36">
        <f t="shared" si="69"/>
        <v>0.92810904385276327</v>
      </c>
      <c r="AY209" s="36">
        <f t="shared" si="70"/>
        <v>0.38258849432745196</v>
      </c>
      <c r="BD209" s="10" t="s">
        <v>2</v>
      </c>
      <c r="BE209" s="10" t="s">
        <v>3</v>
      </c>
      <c r="BF209" s="10" t="s">
        <v>2595</v>
      </c>
    </row>
    <row r="210" spans="1:59" s="10" customFormat="1" x14ac:dyDescent="0.3">
      <c r="A210" s="10" t="s">
        <v>1907</v>
      </c>
      <c r="B210" s="10" t="s">
        <v>131</v>
      </c>
      <c r="C210" s="16" t="s">
        <v>1954</v>
      </c>
      <c r="D210" s="16" t="s">
        <v>1955</v>
      </c>
      <c r="E210" s="10">
        <v>1996</v>
      </c>
      <c r="F210" s="4" t="s">
        <v>2312</v>
      </c>
      <c r="G210" s="10" t="s">
        <v>855</v>
      </c>
      <c r="H210" s="10" t="s">
        <v>781</v>
      </c>
      <c r="I210" s="10" t="s">
        <v>1960</v>
      </c>
      <c r="J210" s="10" t="s">
        <v>1961</v>
      </c>
      <c r="K210" s="10" t="s">
        <v>1956</v>
      </c>
      <c r="L210" s="10">
        <v>3</v>
      </c>
      <c r="M210" s="10">
        <v>3</v>
      </c>
      <c r="O210" s="10">
        <v>6600</v>
      </c>
      <c r="P210" s="10">
        <v>400</v>
      </c>
      <c r="Q210" s="10">
        <v>700</v>
      </c>
      <c r="R210" s="10">
        <v>600</v>
      </c>
      <c r="S210" s="10">
        <v>11.1</v>
      </c>
      <c r="T210" s="10">
        <v>2.5</v>
      </c>
      <c r="U210" s="10" t="s">
        <v>1962</v>
      </c>
      <c r="V210" s="10">
        <v>2</v>
      </c>
      <c r="Y210" s="10">
        <v>1400</v>
      </c>
      <c r="Z210" s="10">
        <v>700</v>
      </c>
      <c r="AA210" s="25">
        <f t="shared" si="73"/>
        <v>1397.3736570928152</v>
      </c>
      <c r="AB210">
        <f t="shared" si="74"/>
        <v>698.68682854640758</v>
      </c>
      <c r="AC210" s="10">
        <v>200</v>
      </c>
      <c r="AD210" s="10">
        <v>300</v>
      </c>
      <c r="AE210" s="25">
        <f t="shared" si="76"/>
        <v>199.62480815611644</v>
      </c>
      <c r="AF210" s="25">
        <f t="shared" si="77"/>
        <v>299.43721223417469</v>
      </c>
      <c r="AG210" s="10">
        <v>12.9</v>
      </c>
      <c r="AH210" s="10">
        <v>5.5</v>
      </c>
      <c r="AK210" s="10">
        <v>833</v>
      </c>
      <c r="AL210" s="14">
        <f>((((((AG210*1000/AK210)/0.6775)^(1/0.9538))/100)^2)/PI())*AK210</f>
        <v>18.759592194177579</v>
      </c>
      <c r="AN210" s="37"/>
      <c r="AO210" s="33">
        <f t="shared" si="71"/>
        <v>0.21172328137769927</v>
      </c>
      <c r="AP210" s="14">
        <f>AC210/Q210</f>
        <v>0.2857142857142857</v>
      </c>
      <c r="AQ210" s="14">
        <f>AG210/S210</f>
        <v>1.1621621621621623</v>
      </c>
      <c r="AR210" s="14">
        <f t="shared" si="78"/>
        <v>1.6595997292541473</v>
      </c>
      <c r="AS210" s="14"/>
      <c r="AT210" s="14"/>
      <c r="AU210" s="36">
        <f t="shared" si="72"/>
        <v>1.1371339854100358E-2</v>
      </c>
      <c r="AV210" s="36">
        <f>(AF210^2)/(Q210^2)+(R210^2)*(AE210^2)/(Q210^4)</f>
        <v>0.24273518802945945</v>
      </c>
      <c r="AW210" s="44">
        <f>(AH210^2)/(S210^2)+(T210^2)*(AG210^2)/(S210^4)</f>
        <v>0.31402792443599503</v>
      </c>
      <c r="AX210" s="36">
        <f t="shared" si="69"/>
        <v>0.56813445231955484</v>
      </c>
      <c r="AY210" s="36">
        <f t="shared" si="70"/>
        <v>0.45417393636821501</v>
      </c>
      <c r="BD210" s="10" t="s">
        <v>2</v>
      </c>
      <c r="BE210" s="10" t="s">
        <v>3</v>
      </c>
      <c r="BF210" s="10" t="s">
        <v>2595</v>
      </c>
    </row>
    <row r="211" spans="1:59" s="10" customFormat="1" x14ac:dyDescent="0.3">
      <c r="A211" s="10" t="s">
        <v>1908</v>
      </c>
      <c r="B211" s="10" t="s">
        <v>50</v>
      </c>
      <c r="C211" s="10" t="s">
        <v>52</v>
      </c>
      <c r="D211" s="16" t="s">
        <v>1964</v>
      </c>
      <c r="E211" s="10">
        <v>2001</v>
      </c>
      <c r="F211" s="4" t="s">
        <v>2312</v>
      </c>
      <c r="G211" s="10" t="s">
        <v>855</v>
      </c>
      <c r="H211" s="10" t="s">
        <v>781</v>
      </c>
      <c r="I211" s="10" t="s">
        <v>1969</v>
      </c>
      <c r="J211" s="10" t="s">
        <v>173</v>
      </c>
      <c r="K211" s="10" t="s">
        <v>155</v>
      </c>
      <c r="L211" s="10">
        <v>2</v>
      </c>
      <c r="M211" s="10">
        <v>2</v>
      </c>
      <c r="O211" s="10">
        <v>102.9</v>
      </c>
      <c r="S211" s="14">
        <v>5.4084124456190601</v>
      </c>
      <c r="U211" s="10" t="s">
        <v>1972</v>
      </c>
      <c r="Y211" s="10">
        <v>98.1</v>
      </c>
      <c r="AA211" s="14">
        <f t="shared" ref="AA211:AA231" si="80">Y211-Y211*AL211/10000</f>
        <v>98.093046457725407</v>
      </c>
      <c r="AG211" s="14">
        <v>1.630290237672253</v>
      </c>
      <c r="AJ211">
        <v>1.9</v>
      </c>
      <c r="AK211" s="10">
        <v>2500</v>
      </c>
      <c r="AL211" s="10">
        <f>AK211*PI()*((AJ211/100)^2)/4</f>
        <v>0.70882184246619706</v>
      </c>
      <c r="AO211" s="14">
        <f t="shared" si="71"/>
        <v>0.95328519395262779</v>
      </c>
      <c r="AP211" s="14">
        <f t="shared" ref="AP211:AP231" si="81">AG211/S211</f>
        <v>0.30143600438476653</v>
      </c>
      <c r="AR211" s="14">
        <f>AO211+AP211</f>
        <v>1.2547211983373943</v>
      </c>
      <c r="AS211" s="14"/>
      <c r="AT211" s="14"/>
      <c r="AU211" s="36"/>
      <c r="AV211" s="36"/>
      <c r="AW211" s="44"/>
      <c r="AX211" s="36"/>
      <c r="AY211" s="36"/>
      <c r="AZ211" s="10">
        <v>20</v>
      </c>
      <c r="BA211" s="10" t="s">
        <v>14</v>
      </c>
      <c r="BB211" s="10" t="s">
        <v>3</v>
      </c>
      <c r="BC211" s="10" t="s">
        <v>2</v>
      </c>
      <c r="BD211" s="10" t="s">
        <v>2</v>
      </c>
      <c r="BE211" s="10" t="s">
        <v>3</v>
      </c>
      <c r="BG211" s="12"/>
    </row>
    <row r="212" spans="1:59" s="10" customFormat="1" x14ac:dyDescent="0.3">
      <c r="A212" s="10" t="s">
        <v>1908</v>
      </c>
      <c r="B212" s="10" t="s">
        <v>50</v>
      </c>
      <c r="C212" s="10" t="s">
        <v>52</v>
      </c>
      <c r="D212" s="16" t="s">
        <v>1964</v>
      </c>
      <c r="E212" s="10">
        <v>2001</v>
      </c>
      <c r="F212" s="4" t="s">
        <v>2312</v>
      </c>
      <c r="G212" s="10" t="s">
        <v>855</v>
      </c>
      <c r="H212" s="10" t="s">
        <v>781</v>
      </c>
      <c r="I212" s="10" t="s">
        <v>1970</v>
      </c>
      <c r="J212" s="10" t="s">
        <v>173</v>
      </c>
      <c r="K212" s="10" t="s">
        <v>155</v>
      </c>
      <c r="L212" s="10">
        <v>2</v>
      </c>
      <c r="M212" s="10">
        <v>2</v>
      </c>
      <c r="O212" s="10">
        <v>102.9</v>
      </c>
      <c r="S212" s="14">
        <v>5.4084124456190601</v>
      </c>
      <c r="Y212" s="10">
        <v>106</v>
      </c>
      <c r="AA212" s="14">
        <f t="shared" si="80"/>
        <v>105.99167477946798</v>
      </c>
      <c r="AG212" s="14">
        <v>1.4137166941154069</v>
      </c>
      <c r="AJ212">
        <v>2</v>
      </c>
      <c r="AK212" s="10">
        <v>2500</v>
      </c>
      <c r="AL212" s="10">
        <f t="shared" ref="AL212:AL231" si="82">AK212*PI()*((AJ212/100)^2)/4</f>
        <v>0.78539816339744839</v>
      </c>
      <c r="AO212" s="14">
        <f t="shared" si="71"/>
        <v>1.0300454303155295</v>
      </c>
      <c r="AP212" s="14">
        <f t="shared" si="81"/>
        <v>0.26139217530655418</v>
      </c>
      <c r="AR212" s="14">
        <f t="shared" ref="AR212:AR233" si="83">AO212+AP212</f>
        <v>1.2914376056220838</v>
      </c>
      <c r="AS212" s="14"/>
      <c r="AT212" s="14"/>
      <c r="AU212" s="36"/>
      <c r="AV212" s="36"/>
      <c r="AW212" s="44"/>
      <c r="AX212" s="36"/>
      <c r="AY212" s="36"/>
      <c r="AZ212" s="10">
        <v>20</v>
      </c>
      <c r="BA212" s="10" t="s">
        <v>14</v>
      </c>
      <c r="BB212" s="10" t="s">
        <v>3</v>
      </c>
      <c r="BC212" s="10" t="s">
        <v>2</v>
      </c>
      <c r="BD212" s="10" t="s">
        <v>2</v>
      </c>
      <c r="BE212" s="10" t="s">
        <v>3</v>
      </c>
      <c r="BG212" s="12"/>
    </row>
    <row r="213" spans="1:59" s="10" customFormat="1" x14ac:dyDescent="0.3">
      <c r="A213" s="10" t="s">
        <v>1908</v>
      </c>
      <c r="B213" s="10" t="s">
        <v>50</v>
      </c>
      <c r="C213" s="10" t="s">
        <v>52</v>
      </c>
      <c r="D213" s="16" t="s">
        <v>1964</v>
      </c>
      <c r="E213" s="10">
        <v>2001</v>
      </c>
      <c r="F213" s="4" t="s">
        <v>2312</v>
      </c>
      <c r="G213" s="10" t="s">
        <v>855</v>
      </c>
      <c r="H213" s="10" t="s">
        <v>781</v>
      </c>
      <c r="I213" s="10" t="s">
        <v>1971</v>
      </c>
      <c r="J213" s="10" t="s">
        <v>173</v>
      </c>
      <c r="K213" s="10" t="s">
        <v>155</v>
      </c>
      <c r="L213" s="10">
        <v>2</v>
      </c>
      <c r="M213" s="10">
        <v>2</v>
      </c>
      <c r="O213" s="10">
        <v>102.9</v>
      </c>
      <c r="S213" s="14">
        <v>5.4084124456190601</v>
      </c>
      <c r="Y213" s="10">
        <v>96</v>
      </c>
      <c r="AA213" s="14">
        <f t="shared" si="80"/>
        <v>95.993195310312331</v>
      </c>
      <c r="AG213" s="14">
        <v>1.204997132192535</v>
      </c>
      <c r="AJ213">
        <v>1.9</v>
      </c>
      <c r="AK213" s="10">
        <v>2500</v>
      </c>
      <c r="AL213" s="10">
        <f t="shared" si="82"/>
        <v>0.70882184246619706</v>
      </c>
      <c r="AO213" s="14">
        <f t="shared" si="71"/>
        <v>0.9328784772625105</v>
      </c>
      <c r="AP213" s="14">
        <f t="shared" si="81"/>
        <v>0.22280052498004488</v>
      </c>
      <c r="AR213" s="14">
        <f t="shared" si="83"/>
        <v>1.1556790022425554</v>
      </c>
      <c r="AS213" s="14"/>
      <c r="AT213" s="14"/>
      <c r="AU213" s="36"/>
      <c r="AV213" s="36"/>
      <c r="AW213" s="44"/>
      <c r="AX213" s="36"/>
      <c r="AY213" s="36"/>
      <c r="AZ213" s="10">
        <v>20</v>
      </c>
      <c r="BA213" s="10" t="s">
        <v>14</v>
      </c>
      <c r="BB213" s="10" t="s">
        <v>3</v>
      </c>
      <c r="BC213" s="10" t="s">
        <v>2</v>
      </c>
      <c r="BD213" s="10" t="s">
        <v>2</v>
      </c>
      <c r="BE213" s="10" t="s">
        <v>3</v>
      </c>
      <c r="BG213" s="12"/>
    </row>
    <row r="214" spans="1:59" s="10" customFormat="1" x14ac:dyDescent="0.3">
      <c r="A214" s="10" t="s">
        <v>1908</v>
      </c>
      <c r="B214" s="10" t="s">
        <v>50</v>
      </c>
      <c r="C214" s="10" t="s">
        <v>52</v>
      </c>
      <c r="D214" s="16" t="s">
        <v>1964</v>
      </c>
      <c r="E214" s="10">
        <v>2001</v>
      </c>
      <c r="F214" s="4" t="s">
        <v>2312</v>
      </c>
      <c r="G214" s="10" t="s">
        <v>855</v>
      </c>
      <c r="H214" s="10" t="s">
        <v>781</v>
      </c>
      <c r="I214" s="10" t="s">
        <v>1968</v>
      </c>
      <c r="J214" s="10" t="s">
        <v>173</v>
      </c>
      <c r="K214" s="10" t="s">
        <v>155</v>
      </c>
      <c r="L214" s="10">
        <v>3</v>
      </c>
      <c r="M214" s="10">
        <v>3</v>
      </c>
      <c r="O214" s="10">
        <v>102.9</v>
      </c>
      <c r="S214" s="14">
        <v>5.4084124456190601</v>
      </c>
      <c r="Y214" s="10">
        <v>98.6</v>
      </c>
      <c r="AA214" s="14">
        <f t="shared" si="80"/>
        <v>98.591462211455053</v>
      </c>
      <c r="AG214" s="14">
        <v>0.95249162266025567</v>
      </c>
      <c r="AJ214">
        <v>2.1</v>
      </c>
      <c r="AK214" s="10">
        <v>2500</v>
      </c>
      <c r="AL214" s="10">
        <f t="shared" si="82"/>
        <v>0.86590147514568683</v>
      </c>
      <c r="AO214" s="14">
        <f t="shared" si="71"/>
        <v>0.95812888446506361</v>
      </c>
      <c r="AP214" s="14">
        <f t="shared" si="81"/>
        <v>0.17611297811279095</v>
      </c>
      <c r="AR214" s="14">
        <f t="shared" si="83"/>
        <v>1.1342418625778545</v>
      </c>
      <c r="AS214" s="14"/>
      <c r="AT214" s="14"/>
      <c r="AU214" s="36"/>
      <c r="AV214" s="36"/>
      <c r="AW214" s="44"/>
      <c r="AX214" s="36"/>
      <c r="AY214" s="36"/>
      <c r="AZ214" s="10">
        <v>20</v>
      </c>
      <c r="BA214" s="10" t="s">
        <v>14</v>
      </c>
      <c r="BB214" s="10" t="s">
        <v>3</v>
      </c>
      <c r="BC214" s="10" t="s">
        <v>2</v>
      </c>
      <c r="BD214" s="10" t="s">
        <v>2</v>
      </c>
      <c r="BE214" s="10" t="s">
        <v>3</v>
      </c>
      <c r="BG214" s="12"/>
    </row>
    <row r="215" spans="1:59" x14ac:dyDescent="0.3">
      <c r="A215" s="10" t="s">
        <v>1908</v>
      </c>
      <c r="B215" s="10" t="s">
        <v>50</v>
      </c>
      <c r="C215" s="10" t="s">
        <v>52</v>
      </c>
      <c r="D215" s="16" t="s">
        <v>1964</v>
      </c>
      <c r="E215" s="10">
        <v>2001</v>
      </c>
      <c r="F215" s="4" t="s">
        <v>2312</v>
      </c>
      <c r="G215" s="10" t="s">
        <v>855</v>
      </c>
      <c r="H215" s="10" t="s">
        <v>781</v>
      </c>
      <c r="I215" s="10" t="s">
        <v>1967</v>
      </c>
      <c r="J215" s="10" t="s">
        <v>173</v>
      </c>
      <c r="K215" s="10" t="s">
        <v>155</v>
      </c>
      <c r="L215" s="10">
        <v>3</v>
      </c>
      <c r="M215" s="10">
        <v>3</v>
      </c>
      <c r="N215" s="10"/>
      <c r="O215" s="10">
        <v>102.9</v>
      </c>
      <c r="S215" s="14">
        <v>5.4084124456190601</v>
      </c>
      <c r="Y215" s="10">
        <v>101.5</v>
      </c>
      <c r="AA215" s="14">
        <f t="shared" si="80"/>
        <v>101.49235014146373</v>
      </c>
      <c r="AG215" s="3">
        <v>1.9595696743136952</v>
      </c>
      <c r="AJ215">
        <v>2.4</v>
      </c>
      <c r="AK215" s="10">
        <v>1666</v>
      </c>
      <c r="AL215" s="10">
        <f t="shared" si="82"/>
        <v>0.75368064396680579</v>
      </c>
      <c r="AO215" s="14">
        <f t="shared" si="71"/>
        <v>0.98632021517457458</v>
      </c>
      <c r="AP215" s="14">
        <f t="shared" si="81"/>
        <v>0.36231883089851852</v>
      </c>
      <c r="AR215" s="14">
        <f t="shared" si="83"/>
        <v>1.348639046073093</v>
      </c>
      <c r="AS215" s="14"/>
      <c r="AT215" s="14"/>
      <c r="AU215" s="36"/>
      <c r="AV215" s="36"/>
      <c r="AW215" s="44"/>
      <c r="AX215" s="36"/>
      <c r="AY215" s="36"/>
      <c r="AZ215" s="10">
        <v>20</v>
      </c>
      <c r="BA215" s="10" t="s">
        <v>14</v>
      </c>
      <c r="BB215" s="10" t="s">
        <v>3</v>
      </c>
      <c r="BC215" s="10" t="s">
        <v>2</v>
      </c>
      <c r="BD215" s="10" t="s">
        <v>2</v>
      </c>
      <c r="BE215" s="10" t="s">
        <v>3</v>
      </c>
    </row>
    <row r="216" spans="1:59" x14ac:dyDescent="0.3">
      <c r="A216" s="10" t="s">
        <v>1908</v>
      </c>
      <c r="B216" s="10" t="s">
        <v>50</v>
      </c>
      <c r="C216" s="10" t="s">
        <v>52</v>
      </c>
      <c r="D216" s="16" t="s">
        <v>1964</v>
      </c>
      <c r="E216" s="10">
        <v>2001</v>
      </c>
      <c r="F216" s="4" t="s">
        <v>2312</v>
      </c>
      <c r="G216" s="10" t="s">
        <v>855</v>
      </c>
      <c r="H216" s="10" t="s">
        <v>781</v>
      </c>
      <c r="I216" s="10" t="s">
        <v>1966</v>
      </c>
      <c r="J216" s="10" t="s">
        <v>173</v>
      </c>
      <c r="K216" s="10" t="s">
        <v>155</v>
      </c>
      <c r="L216" s="10">
        <v>3</v>
      </c>
      <c r="M216" s="10">
        <v>3</v>
      </c>
      <c r="N216" s="10"/>
      <c r="O216" s="10">
        <v>102.9</v>
      </c>
      <c r="S216" s="14">
        <v>5.4084124456190601</v>
      </c>
      <c r="Y216" s="10">
        <v>98.5</v>
      </c>
      <c r="AA216" s="14">
        <f t="shared" si="80"/>
        <v>98.488628964510355</v>
      </c>
      <c r="AG216" s="3">
        <v>2.077955723995613</v>
      </c>
      <c r="AJ216">
        <v>2.1</v>
      </c>
      <c r="AK216" s="10">
        <v>3333</v>
      </c>
      <c r="AL216" s="10">
        <f t="shared" si="82"/>
        <v>1.1544198466642297</v>
      </c>
      <c r="AO216" s="14">
        <f t="shared" si="71"/>
        <v>0.95712953318280225</v>
      </c>
      <c r="AP216" s="14">
        <f t="shared" si="81"/>
        <v>0.38420807305086457</v>
      </c>
      <c r="AR216" s="14">
        <f t="shared" si="83"/>
        <v>1.3413376062336668</v>
      </c>
      <c r="AS216" s="14"/>
      <c r="AT216" s="14"/>
      <c r="AU216" s="36"/>
      <c r="AV216" s="36"/>
      <c r="AW216" s="44"/>
      <c r="AX216" s="36"/>
      <c r="AY216" s="36"/>
      <c r="AZ216" s="10">
        <v>20</v>
      </c>
      <c r="BA216" s="10" t="s">
        <v>14</v>
      </c>
      <c r="BB216" s="10" t="s">
        <v>3</v>
      </c>
      <c r="BC216" s="10" t="s">
        <v>2</v>
      </c>
      <c r="BD216" s="10" t="s">
        <v>2</v>
      </c>
      <c r="BE216" s="10" t="s">
        <v>3</v>
      </c>
    </row>
    <row r="217" spans="1:59" x14ac:dyDescent="0.3">
      <c r="A217" s="10" t="s">
        <v>1908</v>
      </c>
      <c r="B217" s="10" t="s">
        <v>50</v>
      </c>
      <c r="C217" s="10" t="s">
        <v>52</v>
      </c>
      <c r="D217" s="16" t="s">
        <v>1964</v>
      </c>
      <c r="E217" s="10">
        <v>2001</v>
      </c>
      <c r="F217" s="4" t="s">
        <v>2312</v>
      </c>
      <c r="G217" s="10" t="s">
        <v>855</v>
      </c>
      <c r="H217" s="10" t="s">
        <v>781</v>
      </c>
      <c r="I217" s="10" t="s">
        <v>1965</v>
      </c>
      <c r="J217" s="10" t="s">
        <v>173</v>
      </c>
      <c r="K217" s="10" t="s">
        <v>155</v>
      </c>
      <c r="L217" s="10">
        <v>3</v>
      </c>
      <c r="M217" s="10">
        <v>3</v>
      </c>
      <c r="N217" s="10"/>
      <c r="O217" s="10">
        <v>102.9</v>
      </c>
      <c r="S217" s="14">
        <v>5.4084124456190601</v>
      </c>
      <c r="Y217" s="10">
        <v>100.2</v>
      </c>
      <c r="AA217" s="14">
        <f t="shared" si="80"/>
        <v>100.18307311612405</v>
      </c>
      <c r="AG217" s="3">
        <v>2.8718266057001611</v>
      </c>
      <c r="AJ217">
        <v>2.2000000000000002</v>
      </c>
      <c r="AK217" s="10">
        <v>4444</v>
      </c>
      <c r="AL217" s="10">
        <f t="shared" si="82"/>
        <v>1.6893097680589184</v>
      </c>
      <c r="AO217" s="14">
        <f t="shared" si="71"/>
        <v>0.97359643455902856</v>
      </c>
      <c r="AP217" s="14">
        <f t="shared" si="81"/>
        <v>0.53099252961493493</v>
      </c>
      <c r="AR217" s="14">
        <f t="shared" si="83"/>
        <v>1.5045889641739634</v>
      </c>
      <c r="AS217" s="14"/>
      <c r="AT217" s="14"/>
      <c r="AU217" s="36"/>
      <c r="AV217" s="36"/>
      <c r="AW217" s="44"/>
      <c r="AX217" s="36"/>
      <c r="AY217" s="36"/>
      <c r="AZ217" s="10">
        <v>20</v>
      </c>
      <c r="BA217" s="10" t="s">
        <v>14</v>
      </c>
      <c r="BB217" s="10" t="s">
        <v>3</v>
      </c>
      <c r="BC217" s="10" t="s">
        <v>2</v>
      </c>
      <c r="BD217" s="10" t="s">
        <v>2</v>
      </c>
      <c r="BE217" s="10" t="s">
        <v>3</v>
      </c>
    </row>
    <row r="218" spans="1:59" s="10" customFormat="1" x14ac:dyDescent="0.3">
      <c r="A218" s="10" t="s">
        <v>1908</v>
      </c>
      <c r="B218" s="10" t="s">
        <v>50</v>
      </c>
      <c r="C218" s="10" t="s">
        <v>52</v>
      </c>
      <c r="D218" s="16" t="s">
        <v>1964</v>
      </c>
      <c r="E218" s="10">
        <v>2002</v>
      </c>
      <c r="F218" s="4" t="s">
        <v>2312</v>
      </c>
      <c r="G218" s="10" t="s">
        <v>855</v>
      </c>
      <c r="H218" s="10" t="s">
        <v>781</v>
      </c>
      <c r="I218" s="10" t="s">
        <v>1969</v>
      </c>
      <c r="J218" s="10" t="s">
        <v>173</v>
      </c>
      <c r="K218" s="10" t="s">
        <v>155</v>
      </c>
      <c r="L218" s="10">
        <v>2</v>
      </c>
      <c r="M218" s="10">
        <v>2</v>
      </c>
      <c r="O218" s="10">
        <v>85.6</v>
      </c>
      <c r="S218" s="14">
        <v>82.053303270384035</v>
      </c>
      <c r="Y218" s="10">
        <v>62.6</v>
      </c>
      <c r="AA218" s="14">
        <f t="shared" si="80"/>
        <v>62.566763834680614</v>
      </c>
      <c r="AG218" s="14">
        <v>38.189396646578381</v>
      </c>
      <c r="AJ218">
        <v>5.2</v>
      </c>
      <c r="AK218" s="10">
        <v>2500</v>
      </c>
      <c r="AL218" s="10">
        <f t="shared" si="82"/>
        <v>5.3092915845667514</v>
      </c>
      <c r="AO218" s="14">
        <f t="shared" si="71"/>
        <v>0.73092013825561475</v>
      </c>
      <c r="AP218" s="14">
        <f t="shared" si="81"/>
        <v>0.46542180661192584</v>
      </c>
      <c r="AR218" s="14">
        <f t="shared" si="83"/>
        <v>1.1963419448675405</v>
      </c>
      <c r="AS218" s="14"/>
      <c r="AT218" s="14"/>
      <c r="AU218" s="36"/>
      <c r="AV218" s="36"/>
      <c r="AW218" s="44"/>
      <c r="AX218" s="36"/>
      <c r="AY218" s="36"/>
      <c r="AZ218" s="10">
        <v>20</v>
      </c>
      <c r="BA218" s="10" t="s">
        <v>14</v>
      </c>
      <c r="BB218" s="10" t="s">
        <v>3</v>
      </c>
      <c r="BC218" s="10" t="s">
        <v>2</v>
      </c>
      <c r="BD218" s="10" t="s">
        <v>2</v>
      </c>
      <c r="BE218" s="10" t="s">
        <v>3</v>
      </c>
      <c r="BG218" s="12"/>
    </row>
    <row r="219" spans="1:59" s="10" customFormat="1" x14ac:dyDescent="0.3">
      <c r="A219" s="10" t="s">
        <v>1908</v>
      </c>
      <c r="B219" s="10" t="s">
        <v>50</v>
      </c>
      <c r="C219" s="10" t="s">
        <v>52</v>
      </c>
      <c r="D219" s="16" t="s">
        <v>1964</v>
      </c>
      <c r="E219" s="10">
        <v>2002</v>
      </c>
      <c r="F219" s="4" t="s">
        <v>2312</v>
      </c>
      <c r="G219" s="10" t="s">
        <v>855</v>
      </c>
      <c r="H219" s="10" t="s">
        <v>781</v>
      </c>
      <c r="I219" s="10" t="s">
        <v>1970</v>
      </c>
      <c r="J219" s="10" t="s">
        <v>173</v>
      </c>
      <c r="K219" s="10" t="s">
        <v>155</v>
      </c>
      <c r="L219" s="10">
        <v>2</v>
      </c>
      <c r="M219" s="10">
        <v>2</v>
      </c>
      <c r="O219" s="10">
        <v>85.6</v>
      </c>
      <c r="S219" s="14">
        <v>82.053303270384035</v>
      </c>
      <c r="Y219" s="10">
        <v>60</v>
      </c>
      <c r="AA219" s="14">
        <f t="shared" si="80"/>
        <v>59.972856639472987</v>
      </c>
      <c r="AG219" s="14">
        <v>32.967873306771288</v>
      </c>
      <c r="AJ219">
        <v>4.8</v>
      </c>
      <c r="AK219" s="10">
        <v>2500</v>
      </c>
      <c r="AL219" s="10">
        <f t="shared" si="82"/>
        <v>4.5238934211693023</v>
      </c>
      <c r="AO219" s="14">
        <f t="shared" si="71"/>
        <v>0.70061748410599289</v>
      </c>
      <c r="AP219" s="14">
        <f t="shared" si="81"/>
        <v>0.40178605848608867</v>
      </c>
      <c r="AR219" s="14">
        <f t="shared" si="83"/>
        <v>1.1024035425920815</v>
      </c>
      <c r="AS219" s="14"/>
      <c r="AT219" s="14"/>
      <c r="AU219" s="36"/>
      <c r="AV219" s="36"/>
      <c r="AW219" s="44"/>
      <c r="AX219" s="36"/>
      <c r="AY219" s="36"/>
      <c r="AZ219" s="10">
        <v>20</v>
      </c>
      <c r="BA219" s="10" t="s">
        <v>14</v>
      </c>
      <c r="BB219" s="10" t="s">
        <v>3</v>
      </c>
      <c r="BC219" s="10" t="s">
        <v>2</v>
      </c>
      <c r="BD219" s="10" t="s">
        <v>2</v>
      </c>
      <c r="BE219" s="10" t="s">
        <v>3</v>
      </c>
      <c r="BG219" s="12"/>
    </row>
    <row r="220" spans="1:59" s="10" customFormat="1" x14ac:dyDescent="0.3">
      <c r="A220" s="10" t="s">
        <v>1908</v>
      </c>
      <c r="B220" s="10" t="s">
        <v>50</v>
      </c>
      <c r="C220" s="10" t="s">
        <v>52</v>
      </c>
      <c r="D220" s="16" t="s">
        <v>1964</v>
      </c>
      <c r="E220" s="10">
        <v>2002</v>
      </c>
      <c r="F220" s="4" t="s">
        <v>2312</v>
      </c>
      <c r="G220" s="10" t="s">
        <v>855</v>
      </c>
      <c r="H220" s="10" t="s">
        <v>781</v>
      </c>
      <c r="I220" s="10" t="s">
        <v>1971</v>
      </c>
      <c r="J220" s="10" t="s">
        <v>173</v>
      </c>
      <c r="K220" s="10" t="s">
        <v>155</v>
      </c>
      <c r="L220" s="10">
        <v>2</v>
      </c>
      <c r="M220" s="10">
        <v>2</v>
      </c>
      <c r="O220" s="10">
        <v>85.6</v>
      </c>
      <c r="S220" s="14">
        <v>82.053303270384035</v>
      </c>
      <c r="Y220" s="10">
        <v>56</v>
      </c>
      <c r="AA220" s="14">
        <f t="shared" si="80"/>
        <v>55.96911343182623</v>
      </c>
      <c r="AG220" s="14">
        <v>35.748575504279955</v>
      </c>
      <c r="AJ220">
        <v>5.3</v>
      </c>
      <c r="AK220" s="10">
        <v>2500</v>
      </c>
      <c r="AL220" s="10">
        <f t="shared" si="82"/>
        <v>5.5154586024585806</v>
      </c>
      <c r="AO220" s="14">
        <f t="shared" si="71"/>
        <v>0.65384478308208216</v>
      </c>
      <c r="AP220" s="14">
        <f t="shared" si="81"/>
        <v>0.43567503171055016</v>
      </c>
      <c r="AR220" s="14">
        <f t="shared" si="83"/>
        <v>1.0895198147926324</v>
      </c>
      <c r="AS220" s="14"/>
      <c r="AT220" s="14"/>
      <c r="AU220" s="36"/>
      <c r="AV220" s="36"/>
      <c r="AW220" s="44"/>
      <c r="AX220" s="36"/>
      <c r="AY220" s="36"/>
      <c r="AZ220" s="10">
        <v>20</v>
      </c>
      <c r="BA220" s="10" t="s">
        <v>14</v>
      </c>
      <c r="BB220" s="10" t="s">
        <v>3</v>
      </c>
      <c r="BC220" s="10" t="s">
        <v>2</v>
      </c>
      <c r="BD220" s="10" t="s">
        <v>2</v>
      </c>
      <c r="BE220" s="10" t="s">
        <v>3</v>
      </c>
      <c r="BG220" s="12"/>
    </row>
    <row r="221" spans="1:59" s="10" customFormat="1" x14ac:dyDescent="0.3">
      <c r="A221" s="10" t="s">
        <v>1908</v>
      </c>
      <c r="B221" s="10" t="s">
        <v>50</v>
      </c>
      <c r="C221" s="10" t="s">
        <v>52</v>
      </c>
      <c r="D221" s="16" t="s">
        <v>1964</v>
      </c>
      <c r="E221" s="10">
        <v>2002</v>
      </c>
      <c r="F221" s="4" t="s">
        <v>2312</v>
      </c>
      <c r="G221" s="10" t="s">
        <v>855</v>
      </c>
      <c r="H221" s="10" t="s">
        <v>781</v>
      </c>
      <c r="I221" s="10" t="s">
        <v>1968</v>
      </c>
      <c r="J221" s="10" t="s">
        <v>173</v>
      </c>
      <c r="K221" s="10" t="s">
        <v>155</v>
      </c>
      <c r="L221" s="10">
        <v>3</v>
      </c>
      <c r="M221" s="10">
        <v>3</v>
      </c>
      <c r="O221" s="10">
        <v>85.6</v>
      </c>
      <c r="S221" s="14">
        <v>82.053303270384035</v>
      </c>
      <c r="Y221" s="10">
        <v>31.5</v>
      </c>
      <c r="AA221" s="14">
        <f t="shared" si="80"/>
        <v>31.484537473658111</v>
      </c>
      <c r="AG221" s="14">
        <v>28.499939504744059</v>
      </c>
      <c r="AJ221">
        <v>5</v>
      </c>
      <c r="AK221" s="10">
        <v>2500</v>
      </c>
      <c r="AL221" s="10">
        <f t="shared" si="82"/>
        <v>4.9087385212340529</v>
      </c>
      <c r="AO221" s="14">
        <f t="shared" si="71"/>
        <v>0.36781001721563217</v>
      </c>
      <c r="AP221" s="14">
        <f t="shared" si="81"/>
        <v>0.34733445661328671</v>
      </c>
      <c r="AR221" s="14">
        <f t="shared" si="83"/>
        <v>0.71514447382891888</v>
      </c>
      <c r="AS221" s="14"/>
      <c r="AT221" s="14"/>
      <c r="AU221" s="36"/>
      <c r="AV221" s="36"/>
      <c r="AW221" s="44"/>
      <c r="AX221" s="36"/>
      <c r="AY221" s="36"/>
      <c r="AZ221" s="10">
        <v>20</v>
      </c>
      <c r="BA221" s="10" t="s">
        <v>14</v>
      </c>
      <c r="BB221" s="10" t="s">
        <v>3</v>
      </c>
      <c r="BC221" s="10" t="s">
        <v>2</v>
      </c>
      <c r="BD221" s="10" t="s">
        <v>2</v>
      </c>
      <c r="BE221" s="10" t="s">
        <v>3</v>
      </c>
      <c r="BG221" s="12"/>
    </row>
    <row r="222" spans="1:59" x14ac:dyDescent="0.3">
      <c r="A222" s="10" t="s">
        <v>1908</v>
      </c>
      <c r="B222" s="10" t="s">
        <v>50</v>
      </c>
      <c r="C222" s="10" t="s">
        <v>52</v>
      </c>
      <c r="D222" s="16" t="s">
        <v>1964</v>
      </c>
      <c r="E222" s="10">
        <v>2002</v>
      </c>
      <c r="F222" s="4" t="s">
        <v>2312</v>
      </c>
      <c r="G222" s="10" t="s">
        <v>855</v>
      </c>
      <c r="H222" s="10" t="s">
        <v>781</v>
      </c>
      <c r="I222" s="10" t="s">
        <v>1967</v>
      </c>
      <c r="J222" s="10" t="s">
        <v>173</v>
      </c>
      <c r="K222" s="10" t="s">
        <v>155</v>
      </c>
      <c r="L222" s="10">
        <v>3</v>
      </c>
      <c r="M222" s="10">
        <v>3</v>
      </c>
      <c r="N222" s="10"/>
      <c r="O222" s="10">
        <v>85.6</v>
      </c>
      <c r="S222" s="14">
        <v>82.053303270384035</v>
      </c>
      <c r="Y222" s="10">
        <v>23.5</v>
      </c>
      <c r="AA222" s="14">
        <f t="shared" si="80"/>
        <v>23.491362571210207</v>
      </c>
      <c r="AG222" s="3">
        <v>23.03384129189941</v>
      </c>
      <c r="AJ222">
        <v>5.3</v>
      </c>
      <c r="AK222" s="10">
        <v>1666</v>
      </c>
      <c r="AL222" s="10">
        <f t="shared" si="82"/>
        <v>3.6755016126783979</v>
      </c>
      <c r="AO222" s="14">
        <f t="shared" si="71"/>
        <v>0.27443180573843701</v>
      </c>
      <c r="AP222" s="14">
        <f t="shared" si="81"/>
        <v>0.28071802564727638</v>
      </c>
      <c r="AR222" s="14">
        <f t="shared" si="83"/>
        <v>0.55514983138571339</v>
      </c>
      <c r="AS222" s="14"/>
      <c r="AT222" s="14"/>
      <c r="AU222" s="36"/>
      <c r="AV222" s="36"/>
      <c r="AW222" s="44"/>
      <c r="AX222" s="36"/>
      <c r="AY222" s="36"/>
      <c r="AZ222" s="10">
        <v>20</v>
      </c>
      <c r="BA222" s="10" t="s">
        <v>14</v>
      </c>
      <c r="BB222" s="10" t="s">
        <v>3</v>
      </c>
      <c r="BC222" s="10" t="s">
        <v>2</v>
      </c>
      <c r="BD222" s="10" t="s">
        <v>2</v>
      </c>
      <c r="BE222" s="10" t="s">
        <v>3</v>
      </c>
    </row>
    <row r="223" spans="1:59" x14ac:dyDescent="0.3">
      <c r="A223" s="10" t="s">
        <v>1908</v>
      </c>
      <c r="B223" s="10" t="s">
        <v>50</v>
      </c>
      <c r="C223" s="10" t="s">
        <v>52</v>
      </c>
      <c r="D223" s="16" t="s">
        <v>1964</v>
      </c>
      <c r="E223" s="10">
        <v>2002</v>
      </c>
      <c r="F223" s="4" t="s">
        <v>2312</v>
      </c>
      <c r="G223" s="10" t="s">
        <v>855</v>
      </c>
      <c r="H223" s="10" t="s">
        <v>781</v>
      </c>
      <c r="I223" s="10" t="s">
        <v>1966</v>
      </c>
      <c r="J223" s="10" t="s">
        <v>173</v>
      </c>
      <c r="K223" s="10" t="s">
        <v>155</v>
      </c>
      <c r="L223" s="10">
        <v>3</v>
      </c>
      <c r="M223" s="10">
        <v>3</v>
      </c>
      <c r="N223" s="10"/>
      <c r="O223" s="10">
        <v>85.6</v>
      </c>
      <c r="S223" s="14">
        <v>82.053303270384035</v>
      </c>
      <c r="Y223" s="10">
        <v>23</v>
      </c>
      <c r="AA223" s="14">
        <f t="shared" si="80"/>
        <v>22.988867570789321</v>
      </c>
      <c r="AG223" s="3">
        <v>28.899238601369071</v>
      </c>
      <c r="AJ223">
        <v>4.3</v>
      </c>
      <c r="AK223" s="10">
        <v>3333</v>
      </c>
      <c r="AL223" s="10">
        <f t="shared" si="82"/>
        <v>4.8401866133382319</v>
      </c>
      <c r="AO223" s="14">
        <f t="shared" si="71"/>
        <v>0.26856153704193131</v>
      </c>
      <c r="AP223" s="14">
        <f t="shared" si="81"/>
        <v>0.35220079447794561</v>
      </c>
      <c r="AR223" s="14">
        <f t="shared" si="83"/>
        <v>0.62076233151987692</v>
      </c>
      <c r="AS223" s="14"/>
      <c r="AT223" s="14"/>
      <c r="AU223" s="36"/>
      <c r="AV223" s="36"/>
      <c r="AW223" s="44"/>
      <c r="AX223" s="36"/>
      <c r="AY223" s="36"/>
      <c r="AZ223" s="10">
        <v>20</v>
      </c>
      <c r="BA223" s="10" t="s">
        <v>14</v>
      </c>
      <c r="BB223" s="10" t="s">
        <v>3</v>
      </c>
      <c r="BC223" s="10" t="s">
        <v>2</v>
      </c>
      <c r="BD223" s="10" t="s">
        <v>2</v>
      </c>
      <c r="BE223" s="10" t="s">
        <v>3</v>
      </c>
    </row>
    <row r="224" spans="1:59" x14ac:dyDescent="0.3">
      <c r="A224" s="10" t="s">
        <v>1908</v>
      </c>
      <c r="B224" s="10" t="s">
        <v>50</v>
      </c>
      <c r="C224" s="10" t="s">
        <v>52</v>
      </c>
      <c r="D224" s="16" t="s">
        <v>1964</v>
      </c>
      <c r="E224" s="10">
        <v>2002</v>
      </c>
      <c r="F224" s="4" t="s">
        <v>2312</v>
      </c>
      <c r="G224" s="10" t="s">
        <v>855</v>
      </c>
      <c r="H224" s="10" t="s">
        <v>781</v>
      </c>
      <c r="I224" s="10" t="s">
        <v>1965</v>
      </c>
      <c r="J224" s="10" t="s">
        <v>173</v>
      </c>
      <c r="K224" s="10" t="s">
        <v>155</v>
      </c>
      <c r="L224" s="10">
        <v>3</v>
      </c>
      <c r="M224" s="10">
        <v>3</v>
      </c>
      <c r="N224" s="10"/>
      <c r="O224" s="10">
        <v>85.6</v>
      </c>
      <c r="S224" s="14">
        <v>82.053303270384035</v>
      </c>
      <c r="Y224" s="10">
        <v>12.7</v>
      </c>
      <c r="AA224" s="14">
        <f t="shared" si="80"/>
        <v>12.692907691221702</v>
      </c>
      <c r="AG224" s="3">
        <v>31.193593510529258</v>
      </c>
      <c r="AJ224">
        <v>4</v>
      </c>
      <c r="AK224" s="10">
        <v>4444</v>
      </c>
      <c r="AL224" s="10">
        <f t="shared" si="82"/>
        <v>5.5844951010212167</v>
      </c>
      <c r="AO224" s="14">
        <f t="shared" si="71"/>
        <v>0.14828163190679561</v>
      </c>
      <c r="AP224" s="14">
        <f t="shared" si="81"/>
        <v>0.38016255613426519</v>
      </c>
      <c r="AR224" s="14">
        <f t="shared" si="83"/>
        <v>0.52844418804106086</v>
      </c>
      <c r="AS224" s="14"/>
      <c r="AT224" s="14"/>
      <c r="AU224" s="36"/>
      <c r="AV224" s="36"/>
      <c r="AW224" s="44"/>
      <c r="AX224" s="36"/>
      <c r="AY224" s="36"/>
      <c r="AZ224" s="10">
        <v>20</v>
      </c>
      <c r="BA224" s="10" t="s">
        <v>14</v>
      </c>
      <c r="BB224" s="10" t="s">
        <v>3</v>
      </c>
      <c r="BC224" s="10" t="s">
        <v>2</v>
      </c>
      <c r="BD224" s="10" t="s">
        <v>2</v>
      </c>
      <c r="BE224" s="10" t="s">
        <v>3</v>
      </c>
    </row>
    <row r="225" spans="1:59" s="10" customFormat="1" x14ac:dyDescent="0.3">
      <c r="A225" s="10" t="s">
        <v>1908</v>
      </c>
      <c r="B225" s="10" t="s">
        <v>50</v>
      </c>
      <c r="C225" s="10" t="s">
        <v>52</v>
      </c>
      <c r="D225" s="16" t="s">
        <v>1964</v>
      </c>
      <c r="E225" s="10">
        <v>2003</v>
      </c>
      <c r="F225" s="4" t="s">
        <v>2312</v>
      </c>
      <c r="G225" s="10" t="s">
        <v>855</v>
      </c>
      <c r="H225" s="10" t="s">
        <v>781</v>
      </c>
      <c r="I225" s="10" t="s">
        <v>1969</v>
      </c>
      <c r="J225" s="10" t="s">
        <v>173</v>
      </c>
      <c r="K225" s="10" t="s">
        <v>155</v>
      </c>
      <c r="L225" s="10">
        <v>2</v>
      </c>
      <c r="M225" s="10">
        <v>2</v>
      </c>
      <c r="O225" s="10">
        <v>71.599999999999994</v>
      </c>
      <c r="S225" s="14">
        <v>95.141215257492618</v>
      </c>
      <c r="Y225" s="10">
        <v>21.5</v>
      </c>
      <c r="AA225" s="14">
        <f t="shared" si="80"/>
        <v>21.480479714046918</v>
      </c>
      <c r="AG225" s="14">
        <v>65.499065234693603</v>
      </c>
      <c r="AJ225">
        <v>6.8</v>
      </c>
      <c r="AK225" s="10">
        <v>2500</v>
      </c>
      <c r="AL225" s="10">
        <f t="shared" si="82"/>
        <v>9.0792027688745041</v>
      </c>
      <c r="AO225" s="14">
        <f t="shared" si="71"/>
        <v>0.30000669991685641</v>
      </c>
      <c r="AP225" s="14">
        <f t="shared" si="81"/>
        <v>0.68844049403221574</v>
      </c>
      <c r="AR225" s="14">
        <f t="shared" si="83"/>
        <v>0.98844719394907221</v>
      </c>
      <c r="AS225" s="14"/>
      <c r="AT225" s="14"/>
      <c r="AU225" s="36"/>
      <c r="AV225" s="36"/>
      <c r="AW225" s="44"/>
      <c r="AX225" s="36"/>
      <c r="AY225" s="36"/>
      <c r="AZ225" s="10">
        <v>20</v>
      </c>
      <c r="BA225" s="10" t="s">
        <v>14</v>
      </c>
      <c r="BB225" s="10" t="s">
        <v>3</v>
      </c>
      <c r="BC225" s="10" t="s">
        <v>2</v>
      </c>
      <c r="BD225" s="10" t="s">
        <v>2</v>
      </c>
      <c r="BE225" s="10" t="s">
        <v>3</v>
      </c>
      <c r="BG225" s="12"/>
    </row>
    <row r="226" spans="1:59" s="10" customFormat="1" x14ac:dyDescent="0.3">
      <c r="A226" s="10" t="s">
        <v>1908</v>
      </c>
      <c r="B226" s="10" t="s">
        <v>50</v>
      </c>
      <c r="C226" s="10" t="s">
        <v>52</v>
      </c>
      <c r="D226" s="16" t="s">
        <v>1964</v>
      </c>
      <c r="E226" s="10">
        <v>2003</v>
      </c>
      <c r="F226" s="4" t="s">
        <v>2312</v>
      </c>
      <c r="G226" s="10" t="s">
        <v>855</v>
      </c>
      <c r="H226" s="10" t="s">
        <v>781</v>
      </c>
      <c r="I226" s="10" t="s">
        <v>1970</v>
      </c>
      <c r="J226" s="10" t="s">
        <v>173</v>
      </c>
      <c r="K226" s="10" t="s">
        <v>155</v>
      </c>
      <c r="L226" s="10">
        <v>2</v>
      </c>
      <c r="M226" s="10">
        <v>2</v>
      </c>
      <c r="O226" s="10">
        <v>71.599999999999994</v>
      </c>
      <c r="S226" s="14">
        <v>95.141215257492618</v>
      </c>
      <c r="Y226" s="10">
        <v>15.6</v>
      </c>
      <c r="AA226" s="14">
        <f t="shared" si="80"/>
        <v>15.584559150647422</v>
      </c>
      <c r="AG226" s="14">
        <v>94.292154603925738</v>
      </c>
      <c r="AJ226">
        <v>7.1</v>
      </c>
      <c r="AK226" s="10">
        <v>2500</v>
      </c>
      <c r="AL226" s="10">
        <f t="shared" si="82"/>
        <v>9.8979803542163403</v>
      </c>
      <c r="AO226" s="14">
        <f t="shared" si="71"/>
        <v>0.21766144065150034</v>
      </c>
      <c r="AP226" s="14">
        <f t="shared" si="81"/>
        <v>0.99107578507097094</v>
      </c>
      <c r="AR226" s="14">
        <f t="shared" si="83"/>
        <v>1.2087372257224713</v>
      </c>
      <c r="AS226" s="14"/>
      <c r="AT226" s="14"/>
      <c r="AU226" s="36"/>
      <c r="AV226" s="36"/>
      <c r="AW226" s="44"/>
      <c r="AX226" s="36"/>
      <c r="AY226" s="36"/>
      <c r="AZ226" s="10">
        <v>20</v>
      </c>
      <c r="BA226" s="10" t="s">
        <v>14</v>
      </c>
      <c r="BB226" s="10" t="s">
        <v>3</v>
      </c>
      <c r="BC226" s="10" t="s">
        <v>2</v>
      </c>
      <c r="BD226" s="10" t="s">
        <v>2</v>
      </c>
      <c r="BE226" s="10" t="s">
        <v>3</v>
      </c>
      <c r="BG226" s="12"/>
    </row>
    <row r="227" spans="1:59" s="10" customFormat="1" x14ac:dyDescent="0.3">
      <c r="A227" s="10" t="s">
        <v>1908</v>
      </c>
      <c r="B227" s="10" t="s">
        <v>50</v>
      </c>
      <c r="C227" s="10" t="s">
        <v>52</v>
      </c>
      <c r="D227" s="16" t="s">
        <v>1964</v>
      </c>
      <c r="E227" s="10">
        <v>2003</v>
      </c>
      <c r="F227" s="4" t="s">
        <v>2312</v>
      </c>
      <c r="G227" s="10" t="s">
        <v>855</v>
      </c>
      <c r="H227" s="10" t="s">
        <v>781</v>
      </c>
      <c r="I227" s="10" t="s">
        <v>1971</v>
      </c>
      <c r="J227" s="10" t="s">
        <v>173</v>
      </c>
      <c r="K227" s="10" t="s">
        <v>155</v>
      </c>
      <c r="L227" s="10">
        <v>2</v>
      </c>
      <c r="M227" s="10">
        <v>2</v>
      </c>
      <c r="O227" s="10">
        <v>71.599999999999994</v>
      </c>
      <c r="S227" s="14">
        <v>95.141215257492618</v>
      </c>
      <c r="Y227" s="10">
        <v>11</v>
      </c>
      <c r="AA227" s="14">
        <f t="shared" si="80"/>
        <v>10.989716978196178</v>
      </c>
      <c r="AG227" s="14">
        <v>67.746285729714543</v>
      </c>
      <c r="AJ227">
        <v>6.9</v>
      </c>
      <c r="AK227" s="10">
        <v>2500</v>
      </c>
      <c r="AL227" s="10">
        <f t="shared" si="82"/>
        <v>9.3482016398381287</v>
      </c>
      <c r="AO227" s="14">
        <f t="shared" si="71"/>
        <v>0.15348766729324273</v>
      </c>
      <c r="AP227" s="14">
        <f t="shared" si="81"/>
        <v>0.71206033627344645</v>
      </c>
      <c r="AR227" s="14">
        <f t="shared" si="83"/>
        <v>0.86554800356668915</v>
      </c>
      <c r="AS227" s="14"/>
      <c r="AT227" s="14"/>
      <c r="AU227" s="36"/>
      <c r="AV227" s="36"/>
      <c r="AW227" s="44"/>
      <c r="AX227" s="36"/>
      <c r="AY227" s="36"/>
      <c r="AZ227" s="10">
        <v>20</v>
      </c>
      <c r="BA227" s="10" t="s">
        <v>14</v>
      </c>
      <c r="BB227" s="10" t="s">
        <v>3</v>
      </c>
      <c r="BC227" s="10" t="s">
        <v>2</v>
      </c>
      <c r="BD227" s="10" t="s">
        <v>2</v>
      </c>
      <c r="BE227" s="10" t="s">
        <v>3</v>
      </c>
      <c r="BG227" s="12"/>
    </row>
    <row r="228" spans="1:59" s="10" customFormat="1" x14ac:dyDescent="0.3">
      <c r="A228" s="10" t="s">
        <v>1908</v>
      </c>
      <c r="B228" s="10" t="s">
        <v>50</v>
      </c>
      <c r="C228" s="10" t="s">
        <v>52</v>
      </c>
      <c r="D228" s="16" t="s">
        <v>1964</v>
      </c>
      <c r="E228" s="10">
        <v>2003</v>
      </c>
      <c r="F228" s="4" t="s">
        <v>2312</v>
      </c>
      <c r="G228" s="10" t="s">
        <v>855</v>
      </c>
      <c r="H228" s="10" t="s">
        <v>781</v>
      </c>
      <c r="I228" s="10" t="s">
        <v>1968</v>
      </c>
      <c r="J228" s="10" t="s">
        <v>173</v>
      </c>
      <c r="K228" s="10" t="s">
        <v>155</v>
      </c>
      <c r="L228" s="10">
        <v>3</v>
      </c>
      <c r="M228" s="10">
        <v>3</v>
      </c>
      <c r="O228" s="10">
        <v>71.599999999999994</v>
      </c>
      <c r="S228" s="14">
        <v>95.141215257492618</v>
      </c>
      <c r="Y228" s="10">
        <v>8</v>
      </c>
      <c r="AA228" s="14">
        <f t="shared" si="80"/>
        <v>7.9931576112004814</v>
      </c>
      <c r="AG228" s="14">
        <v>62.919817666096371</v>
      </c>
      <c r="AJ228">
        <v>6.6</v>
      </c>
      <c r="AK228" s="10">
        <v>2500</v>
      </c>
      <c r="AL228" s="10">
        <f t="shared" si="82"/>
        <v>8.5529859993982136</v>
      </c>
      <c r="AO228" s="14">
        <f t="shared" si="71"/>
        <v>0.11163627948604025</v>
      </c>
      <c r="AP228" s="14">
        <f t="shared" si="81"/>
        <v>0.66133081752013123</v>
      </c>
      <c r="AR228" s="14">
        <f t="shared" si="83"/>
        <v>0.7729670970061715</v>
      </c>
      <c r="AS228" s="14"/>
      <c r="AT228" s="14"/>
      <c r="AU228" s="36"/>
      <c r="AV228" s="36"/>
      <c r="AW228" s="44"/>
      <c r="AX228" s="36"/>
      <c r="AY228" s="36"/>
      <c r="AZ228" s="10">
        <v>20</v>
      </c>
      <c r="BA228" s="10" t="s">
        <v>14</v>
      </c>
      <c r="BB228" s="10" t="s">
        <v>3</v>
      </c>
      <c r="BC228" s="10" t="s">
        <v>2</v>
      </c>
      <c r="BD228" s="10" t="s">
        <v>2</v>
      </c>
      <c r="BE228" s="10" t="s">
        <v>3</v>
      </c>
      <c r="BG228" s="12"/>
    </row>
    <row r="229" spans="1:59" x14ac:dyDescent="0.3">
      <c r="A229" s="10" t="s">
        <v>1908</v>
      </c>
      <c r="B229" s="10" t="s">
        <v>50</v>
      </c>
      <c r="C229" s="10" t="s">
        <v>52</v>
      </c>
      <c r="D229" s="16" t="s">
        <v>1964</v>
      </c>
      <c r="E229" s="10">
        <v>2003</v>
      </c>
      <c r="F229" s="4" t="s">
        <v>2312</v>
      </c>
      <c r="G229" s="10" t="s">
        <v>855</v>
      </c>
      <c r="H229" s="10" t="s">
        <v>781</v>
      </c>
      <c r="I229" s="10" t="s">
        <v>1967</v>
      </c>
      <c r="J229" s="10" t="s">
        <v>173</v>
      </c>
      <c r="K229" s="10" t="s">
        <v>155</v>
      </c>
      <c r="L229" s="10">
        <v>3</v>
      </c>
      <c r="M229" s="10">
        <v>3</v>
      </c>
      <c r="N229" s="10"/>
      <c r="O229" s="10">
        <v>71.599999999999994</v>
      </c>
      <c r="S229" s="14">
        <v>95.141215257492618</v>
      </c>
      <c r="Y229" s="10">
        <v>7.6</v>
      </c>
      <c r="AA229" s="14">
        <f t="shared" si="80"/>
        <v>7.5948448243952669</v>
      </c>
      <c r="AG229" s="3">
        <v>48.942660206930555</v>
      </c>
      <c r="AJ229">
        <v>7.2</v>
      </c>
      <c r="AK229" s="10">
        <v>1666</v>
      </c>
      <c r="AL229" s="10">
        <f t="shared" si="82"/>
        <v>6.7831257957012534</v>
      </c>
      <c r="AO229" s="14">
        <f t="shared" si="71"/>
        <v>0.10607325173736407</v>
      </c>
      <c r="AP229" s="14">
        <f t="shared" si="81"/>
        <v>0.51442122191177486</v>
      </c>
      <c r="AR229" s="14">
        <f t="shared" si="83"/>
        <v>0.6204944736491389</v>
      </c>
      <c r="AS229" s="14"/>
      <c r="AT229" s="14"/>
      <c r="AU229" s="36"/>
      <c r="AV229" s="36"/>
      <c r="AW229" s="44"/>
      <c r="AX229" s="36"/>
      <c r="AY229" s="36"/>
      <c r="AZ229" s="10">
        <v>20</v>
      </c>
      <c r="BA229" s="10" t="s">
        <v>14</v>
      </c>
      <c r="BB229" s="10" t="s">
        <v>3</v>
      </c>
      <c r="BC229" s="10" t="s">
        <v>2</v>
      </c>
      <c r="BD229" s="10" t="s">
        <v>2</v>
      </c>
      <c r="BE229" s="10" t="s">
        <v>3</v>
      </c>
    </row>
    <row r="230" spans="1:59" x14ac:dyDescent="0.3">
      <c r="A230" s="10" t="s">
        <v>1908</v>
      </c>
      <c r="B230" s="10" t="s">
        <v>50</v>
      </c>
      <c r="C230" s="10" t="s">
        <v>52</v>
      </c>
      <c r="D230" s="16" t="s">
        <v>1964</v>
      </c>
      <c r="E230" s="10">
        <v>2003</v>
      </c>
      <c r="F230" s="4" t="s">
        <v>2312</v>
      </c>
      <c r="G230" s="10" t="s">
        <v>855</v>
      </c>
      <c r="H230" s="10" t="s">
        <v>781</v>
      </c>
      <c r="I230" s="10" t="s">
        <v>1966</v>
      </c>
      <c r="J230" s="10" t="s">
        <v>173</v>
      </c>
      <c r="K230" s="10" t="s">
        <v>155</v>
      </c>
      <c r="L230" s="10">
        <v>3</v>
      </c>
      <c r="M230" s="10">
        <v>3</v>
      </c>
      <c r="N230" s="10"/>
      <c r="O230" s="10">
        <v>71.599999999999994</v>
      </c>
      <c r="S230" s="14">
        <v>95.141215257492618</v>
      </c>
      <c r="Y230" s="10">
        <v>6.9</v>
      </c>
      <c r="AA230" s="14">
        <f t="shared" si="80"/>
        <v>6.8939238250084287</v>
      </c>
      <c r="AG230" s="3">
        <v>60.605733083832746</v>
      </c>
      <c r="AJ230">
        <v>5.8</v>
      </c>
      <c r="AK230" s="10">
        <v>3333</v>
      </c>
      <c r="AL230" s="10">
        <f t="shared" si="82"/>
        <v>8.8060507124228291</v>
      </c>
      <c r="AO230" s="14">
        <f t="shared" si="71"/>
        <v>9.6283852304586998E-2</v>
      </c>
      <c r="AP230" s="14">
        <f t="shared" si="81"/>
        <v>0.6370081874591137</v>
      </c>
      <c r="AR230" s="14">
        <f t="shared" si="83"/>
        <v>0.73329203976370072</v>
      </c>
      <c r="AS230" s="14"/>
      <c r="AT230" s="14"/>
      <c r="AU230" s="36"/>
      <c r="AV230" s="36"/>
      <c r="AW230" s="44"/>
      <c r="AX230" s="36"/>
      <c r="AY230" s="36"/>
      <c r="AZ230" s="10">
        <v>20</v>
      </c>
      <c r="BA230" s="10" t="s">
        <v>14</v>
      </c>
      <c r="BB230" s="10" t="s">
        <v>3</v>
      </c>
      <c r="BC230" s="10" t="s">
        <v>2</v>
      </c>
      <c r="BD230" s="10" t="s">
        <v>2</v>
      </c>
      <c r="BE230" s="10" t="s">
        <v>3</v>
      </c>
    </row>
    <row r="231" spans="1:59" x14ac:dyDescent="0.3">
      <c r="A231" s="10" t="s">
        <v>1908</v>
      </c>
      <c r="B231" s="10" t="s">
        <v>50</v>
      </c>
      <c r="C231" s="10" t="s">
        <v>52</v>
      </c>
      <c r="D231" s="16" t="s">
        <v>1964</v>
      </c>
      <c r="E231" s="10">
        <v>2003</v>
      </c>
      <c r="F231" s="4" t="s">
        <v>2312</v>
      </c>
      <c r="G231" s="10" t="s">
        <v>855</v>
      </c>
      <c r="H231" s="10" t="s">
        <v>781</v>
      </c>
      <c r="I231" s="10" t="s">
        <v>1965</v>
      </c>
      <c r="J231" s="10" t="s">
        <v>173</v>
      </c>
      <c r="K231" s="10" t="s">
        <v>155</v>
      </c>
      <c r="L231" s="10">
        <v>3</v>
      </c>
      <c r="M231" s="10">
        <v>3</v>
      </c>
      <c r="N231" s="10"/>
      <c r="O231" s="10">
        <v>71.599999999999994</v>
      </c>
      <c r="S231" s="14">
        <v>95.141215257492618</v>
      </c>
      <c r="Y231" s="10">
        <v>8.5</v>
      </c>
      <c r="AA231" s="14">
        <f t="shared" si="80"/>
        <v>8.4893196531192974</v>
      </c>
      <c r="AG231" s="3">
        <v>99.124788043126571</v>
      </c>
      <c r="AJ231">
        <v>6</v>
      </c>
      <c r="AK231" s="10">
        <v>4444</v>
      </c>
      <c r="AL231" s="10">
        <f t="shared" si="82"/>
        <v>12.565113977297736</v>
      </c>
      <c r="AO231" s="14">
        <f t="shared" si="71"/>
        <v>0.11856591694300696</v>
      </c>
      <c r="AP231" s="14">
        <f t="shared" si="81"/>
        <v>1.0418701061874469</v>
      </c>
      <c r="AR231" s="14">
        <f t="shared" si="83"/>
        <v>1.1604360231304538</v>
      </c>
      <c r="AS231" s="14"/>
      <c r="AT231" s="14"/>
      <c r="AU231" s="36"/>
      <c r="AV231" s="36"/>
      <c r="AW231" s="44"/>
      <c r="AX231" s="36"/>
      <c r="AY231" s="36"/>
      <c r="AZ231" s="10">
        <v>20</v>
      </c>
      <c r="BA231" s="10" t="s">
        <v>14</v>
      </c>
      <c r="BB231" s="10" t="s">
        <v>3</v>
      </c>
      <c r="BC231" s="10" t="s">
        <v>2</v>
      </c>
      <c r="BD231" s="10" t="s">
        <v>2</v>
      </c>
      <c r="BE231" s="10" t="s">
        <v>3</v>
      </c>
    </row>
    <row r="232" spans="1:59" s="10" customFormat="1" x14ac:dyDescent="0.3">
      <c r="A232" s="10" t="s">
        <v>2042</v>
      </c>
      <c r="B232" s="10" t="s">
        <v>1055</v>
      </c>
      <c r="C232" s="10" t="s">
        <v>1232</v>
      </c>
      <c r="D232" s="16" t="s">
        <v>2046</v>
      </c>
      <c r="E232" s="10">
        <v>2007</v>
      </c>
      <c r="F232" s="4" t="s">
        <v>2312</v>
      </c>
      <c r="G232" s="10" t="s">
        <v>855</v>
      </c>
      <c r="H232" s="10" t="s">
        <v>4</v>
      </c>
      <c r="J232" s="10" t="s">
        <v>516</v>
      </c>
      <c r="K232" s="10" t="s">
        <v>2047</v>
      </c>
      <c r="L232" s="10">
        <v>3</v>
      </c>
      <c r="M232" s="10">
        <v>3</v>
      </c>
      <c r="O232" s="10">
        <v>6.2</v>
      </c>
      <c r="P232" s="10">
        <f>0.6*SQRT(L232)</f>
        <v>1.0392304845413263</v>
      </c>
      <c r="V232" s="10">
        <v>12</v>
      </c>
      <c r="AA232" s="10">
        <v>5</v>
      </c>
      <c r="AB232" s="10">
        <f>0.4*SQRT(M232)</f>
        <v>0.69282032302755092</v>
      </c>
      <c r="AI232" s="10">
        <v>7.2</v>
      </c>
      <c r="AJ232" s="10">
        <v>12.5</v>
      </c>
      <c r="AK232" s="10">
        <v>100</v>
      </c>
      <c r="AO232" s="14">
        <f t="shared" si="71"/>
        <v>0.80645161290322576</v>
      </c>
      <c r="AR232" s="14">
        <f t="shared" si="83"/>
        <v>0.80645161290322576</v>
      </c>
      <c r="AS232" s="14"/>
      <c r="AT232" s="14"/>
      <c r="AU232" s="44">
        <f>(AB232^2)/(O232^2)+(P232^2)*(AA232^2)/(O232^4)</f>
        <v>3.075945214023286E-2</v>
      </c>
      <c r="AV232" s="44"/>
      <c r="AW232" s="44"/>
      <c r="AX232" s="44">
        <f t="shared" ref="AX232:AX233" si="84">AU232+AV232+AW232</f>
        <v>3.075945214023286E-2</v>
      </c>
      <c r="AY232" s="44">
        <f t="shared" ref="AY232:AY233" si="85">SQRT(AX232)/AR232</f>
        <v>0.21747582304895882</v>
      </c>
      <c r="AZ232" s="10">
        <v>150</v>
      </c>
      <c r="BA232" s="10" t="s">
        <v>14</v>
      </c>
      <c r="BB232" s="10" t="s">
        <v>3</v>
      </c>
      <c r="BC232" s="10" t="s">
        <v>2</v>
      </c>
      <c r="BD232" s="10" t="s">
        <v>2</v>
      </c>
      <c r="BE232" s="10" t="s">
        <v>2</v>
      </c>
      <c r="BF232" s="10" t="s">
        <v>2596</v>
      </c>
    </row>
    <row r="233" spans="1:59" s="10" customFormat="1" x14ac:dyDescent="0.3">
      <c r="A233" s="10" t="s">
        <v>2042</v>
      </c>
      <c r="B233" s="10" t="s">
        <v>1055</v>
      </c>
      <c r="C233" s="10" t="s">
        <v>1232</v>
      </c>
      <c r="D233" s="16" t="s">
        <v>2046</v>
      </c>
      <c r="E233" s="10">
        <v>2008</v>
      </c>
      <c r="F233" s="4" t="s">
        <v>2312</v>
      </c>
      <c r="G233" s="10" t="s">
        <v>855</v>
      </c>
      <c r="H233" s="10" t="s">
        <v>4</v>
      </c>
      <c r="J233" s="10" t="s">
        <v>516</v>
      </c>
      <c r="K233" s="10" t="s">
        <v>2047</v>
      </c>
      <c r="L233" s="10">
        <v>3</v>
      </c>
      <c r="M233" s="10">
        <v>3</v>
      </c>
      <c r="O233" s="10">
        <v>3.5</v>
      </c>
      <c r="P233" s="10">
        <f>0.2*SQRT(L233)</f>
        <v>0.34641016151377546</v>
      </c>
      <c r="V233" s="10">
        <v>13</v>
      </c>
      <c r="AA233" s="10">
        <v>2.5</v>
      </c>
      <c r="AB233" s="10">
        <f>0.4*SQRT(M233)</f>
        <v>0.69282032302755092</v>
      </c>
      <c r="AI233" s="10">
        <v>7.8</v>
      </c>
      <c r="AJ233" s="10">
        <v>13.8</v>
      </c>
      <c r="AK233" s="10">
        <v>100</v>
      </c>
      <c r="AO233" s="14">
        <f t="shared" si="71"/>
        <v>0.7142857142857143</v>
      </c>
      <c r="AR233" s="14">
        <f t="shared" si="83"/>
        <v>0.7142857142857143</v>
      </c>
      <c r="AS233" s="14"/>
      <c r="AT233" s="14"/>
      <c r="AU233" s="44">
        <f>(AB233^2)/(O233^2)+(P233^2)*(AA233^2)/(O233^4)</f>
        <v>4.4181591003748438E-2</v>
      </c>
      <c r="AV233" s="44"/>
      <c r="AW233" s="44"/>
      <c r="AX233" s="44">
        <f t="shared" si="84"/>
        <v>4.4181591003748438E-2</v>
      </c>
      <c r="AY233" s="44">
        <f t="shared" si="85"/>
        <v>0.29427184433334247</v>
      </c>
      <c r="AZ233" s="10">
        <v>150</v>
      </c>
      <c r="BA233" s="10" t="s">
        <v>14</v>
      </c>
      <c r="BB233" s="10" t="s">
        <v>3</v>
      </c>
      <c r="BC233" s="10" t="s">
        <v>2</v>
      </c>
      <c r="BD233" s="10" t="s">
        <v>2</v>
      </c>
      <c r="BE233" s="10" t="s">
        <v>2</v>
      </c>
      <c r="BF233" s="10" t="s">
        <v>2596</v>
      </c>
    </row>
    <row r="234" spans="1:59" x14ac:dyDescent="0.3">
      <c r="A234" s="10" t="s">
        <v>2044</v>
      </c>
      <c r="B234" s="10" t="s">
        <v>282</v>
      </c>
      <c r="C234" s="10" t="s">
        <v>2049</v>
      </c>
      <c r="E234" s="10">
        <v>2014</v>
      </c>
      <c r="F234" s="4" t="s">
        <v>2312</v>
      </c>
      <c r="G234" s="10" t="s">
        <v>855</v>
      </c>
      <c r="H234" s="10" t="s">
        <v>781</v>
      </c>
      <c r="J234" s="10" t="s">
        <v>71</v>
      </c>
      <c r="K234" s="10" t="s">
        <v>2047</v>
      </c>
      <c r="L234" s="10">
        <v>6</v>
      </c>
      <c r="M234" s="10">
        <v>6</v>
      </c>
      <c r="V234">
        <v>10</v>
      </c>
      <c r="AI234">
        <v>10.5</v>
      </c>
      <c r="AJ234">
        <v>15.3</v>
      </c>
      <c r="AK234" s="10">
        <v>333</v>
      </c>
      <c r="AO234">
        <v>1.55</v>
      </c>
      <c r="AP234">
        <v>0.52</v>
      </c>
      <c r="AR234" s="14">
        <v>2.08</v>
      </c>
      <c r="AS234" s="14"/>
      <c r="AT234" s="14"/>
      <c r="AU234" s="36"/>
      <c r="AV234" s="36"/>
      <c r="AW234" s="44"/>
      <c r="AX234" s="36"/>
      <c r="AY234" s="36"/>
      <c r="AZ234">
        <f t="shared" ref="AZ234:AZ239" si="86">40+48+55</f>
        <v>143</v>
      </c>
      <c r="BA234" s="10" t="s">
        <v>14</v>
      </c>
      <c r="BC234" s="10" t="s">
        <v>3</v>
      </c>
      <c r="BD234" s="10" t="s">
        <v>2</v>
      </c>
      <c r="BE234" s="10" t="s">
        <v>3</v>
      </c>
    </row>
    <row r="235" spans="1:59" x14ac:dyDescent="0.3">
      <c r="A235" s="10" t="s">
        <v>2044</v>
      </c>
      <c r="B235" s="10" t="s">
        <v>282</v>
      </c>
      <c r="C235" s="10" t="s">
        <v>2049</v>
      </c>
      <c r="E235" s="10">
        <v>2015</v>
      </c>
      <c r="F235" s="4" t="s">
        <v>2312</v>
      </c>
      <c r="G235" s="10" t="s">
        <v>855</v>
      </c>
      <c r="H235" s="10" t="s">
        <v>781</v>
      </c>
      <c r="J235" s="10" t="s">
        <v>71</v>
      </c>
      <c r="K235" s="10" t="s">
        <v>2047</v>
      </c>
      <c r="L235" s="10">
        <v>6</v>
      </c>
      <c r="M235" s="10">
        <v>6</v>
      </c>
      <c r="V235">
        <v>11</v>
      </c>
      <c r="AK235" s="10">
        <v>333</v>
      </c>
      <c r="AO235">
        <v>1.1499999999999999</v>
      </c>
      <c r="AP235">
        <v>0.81</v>
      </c>
      <c r="AR235" s="14">
        <f t="shared" ref="AR235:AR241" si="87">AO235+AP235</f>
        <v>1.96</v>
      </c>
      <c r="AS235" s="14"/>
      <c r="AT235" s="14"/>
      <c r="AU235" s="36"/>
      <c r="AV235" s="36"/>
      <c r="AW235" s="44"/>
      <c r="AX235" s="36"/>
      <c r="AY235" s="36"/>
      <c r="AZ235">
        <f t="shared" si="86"/>
        <v>143</v>
      </c>
      <c r="BA235" s="10" t="s">
        <v>14</v>
      </c>
      <c r="BC235" s="10" t="s">
        <v>3</v>
      </c>
      <c r="BD235" s="10" t="s">
        <v>2</v>
      </c>
      <c r="BE235" s="10" t="s">
        <v>3</v>
      </c>
    </row>
    <row r="236" spans="1:59" x14ac:dyDescent="0.3">
      <c r="A236" s="10" t="s">
        <v>2044</v>
      </c>
      <c r="B236" s="10" t="s">
        <v>282</v>
      </c>
      <c r="C236" s="10" t="s">
        <v>2049</v>
      </c>
      <c r="E236" s="10">
        <v>2016</v>
      </c>
      <c r="F236" s="4" t="s">
        <v>2312</v>
      </c>
      <c r="G236" s="10" t="s">
        <v>855</v>
      </c>
      <c r="H236" s="10" t="s">
        <v>781</v>
      </c>
      <c r="J236" s="10" t="s">
        <v>71</v>
      </c>
      <c r="K236" s="10" t="s">
        <v>2047</v>
      </c>
      <c r="L236" s="10">
        <v>6</v>
      </c>
      <c r="M236" s="10">
        <v>6</v>
      </c>
      <c r="V236">
        <v>12</v>
      </c>
      <c r="AK236" s="10">
        <v>333</v>
      </c>
      <c r="AO236">
        <v>0.69</v>
      </c>
      <c r="AP236">
        <v>0.87</v>
      </c>
      <c r="AR236" s="14">
        <v>1.55</v>
      </c>
      <c r="AS236" s="14"/>
      <c r="AT236" s="14"/>
      <c r="AU236" s="36"/>
      <c r="AV236" s="36"/>
      <c r="AW236" s="44"/>
      <c r="AX236" s="36"/>
      <c r="AY236" s="36"/>
      <c r="AZ236">
        <f t="shared" si="86"/>
        <v>143</v>
      </c>
      <c r="BA236" s="10" t="s">
        <v>14</v>
      </c>
      <c r="BC236" s="10" t="s">
        <v>3</v>
      </c>
      <c r="BD236" s="10" t="s">
        <v>2</v>
      </c>
      <c r="BE236" s="10" t="s">
        <v>3</v>
      </c>
    </row>
    <row r="237" spans="1:59" x14ac:dyDescent="0.3">
      <c r="A237" s="10" t="s">
        <v>2044</v>
      </c>
      <c r="B237" s="10" t="s">
        <v>282</v>
      </c>
      <c r="C237" s="10" t="s">
        <v>2049</v>
      </c>
      <c r="E237" s="10">
        <v>2014</v>
      </c>
      <c r="F237" s="4" t="s">
        <v>2312</v>
      </c>
      <c r="G237" s="10" t="s">
        <v>855</v>
      </c>
      <c r="H237" s="10" t="s">
        <v>781</v>
      </c>
      <c r="J237" s="10" t="s">
        <v>516</v>
      </c>
      <c r="K237" s="10" t="s">
        <v>2047</v>
      </c>
      <c r="L237" s="10">
        <v>6</v>
      </c>
      <c r="M237" s="10">
        <v>6</v>
      </c>
      <c r="V237">
        <v>10</v>
      </c>
      <c r="AK237" s="10">
        <v>333</v>
      </c>
      <c r="AO237">
        <v>1.2</v>
      </c>
      <c r="AP237">
        <v>0.52</v>
      </c>
      <c r="AR237" s="14">
        <f t="shared" si="87"/>
        <v>1.72</v>
      </c>
      <c r="AS237" s="14"/>
      <c r="AT237" s="14"/>
      <c r="AU237" s="36"/>
      <c r="AV237" s="36"/>
      <c r="AW237" s="44"/>
      <c r="AX237" s="36"/>
      <c r="AY237" s="36"/>
      <c r="AZ237">
        <f>40+48+55</f>
        <v>143</v>
      </c>
      <c r="BA237" s="10" t="s">
        <v>14</v>
      </c>
      <c r="BC237" s="10" t="s">
        <v>3</v>
      </c>
      <c r="BD237" s="10" t="s">
        <v>2</v>
      </c>
      <c r="BE237" s="10" t="s">
        <v>3</v>
      </c>
    </row>
    <row r="238" spans="1:59" x14ac:dyDescent="0.3">
      <c r="A238" s="10" t="s">
        <v>2044</v>
      </c>
      <c r="B238" s="10" t="s">
        <v>282</v>
      </c>
      <c r="C238" s="10" t="s">
        <v>2049</v>
      </c>
      <c r="E238" s="10">
        <v>2015</v>
      </c>
      <c r="F238" s="4" t="s">
        <v>2312</v>
      </c>
      <c r="G238" s="10" t="s">
        <v>855</v>
      </c>
      <c r="H238" s="10" t="s">
        <v>781</v>
      </c>
      <c r="J238" s="10" t="s">
        <v>516</v>
      </c>
      <c r="K238" s="10" t="s">
        <v>2047</v>
      </c>
      <c r="L238" s="10">
        <v>6</v>
      </c>
      <c r="M238" s="10">
        <v>6</v>
      </c>
      <c r="V238">
        <v>11</v>
      </c>
      <c r="AK238" s="10">
        <v>333</v>
      </c>
      <c r="AO238">
        <v>0.53</v>
      </c>
      <c r="AP238">
        <v>0.81</v>
      </c>
      <c r="AR238" s="14">
        <f t="shared" si="87"/>
        <v>1.34</v>
      </c>
      <c r="AS238" s="14"/>
      <c r="AT238" s="14"/>
      <c r="AU238" s="36"/>
      <c r="AV238" s="36"/>
      <c r="AW238" s="44"/>
      <c r="AX238" s="36"/>
      <c r="AY238" s="36"/>
      <c r="AZ238">
        <f t="shared" si="86"/>
        <v>143</v>
      </c>
      <c r="BA238" s="10" t="s">
        <v>14</v>
      </c>
      <c r="BC238" s="10" t="s">
        <v>3</v>
      </c>
      <c r="BD238" s="10" t="s">
        <v>2</v>
      </c>
      <c r="BE238" s="10" t="s">
        <v>3</v>
      </c>
    </row>
    <row r="239" spans="1:59" x14ac:dyDescent="0.3">
      <c r="A239" s="10" t="s">
        <v>2044</v>
      </c>
      <c r="B239" s="10" t="s">
        <v>282</v>
      </c>
      <c r="C239" s="10" t="s">
        <v>2049</v>
      </c>
      <c r="E239" s="10">
        <v>2016</v>
      </c>
      <c r="F239" s="4" t="s">
        <v>2312</v>
      </c>
      <c r="G239" s="10" t="s">
        <v>855</v>
      </c>
      <c r="H239" s="10" t="s">
        <v>781</v>
      </c>
      <c r="J239" s="10" t="s">
        <v>516</v>
      </c>
      <c r="K239" s="10" t="s">
        <v>2047</v>
      </c>
      <c r="L239" s="10">
        <v>6</v>
      </c>
      <c r="M239" s="10">
        <v>6</v>
      </c>
      <c r="V239">
        <v>12</v>
      </c>
      <c r="AK239" s="10">
        <v>333</v>
      </c>
      <c r="AO239">
        <v>0.52</v>
      </c>
      <c r="AP239">
        <v>0.87</v>
      </c>
      <c r="AR239" s="14">
        <f t="shared" si="87"/>
        <v>1.3900000000000001</v>
      </c>
      <c r="AS239" s="14"/>
      <c r="AT239" s="14"/>
      <c r="AU239" s="36"/>
      <c r="AV239" s="36"/>
      <c r="AW239" s="44"/>
      <c r="AX239" s="36"/>
      <c r="AY239" s="36"/>
      <c r="AZ239">
        <f t="shared" si="86"/>
        <v>143</v>
      </c>
      <c r="BA239" s="10" t="s">
        <v>14</v>
      </c>
      <c r="BC239" s="10" t="s">
        <v>3</v>
      </c>
      <c r="BD239" s="10" t="s">
        <v>2</v>
      </c>
      <c r="BE239" s="10" t="s">
        <v>3</v>
      </c>
    </row>
    <row r="240" spans="1:59" s="10" customFormat="1" x14ac:dyDescent="0.3">
      <c r="A240" s="26" t="s">
        <v>2045</v>
      </c>
      <c r="B240" s="10" t="s">
        <v>1055</v>
      </c>
      <c r="C240" s="10" t="s">
        <v>2053</v>
      </c>
      <c r="D240" s="10" t="s">
        <v>2052</v>
      </c>
      <c r="E240" s="10">
        <v>2015</v>
      </c>
      <c r="F240" s="4" t="s">
        <v>2312</v>
      </c>
      <c r="G240" s="10" t="s">
        <v>855</v>
      </c>
      <c r="H240" s="10" t="s">
        <v>4</v>
      </c>
      <c r="J240" s="10" t="s">
        <v>516</v>
      </c>
      <c r="K240" s="10" t="s">
        <v>461</v>
      </c>
      <c r="L240" s="10">
        <v>36</v>
      </c>
      <c r="M240" s="10">
        <v>36</v>
      </c>
      <c r="O240" s="10">
        <v>447.9</v>
      </c>
      <c r="P240" s="10">
        <v>248</v>
      </c>
      <c r="V240" s="10">
        <v>15</v>
      </c>
      <c r="Y240" s="10">
        <v>456.8</v>
      </c>
      <c r="Z240" s="10">
        <v>237</v>
      </c>
      <c r="AA240" s="25">
        <f t="shared" ref="AA240:AA245" si="88">Y240-(AL240)*Y240/10000</f>
        <v>355.59281437125748</v>
      </c>
      <c r="AB240" s="10">
        <f t="shared" ref="AB240:AB241" si="89">Z240*(1-AL240/10000)</f>
        <v>184.49101796407186</v>
      </c>
      <c r="AI240" s="10">
        <v>30</v>
      </c>
      <c r="AK240" s="25">
        <f>10000/(13*6)</f>
        <v>128.2051282051282</v>
      </c>
      <c r="AL240" s="25">
        <f>(100/(13+1.85*2))*(1.85*2)*100</f>
        <v>2215.5688622754492</v>
      </c>
      <c r="AO240" s="14">
        <f>AA240/O240</f>
        <v>0.79391117296552238</v>
      </c>
      <c r="AR240" s="14">
        <f t="shared" si="87"/>
        <v>0.79391117296552238</v>
      </c>
      <c r="AS240" s="14"/>
      <c r="AT240" s="14"/>
      <c r="AU240" s="44">
        <f>(AB240^2)/(O240^2)+(P240^2)*(AA240^2)/(O240^4)</f>
        <v>0.36289814051059677</v>
      </c>
      <c r="AV240" s="44"/>
      <c r="AW240" s="44"/>
      <c r="AX240" s="44">
        <f t="shared" ref="AX240:AX241" si="90">AU240+AV240+AW240</f>
        <v>0.36289814051059677</v>
      </c>
      <c r="AY240" s="44">
        <f t="shared" ref="AY240:AY301" si="91">SQRT(AX240)/AR240</f>
        <v>0.75878800603141006</v>
      </c>
      <c r="AZ240" s="10">
        <v>0</v>
      </c>
      <c r="BA240" s="10" t="s">
        <v>2584</v>
      </c>
      <c r="BB240" s="10" t="s">
        <v>3</v>
      </c>
      <c r="BD240" s="10" t="s">
        <v>2</v>
      </c>
      <c r="BE240" s="10" t="s">
        <v>2</v>
      </c>
      <c r="BF240" s="10" t="s">
        <v>2055</v>
      </c>
    </row>
    <row r="241" spans="1:58" s="10" customFormat="1" x14ac:dyDescent="0.3">
      <c r="A241" s="26" t="s">
        <v>2045</v>
      </c>
      <c r="B241" s="10" t="s">
        <v>1055</v>
      </c>
      <c r="C241" s="10" t="s">
        <v>2053</v>
      </c>
      <c r="D241" s="10" t="s">
        <v>2052</v>
      </c>
      <c r="E241" s="10">
        <v>2016</v>
      </c>
      <c r="F241" s="4" t="s">
        <v>2312</v>
      </c>
      <c r="G241" s="10" t="s">
        <v>855</v>
      </c>
      <c r="H241" s="10" t="s">
        <v>4</v>
      </c>
      <c r="J241" s="10" t="s">
        <v>516</v>
      </c>
      <c r="K241" s="10" t="s">
        <v>2054</v>
      </c>
      <c r="L241" s="10">
        <v>36</v>
      </c>
      <c r="M241" s="10">
        <v>36</v>
      </c>
      <c r="O241" s="10">
        <v>2027.9</v>
      </c>
      <c r="P241" s="10">
        <v>737</v>
      </c>
      <c r="V241" s="10">
        <v>21</v>
      </c>
      <c r="Y241" s="10">
        <v>624.9</v>
      </c>
      <c r="Z241" s="10">
        <v>308</v>
      </c>
      <c r="AA241" s="25">
        <f t="shared" si="88"/>
        <v>486.44910179640715</v>
      </c>
      <c r="AB241" s="10">
        <f t="shared" si="89"/>
        <v>239.76047904191617</v>
      </c>
      <c r="AI241" s="10">
        <v>15</v>
      </c>
      <c r="AK241" s="25">
        <f>10000/(13*2)</f>
        <v>384.61538461538464</v>
      </c>
      <c r="AL241" s="25">
        <f>(100/(13+1.85*2))*(1.85*2)*100</f>
        <v>2215.5688622754492</v>
      </c>
      <c r="AO241" s="14">
        <f>AA241/O241</f>
        <v>0.23987824932018695</v>
      </c>
      <c r="AR241" s="14">
        <f t="shared" si="87"/>
        <v>0.23987824932018695</v>
      </c>
      <c r="AS241" s="14"/>
      <c r="AT241" s="14"/>
      <c r="AU241" s="44">
        <f>(AB241^2)/(O241^2)+(P241^2)*(AA241^2)/(O241^4)</f>
        <v>2.1578725968538839E-2</v>
      </c>
      <c r="AV241" s="44"/>
      <c r="AW241" s="44"/>
      <c r="AX241" s="44">
        <f t="shared" si="90"/>
        <v>2.1578725968538839E-2</v>
      </c>
      <c r="AY241" s="44">
        <f t="shared" si="91"/>
        <v>0.61238145362844221</v>
      </c>
      <c r="AZ241" s="10">
        <f>180*0.34*2</f>
        <v>122.4</v>
      </c>
      <c r="BA241" s="10" t="s">
        <v>14</v>
      </c>
      <c r="BB241" s="10" t="s">
        <v>3</v>
      </c>
      <c r="BD241" s="10" t="s">
        <v>2</v>
      </c>
      <c r="BE241" s="10" t="s">
        <v>2</v>
      </c>
      <c r="BF241" s="10" t="s">
        <v>2055</v>
      </c>
    </row>
    <row r="242" spans="1:58" s="26" customFormat="1" x14ac:dyDescent="0.3">
      <c r="A242" s="26" t="s">
        <v>475</v>
      </c>
      <c r="B242" s="26" t="s">
        <v>60</v>
      </c>
      <c r="C242" s="26" t="s">
        <v>2258</v>
      </c>
      <c r="D242" s="26" t="s">
        <v>2259</v>
      </c>
      <c r="F242" s="4" t="s">
        <v>2312</v>
      </c>
      <c r="G242" s="26" t="s">
        <v>2260</v>
      </c>
      <c r="H242" s="26" t="s">
        <v>2261</v>
      </c>
      <c r="J242" s="26" t="s">
        <v>53</v>
      </c>
      <c r="K242" s="26" t="s">
        <v>2262</v>
      </c>
      <c r="L242" s="26">
        <v>11</v>
      </c>
      <c r="M242" s="26">
        <v>11</v>
      </c>
      <c r="O242" s="26">
        <v>563</v>
      </c>
      <c r="Y242" s="26">
        <v>487</v>
      </c>
      <c r="AA242" s="42"/>
      <c r="AI242" s="26">
        <v>6.7</v>
      </c>
      <c r="AJ242" s="26">
        <v>24.8</v>
      </c>
      <c r="AO242" s="20">
        <f>Y242/O242</f>
        <v>0.86500888099467144</v>
      </c>
      <c r="AR242" s="20">
        <f>AO242+AP242</f>
        <v>0.86500888099467144</v>
      </c>
      <c r="AS242" s="20"/>
      <c r="AT242" s="20"/>
      <c r="AU242" s="68"/>
      <c r="AY242" s="68"/>
      <c r="AZ242" s="26">
        <v>0</v>
      </c>
      <c r="BD242" s="26" t="s">
        <v>2</v>
      </c>
      <c r="BE242" s="26" t="s">
        <v>2</v>
      </c>
      <c r="BF242" s="26" t="s">
        <v>2597</v>
      </c>
    </row>
    <row r="243" spans="1:58" x14ac:dyDescent="0.3">
      <c r="A243" s="10" t="s">
        <v>2309</v>
      </c>
      <c r="B243" s="10" t="s">
        <v>1722</v>
      </c>
      <c r="C243" s="10" t="s">
        <v>2310</v>
      </c>
      <c r="D243" s="10" t="s">
        <v>2311</v>
      </c>
      <c r="E243" s="10">
        <v>2019</v>
      </c>
      <c r="F243" s="4" t="s">
        <v>2312</v>
      </c>
      <c r="G243" s="10" t="s">
        <v>2312</v>
      </c>
      <c r="H243" s="10" t="s">
        <v>17</v>
      </c>
      <c r="I243" s="10"/>
      <c r="J243" s="10" t="s">
        <v>994</v>
      </c>
      <c r="K243" s="10" t="s">
        <v>2313</v>
      </c>
      <c r="L243" s="10">
        <v>3</v>
      </c>
      <c r="M243" s="10">
        <v>3</v>
      </c>
      <c r="O243">
        <f>6.16*10000/6.25</f>
        <v>9856</v>
      </c>
      <c r="V243">
        <v>15</v>
      </c>
      <c r="Y243">
        <f>3.39*10000/6.25</f>
        <v>5424</v>
      </c>
      <c r="AA243" s="25">
        <f t="shared" si="88"/>
        <v>5371.1255448060101</v>
      </c>
      <c r="AK243" s="5">
        <f>10000/(3*3)</f>
        <v>1111.1111111111111</v>
      </c>
      <c r="AL243" s="3">
        <f>AK243*(1.05^2)/(4*PI())</f>
        <v>97.482402643785903</v>
      </c>
      <c r="AO243" s="3">
        <f t="shared" ref="AO243:AO266" si="92">AA243/O243</f>
        <v>0.54495997816619424</v>
      </c>
      <c r="AR243" s="3">
        <f>AO243</f>
        <v>0.54495997816619424</v>
      </c>
      <c r="AS243" s="3"/>
      <c r="AT243" s="3"/>
      <c r="AU243" s="36"/>
      <c r="AY243" s="36"/>
      <c r="BA243" t="s">
        <v>1</v>
      </c>
      <c r="BC243" t="s">
        <v>3</v>
      </c>
      <c r="BD243" s="10" t="s">
        <v>2</v>
      </c>
      <c r="BE243" t="s">
        <v>2</v>
      </c>
      <c r="BF243" t="s">
        <v>2314</v>
      </c>
    </row>
    <row r="244" spans="1:58" x14ac:dyDescent="0.3">
      <c r="A244" s="10" t="s">
        <v>2309</v>
      </c>
      <c r="B244" s="10" t="s">
        <v>1722</v>
      </c>
      <c r="C244" s="10" t="s">
        <v>2310</v>
      </c>
      <c r="D244" s="10" t="s">
        <v>2311</v>
      </c>
      <c r="E244" s="10">
        <v>2019</v>
      </c>
      <c r="F244" s="4" t="s">
        <v>2312</v>
      </c>
      <c r="G244" s="10" t="s">
        <v>2312</v>
      </c>
      <c r="H244" s="10" t="s">
        <v>17</v>
      </c>
      <c r="I244" s="10"/>
      <c r="J244" s="10" t="s">
        <v>994</v>
      </c>
      <c r="K244" s="10" t="s">
        <v>155</v>
      </c>
      <c r="L244" s="10">
        <v>3</v>
      </c>
      <c r="M244" s="10">
        <v>3</v>
      </c>
      <c r="O244">
        <f t="shared" ref="O244:O245" si="93">6.16*10000/6.25</f>
        <v>9856</v>
      </c>
      <c r="V244">
        <v>15</v>
      </c>
      <c r="Y244">
        <f>2.18*10000/6.25</f>
        <v>3488</v>
      </c>
      <c r="AA244" s="25">
        <f t="shared" si="88"/>
        <v>3460.1662761967868</v>
      </c>
      <c r="AK244" s="5">
        <f t="shared" ref="AK244:AK245" si="94">10000/(3*3)</f>
        <v>1111.1111111111111</v>
      </c>
      <c r="AL244" s="3">
        <f>AK244*(0.95^2)/(4*PI())</f>
        <v>79.798520078019749</v>
      </c>
      <c r="AO244" s="3">
        <f t="shared" si="92"/>
        <v>0.35107206536087526</v>
      </c>
      <c r="AR244" s="3">
        <f t="shared" ref="AR244:AR245" si="95">AO244</f>
        <v>0.35107206536087526</v>
      </c>
      <c r="AS244" s="3"/>
      <c r="AT244" s="3"/>
      <c r="AU244" s="36"/>
      <c r="AY244" s="36"/>
      <c r="BA244" t="s">
        <v>1</v>
      </c>
      <c r="BC244" t="s">
        <v>3</v>
      </c>
      <c r="BD244" s="10" t="s">
        <v>2</v>
      </c>
      <c r="BE244" t="s">
        <v>2</v>
      </c>
      <c r="BF244" t="s">
        <v>2314</v>
      </c>
    </row>
    <row r="245" spans="1:58" x14ac:dyDescent="0.3">
      <c r="A245" s="10" t="s">
        <v>2309</v>
      </c>
      <c r="B245" s="10" t="s">
        <v>1722</v>
      </c>
      <c r="C245" s="10" t="s">
        <v>2310</v>
      </c>
      <c r="D245" s="10" t="s">
        <v>2311</v>
      </c>
      <c r="E245" s="10">
        <v>2019</v>
      </c>
      <c r="F245" s="4" t="s">
        <v>2312</v>
      </c>
      <c r="G245" s="10" t="s">
        <v>2312</v>
      </c>
      <c r="H245" s="10" t="s">
        <v>17</v>
      </c>
      <c r="I245" s="10"/>
      <c r="J245" s="10" t="s">
        <v>994</v>
      </c>
      <c r="K245" s="10" t="s">
        <v>54</v>
      </c>
      <c r="L245" s="10">
        <v>3</v>
      </c>
      <c r="M245" s="10">
        <v>3</v>
      </c>
      <c r="O245">
        <f t="shared" si="93"/>
        <v>9856</v>
      </c>
      <c r="V245">
        <v>15</v>
      </c>
      <c r="Y245">
        <f>6.3*10000/6.25</f>
        <v>10080</v>
      </c>
      <c r="AA245" s="25">
        <f t="shared" si="88"/>
        <v>10002.9142582431</v>
      </c>
      <c r="AK245" s="5">
        <f t="shared" si="94"/>
        <v>1111.1111111111111</v>
      </c>
      <c r="AL245" s="3">
        <f>AK245*(0.93^2)/(4*PI())</f>
        <v>76.473950155655714</v>
      </c>
      <c r="AO245" s="3">
        <f t="shared" si="92"/>
        <v>1.0149060732795352</v>
      </c>
      <c r="AR245" s="3">
        <f t="shared" si="95"/>
        <v>1.0149060732795352</v>
      </c>
      <c r="AS245" s="3"/>
      <c r="AT245" s="3"/>
      <c r="AU245" s="36"/>
      <c r="AY245" s="36"/>
      <c r="BA245" t="s">
        <v>1</v>
      </c>
      <c r="BC245" t="s">
        <v>3</v>
      </c>
      <c r="BD245" s="10" t="s">
        <v>2</v>
      </c>
      <c r="BE245" t="s">
        <v>2</v>
      </c>
      <c r="BF245" t="s">
        <v>2314</v>
      </c>
    </row>
    <row r="246" spans="1:58" x14ac:dyDescent="0.3">
      <c r="A246" s="10" t="s">
        <v>2315</v>
      </c>
      <c r="B246" s="10" t="s">
        <v>81</v>
      </c>
      <c r="C246" s="10" t="s">
        <v>2316</v>
      </c>
      <c r="D246" t="s">
        <v>2318</v>
      </c>
      <c r="E246" s="10">
        <v>2012</v>
      </c>
      <c r="F246" s="4" t="s">
        <v>2312</v>
      </c>
      <c r="G246" s="10" t="s">
        <v>2312</v>
      </c>
      <c r="H246" s="10" t="s">
        <v>17</v>
      </c>
      <c r="I246" s="10"/>
      <c r="J246" s="10" t="s">
        <v>691</v>
      </c>
      <c r="K246" s="10" t="s">
        <v>2317</v>
      </c>
      <c r="L246" s="10">
        <v>3</v>
      </c>
      <c r="M246" s="10">
        <v>3</v>
      </c>
      <c r="O246">
        <v>3120</v>
      </c>
      <c r="P246" s="5">
        <f>340*SQRT(L246)</f>
        <v>588.89727457341826</v>
      </c>
      <c r="Q246">
        <v>900</v>
      </c>
      <c r="R246" s="5">
        <f>20*SQRT(L246)</f>
        <v>34.641016151377542</v>
      </c>
      <c r="Y246">
        <v>910</v>
      </c>
      <c r="Z246" s="5">
        <f>30*SQRT(L246)</f>
        <v>51.961524227066313</v>
      </c>
      <c r="AA246" s="25">
        <f>Y246*(1-2/4.5)</f>
        <v>505.5555555555556</v>
      </c>
      <c r="AB246" s="5">
        <f>Z246*(1-2/4.5)</f>
        <v>28.867513459481287</v>
      </c>
      <c r="AC246">
        <v>890</v>
      </c>
      <c r="AD246" s="5">
        <f>10*SQRT(3)</f>
        <v>17.320508075688771</v>
      </c>
      <c r="AE246">
        <f>AC246</f>
        <v>890</v>
      </c>
      <c r="AF246" s="5">
        <f>10*SQRT(3)</f>
        <v>17.320508075688771</v>
      </c>
      <c r="AK246" s="5">
        <f>10000/(4.5*2)</f>
        <v>1111.1111111111111</v>
      </c>
      <c r="AO246" s="3">
        <f t="shared" si="92"/>
        <v>0.16203703703703706</v>
      </c>
      <c r="AP246" s="3">
        <f t="shared" ref="AP246:AP251" si="96">AE246/Q246</f>
        <v>0.98888888888888893</v>
      </c>
      <c r="AR246" s="3">
        <f>AO246+AP246</f>
        <v>1.1509259259259259</v>
      </c>
      <c r="AS246" s="3"/>
      <c r="AT246" s="3"/>
      <c r="AU246" s="36">
        <f t="shared" ref="AU246:AU251" si="97">(AB246^2)/(O246^2)+(P246^2)*(AA246^2)/(O246^4)</f>
        <v>1.0210094724948122E-3</v>
      </c>
      <c r="AV246" s="36">
        <f t="shared" ref="AV246:AV251" si="98">(AF246^2)/(Q246^2)+(R246^2)*(AE246^2)/(Q246^4)</f>
        <v>1.8191129401005941E-3</v>
      </c>
      <c r="AX246" s="36">
        <f>AU246+AV246</f>
        <v>2.8401224125954062E-3</v>
      </c>
      <c r="AY246" s="36">
        <f t="shared" si="91"/>
        <v>4.6304282213781328E-2</v>
      </c>
      <c r="AZ246">
        <f>0.15*375</f>
        <v>56.25</v>
      </c>
      <c r="BA246" t="s">
        <v>14</v>
      </c>
      <c r="BC246" t="s">
        <v>2</v>
      </c>
      <c r="BD246" s="10" t="s">
        <v>2</v>
      </c>
      <c r="BE246" t="s">
        <v>3</v>
      </c>
    </row>
    <row r="247" spans="1:58" x14ac:dyDescent="0.3">
      <c r="A247" s="10" t="s">
        <v>2315</v>
      </c>
      <c r="B247" s="10" t="s">
        <v>81</v>
      </c>
      <c r="C247" s="10" t="s">
        <v>2316</v>
      </c>
      <c r="D247" t="s">
        <v>2318</v>
      </c>
      <c r="E247" s="10">
        <v>2012</v>
      </c>
      <c r="F247" s="4" t="s">
        <v>2312</v>
      </c>
      <c r="G247" s="10" t="s">
        <v>2312</v>
      </c>
      <c r="H247" s="10" t="s">
        <v>17</v>
      </c>
      <c r="I247" s="10"/>
      <c r="J247" s="10" t="s">
        <v>56</v>
      </c>
      <c r="K247" s="10" t="s">
        <v>2317</v>
      </c>
      <c r="L247" s="10">
        <v>3</v>
      </c>
      <c r="M247" s="10">
        <v>3</v>
      </c>
      <c r="O247">
        <v>6120</v>
      </c>
      <c r="P247" s="5">
        <f>530*SQRT(L247)</f>
        <v>917.98692801150492</v>
      </c>
      <c r="Q247">
        <v>900</v>
      </c>
      <c r="R247" s="5">
        <f>20*SQRT(L247)</f>
        <v>34.641016151377542</v>
      </c>
      <c r="Y247">
        <v>2250</v>
      </c>
      <c r="Z247" s="5">
        <f>150*SQRT(L247)</f>
        <v>259.8076211353316</v>
      </c>
      <c r="AA247" s="25">
        <f t="shared" ref="AA247:AA251" si="99">Y247*(1-2/4.5)</f>
        <v>1250</v>
      </c>
      <c r="AB247" s="5">
        <f t="shared" ref="AB247:AB251" si="100">Z247*(1-2/4.5)</f>
        <v>144.33756729740645</v>
      </c>
      <c r="AC247">
        <v>890</v>
      </c>
      <c r="AD247" s="5">
        <f t="shared" ref="AD247:AF251" si="101">10*SQRT(3)</f>
        <v>17.320508075688771</v>
      </c>
      <c r="AE247">
        <f t="shared" ref="AE247:AE251" si="102">AC247</f>
        <v>890</v>
      </c>
      <c r="AF247" s="5">
        <f t="shared" si="101"/>
        <v>17.320508075688771</v>
      </c>
      <c r="AK247" s="5">
        <f t="shared" ref="AK247:AK251" si="103">10000/(4.5*2)</f>
        <v>1111.1111111111111</v>
      </c>
      <c r="AO247" s="3">
        <f t="shared" si="92"/>
        <v>0.20424836601307189</v>
      </c>
      <c r="AP247" s="3">
        <f t="shared" si="96"/>
        <v>0.98888888888888893</v>
      </c>
      <c r="AR247" s="3">
        <f t="shared" ref="AR247:AR251" si="104">AO247+AP247</f>
        <v>1.1931372549019608</v>
      </c>
      <c r="AS247" s="3"/>
      <c r="AT247" s="3"/>
      <c r="AU247" s="36">
        <f t="shared" si="97"/>
        <v>1.4948465898760325E-3</v>
      </c>
      <c r="AV247" s="36">
        <f t="shared" si="98"/>
        <v>1.8191129401005941E-3</v>
      </c>
      <c r="AX247" s="36">
        <f t="shared" ref="AX247:AX251" si="105">AU247+AV247</f>
        <v>3.3139595299766268E-3</v>
      </c>
      <c r="AY247" s="36">
        <f t="shared" si="91"/>
        <v>4.8248430865260365E-2</v>
      </c>
      <c r="AZ247">
        <f t="shared" ref="AZ247:AZ248" si="106">0.15*375</f>
        <v>56.25</v>
      </c>
      <c r="BA247" t="s">
        <v>14</v>
      </c>
      <c r="BC247" t="s">
        <v>2</v>
      </c>
      <c r="BD247" s="10" t="s">
        <v>2</v>
      </c>
      <c r="BE247" t="s">
        <v>3</v>
      </c>
    </row>
    <row r="248" spans="1:58" x14ac:dyDescent="0.3">
      <c r="A248" s="10" t="s">
        <v>2315</v>
      </c>
      <c r="B248" s="10" t="s">
        <v>81</v>
      </c>
      <c r="C248" s="10" t="s">
        <v>2316</v>
      </c>
      <c r="D248" t="s">
        <v>2318</v>
      </c>
      <c r="E248" s="10">
        <v>2012</v>
      </c>
      <c r="F248" s="4" t="s">
        <v>2312</v>
      </c>
      <c r="G248" s="10" t="s">
        <v>2312</v>
      </c>
      <c r="H248" s="10" t="s">
        <v>17</v>
      </c>
      <c r="I248" s="10"/>
      <c r="J248" s="10" t="s">
        <v>255</v>
      </c>
      <c r="K248" s="10" t="s">
        <v>2317</v>
      </c>
      <c r="L248" s="10">
        <v>3</v>
      </c>
      <c r="M248" s="10">
        <v>3</v>
      </c>
      <c r="O248">
        <v>35400</v>
      </c>
      <c r="P248" s="5">
        <f>2810*SQRT(L248)</f>
        <v>4867.0627692685448</v>
      </c>
      <c r="Q248">
        <v>900</v>
      </c>
      <c r="R248" s="5">
        <f>20*SQRT(L248)</f>
        <v>34.641016151377542</v>
      </c>
      <c r="Y248">
        <v>11400</v>
      </c>
      <c r="Z248" s="5">
        <f>440*SQRT(L248)</f>
        <v>762.10235533030595</v>
      </c>
      <c r="AA248" s="25">
        <f t="shared" si="99"/>
        <v>6333.3333333333339</v>
      </c>
      <c r="AB248" s="5">
        <f t="shared" si="100"/>
        <v>423.39019740572553</v>
      </c>
      <c r="AC248">
        <v>890</v>
      </c>
      <c r="AD248" s="5">
        <f t="shared" si="101"/>
        <v>17.320508075688771</v>
      </c>
      <c r="AE248">
        <f t="shared" si="102"/>
        <v>890</v>
      </c>
      <c r="AF248" s="5">
        <f t="shared" si="101"/>
        <v>17.320508075688771</v>
      </c>
      <c r="AK248" s="5">
        <f t="shared" si="103"/>
        <v>1111.1111111111111</v>
      </c>
      <c r="AO248" s="3">
        <f t="shared" si="92"/>
        <v>0.17890772128060264</v>
      </c>
      <c r="AP248" s="3">
        <f t="shared" si="96"/>
        <v>0.98888888888888893</v>
      </c>
      <c r="AR248" s="3">
        <f t="shared" si="104"/>
        <v>1.1677966101694917</v>
      </c>
      <c r="AS248" s="3"/>
      <c r="AT248" s="3"/>
      <c r="AU248" s="36">
        <f t="shared" si="97"/>
        <v>7.4808780983254763E-4</v>
      </c>
      <c r="AV248" s="36">
        <f t="shared" si="98"/>
        <v>1.8191129401005941E-3</v>
      </c>
      <c r="AX248" s="36">
        <f t="shared" si="105"/>
        <v>2.5672007499331416E-3</v>
      </c>
      <c r="AY248" s="36">
        <f t="shared" si="91"/>
        <v>4.3387308039222153E-2</v>
      </c>
      <c r="AZ248">
        <f t="shared" si="106"/>
        <v>56.25</v>
      </c>
      <c r="BA248" t="s">
        <v>14</v>
      </c>
      <c r="BC248" t="s">
        <v>2</v>
      </c>
      <c r="BD248" s="10" t="s">
        <v>2</v>
      </c>
      <c r="BE248" t="s">
        <v>3</v>
      </c>
    </row>
    <row r="249" spans="1:58" x14ac:dyDescent="0.3">
      <c r="A249" s="10" t="s">
        <v>2315</v>
      </c>
      <c r="B249" s="10" t="s">
        <v>81</v>
      </c>
      <c r="C249" s="10" t="s">
        <v>2316</v>
      </c>
      <c r="D249" t="s">
        <v>2318</v>
      </c>
      <c r="E249" s="10">
        <v>2013</v>
      </c>
      <c r="F249" s="4" t="s">
        <v>2312</v>
      </c>
      <c r="G249" s="10" t="s">
        <v>2312</v>
      </c>
      <c r="H249" s="10" t="s">
        <v>17</v>
      </c>
      <c r="I249" s="10"/>
      <c r="J249" s="10" t="s">
        <v>691</v>
      </c>
      <c r="K249" s="10" t="s">
        <v>2317</v>
      </c>
      <c r="L249" s="10">
        <v>3</v>
      </c>
      <c r="M249" s="10">
        <v>3</v>
      </c>
      <c r="O249">
        <v>2780</v>
      </c>
      <c r="P249" s="5">
        <f>110*SQRT(L249)</f>
        <v>190.52558883257649</v>
      </c>
      <c r="Q249">
        <v>740</v>
      </c>
      <c r="R249">
        <v>0</v>
      </c>
      <c r="Y249">
        <v>1150</v>
      </c>
      <c r="Z249" s="5">
        <f>40*SQRT(L249)</f>
        <v>69.282032302755084</v>
      </c>
      <c r="AA249" s="25">
        <f t="shared" si="99"/>
        <v>638.88888888888891</v>
      </c>
      <c r="AB249" s="5">
        <f t="shared" si="100"/>
        <v>38.490017945975048</v>
      </c>
      <c r="AC249">
        <v>740</v>
      </c>
      <c r="AD249" s="5">
        <f t="shared" si="101"/>
        <v>17.320508075688771</v>
      </c>
      <c r="AE249">
        <f t="shared" si="102"/>
        <v>740</v>
      </c>
      <c r="AF249" s="5">
        <f t="shared" si="101"/>
        <v>17.320508075688771</v>
      </c>
      <c r="AK249" s="5">
        <f t="shared" si="103"/>
        <v>1111.1111111111111</v>
      </c>
      <c r="AO249" s="3">
        <f t="shared" si="92"/>
        <v>0.22981614708233414</v>
      </c>
      <c r="AP249" s="3">
        <f t="shared" si="96"/>
        <v>1</v>
      </c>
      <c r="AR249" s="3">
        <f t="shared" si="104"/>
        <v>1.2298161470823341</v>
      </c>
      <c r="AS249" s="3"/>
      <c r="AT249" s="3"/>
      <c r="AU249" s="36">
        <f t="shared" si="97"/>
        <v>4.3976537607669079E-4</v>
      </c>
      <c r="AV249" s="36">
        <f t="shared" si="98"/>
        <v>5.4784514243973691E-4</v>
      </c>
      <c r="AX249" s="36">
        <f t="shared" si="105"/>
        <v>9.8761051851642759E-4</v>
      </c>
      <c r="AY249" s="36">
        <f t="shared" si="91"/>
        <v>2.5553633546376509E-2</v>
      </c>
      <c r="AZ249">
        <f>225*0.46</f>
        <v>103.5</v>
      </c>
      <c r="BA249" t="s">
        <v>14</v>
      </c>
      <c r="BC249" t="s">
        <v>2</v>
      </c>
      <c r="BD249" s="10" t="s">
        <v>2</v>
      </c>
      <c r="BE249" t="s">
        <v>3</v>
      </c>
    </row>
    <row r="250" spans="1:58" x14ac:dyDescent="0.3">
      <c r="A250" s="10" t="s">
        <v>2315</v>
      </c>
      <c r="B250" s="10" t="s">
        <v>81</v>
      </c>
      <c r="C250" s="10" t="s">
        <v>2316</v>
      </c>
      <c r="D250" t="s">
        <v>2318</v>
      </c>
      <c r="E250" s="10">
        <v>2013</v>
      </c>
      <c r="F250" s="4" t="s">
        <v>2312</v>
      </c>
      <c r="G250" s="10" t="s">
        <v>2312</v>
      </c>
      <c r="H250" s="10" t="s">
        <v>17</v>
      </c>
      <c r="I250" s="10"/>
      <c r="J250" s="10" t="s">
        <v>56</v>
      </c>
      <c r="K250" s="10" t="s">
        <v>2317</v>
      </c>
      <c r="L250" s="10">
        <v>3</v>
      </c>
      <c r="M250" s="10">
        <v>3</v>
      </c>
      <c r="O250">
        <v>5060</v>
      </c>
      <c r="P250" s="5">
        <f>250*SQRT(L250)</f>
        <v>433.0127018922193</v>
      </c>
      <c r="Q250">
        <v>740</v>
      </c>
      <c r="R250">
        <v>0</v>
      </c>
      <c r="Y250">
        <v>2750</v>
      </c>
      <c r="Z250" s="5">
        <f>20*SQRT(L250)</f>
        <v>34.641016151377542</v>
      </c>
      <c r="AA250" s="25">
        <f t="shared" si="99"/>
        <v>1527.7777777777778</v>
      </c>
      <c r="AB250" s="5">
        <f t="shared" si="100"/>
        <v>19.245008972987524</v>
      </c>
      <c r="AC250">
        <v>730</v>
      </c>
      <c r="AD250" s="5">
        <f t="shared" si="101"/>
        <v>17.320508075688771</v>
      </c>
      <c r="AE250">
        <f t="shared" si="102"/>
        <v>730</v>
      </c>
      <c r="AF250" s="5">
        <f t="shared" si="101"/>
        <v>17.320508075688771</v>
      </c>
      <c r="AK250" s="5">
        <f t="shared" si="103"/>
        <v>1111.1111111111111</v>
      </c>
      <c r="AO250" s="3">
        <f t="shared" si="92"/>
        <v>0.30193236714975846</v>
      </c>
      <c r="AP250" s="3">
        <f t="shared" si="96"/>
        <v>0.98648648648648651</v>
      </c>
      <c r="AR250" s="3">
        <f t="shared" si="104"/>
        <v>1.2884188536362449</v>
      </c>
      <c r="AS250" s="3"/>
      <c r="AT250" s="3"/>
      <c r="AU250" s="36">
        <f t="shared" si="97"/>
        <v>6.8207056069238185E-4</v>
      </c>
      <c r="AV250" s="36">
        <f t="shared" si="98"/>
        <v>5.4784514243973691E-4</v>
      </c>
      <c r="AX250" s="36">
        <f t="shared" si="105"/>
        <v>1.2299157031321188E-3</v>
      </c>
      <c r="AY250" s="36">
        <f t="shared" si="91"/>
        <v>2.7219528744941074E-2</v>
      </c>
      <c r="AZ250">
        <f t="shared" ref="AZ250:AZ251" si="107">225*0.46</f>
        <v>103.5</v>
      </c>
      <c r="BA250" t="s">
        <v>14</v>
      </c>
      <c r="BC250" t="s">
        <v>2</v>
      </c>
      <c r="BD250" s="10" t="s">
        <v>2</v>
      </c>
      <c r="BE250" t="s">
        <v>3</v>
      </c>
    </row>
    <row r="251" spans="1:58" x14ac:dyDescent="0.3">
      <c r="A251" s="10" t="s">
        <v>2315</v>
      </c>
      <c r="B251" s="10" t="s">
        <v>81</v>
      </c>
      <c r="C251" s="10" t="s">
        <v>2316</v>
      </c>
      <c r="D251" t="s">
        <v>2318</v>
      </c>
      <c r="E251" s="10">
        <v>2013</v>
      </c>
      <c r="F251" s="4" t="s">
        <v>2312</v>
      </c>
      <c r="G251" s="10" t="s">
        <v>2312</v>
      </c>
      <c r="H251" s="10" t="s">
        <v>17</v>
      </c>
      <c r="I251" s="10"/>
      <c r="J251" s="10" t="s">
        <v>255</v>
      </c>
      <c r="K251" s="10" t="s">
        <v>2317</v>
      </c>
      <c r="L251" s="10">
        <v>3</v>
      </c>
      <c r="M251" s="10">
        <v>3</v>
      </c>
      <c r="O251">
        <v>33000</v>
      </c>
      <c r="P251" s="5">
        <f>2220*SQRT(L251)</f>
        <v>3845.1527928029072</v>
      </c>
      <c r="Q251">
        <v>740</v>
      </c>
      <c r="R251">
        <v>0</v>
      </c>
      <c r="Y251">
        <v>12700</v>
      </c>
      <c r="Z251" s="5">
        <f>260*SQRT(L251)</f>
        <v>450.33320996790809</v>
      </c>
      <c r="AA251" s="25">
        <f t="shared" si="99"/>
        <v>7055.5555555555557</v>
      </c>
      <c r="AB251" s="5">
        <f t="shared" si="100"/>
        <v>250.18511664883783</v>
      </c>
      <c r="AC251">
        <v>720</v>
      </c>
      <c r="AD251" s="5">
        <f t="shared" si="101"/>
        <v>17.320508075688771</v>
      </c>
      <c r="AE251">
        <f t="shared" si="102"/>
        <v>720</v>
      </c>
      <c r="AF251" s="5">
        <f t="shared" si="101"/>
        <v>17.320508075688771</v>
      </c>
      <c r="AK251" s="5">
        <f t="shared" si="103"/>
        <v>1111.1111111111111</v>
      </c>
      <c r="AO251" s="3">
        <f t="shared" si="92"/>
        <v>0.2138047138047138</v>
      </c>
      <c r="AP251" s="3">
        <f t="shared" si="96"/>
        <v>0.97297297297297303</v>
      </c>
      <c r="AR251" s="3">
        <f t="shared" si="104"/>
        <v>1.1867776867776869</v>
      </c>
      <c r="AS251" s="3"/>
      <c r="AT251" s="3"/>
      <c r="AU251" s="36">
        <f t="shared" si="97"/>
        <v>6.7810871606680933E-4</v>
      </c>
      <c r="AV251" s="36">
        <f t="shared" si="98"/>
        <v>5.4784514243973691E-4</v>
      </c>
      <c r="AX251" s="36">
        <f t="shared" si="105"/>
        <v>1.2259538585065463E-3</v>
      </c>
      <c r="AY251" s="36">
        <f t="shared" si="91"/>
        <v>2.9503102635491572E-2</v>
      </c>
      <c r="AZ251">
        <f t="shared" si="107"/>
        <v>103.5</v>
      </c>
      <c r="BA251" t="s">
        <v>14</v>
      </c>
      <c r="BC251" t="s">
        <v>2</v>
      </c>
      <c r="BD251" s="10" t="s">
        <v>2</v>
      </c>
      <c r="BE251" t="s">
        <v>3</v>
      </c>
    </row>
    <row r="252" spans="1:58" x14ac:dyDescent="0.3">
      <c r="A252" s="10" t="s">
        <v>2319</v>
      </c>
      <c r="B252" s="10" t="s">
        <v>50</v>
      </c>
      <c r="C252" s="10" t="s">
        <v>2320</v>
      </c>
      <c r="D252" t="s">
        <v>2321</v>
      </c>
      <c r="E252" s="10">
        <v>2019</v>
      </c>
      <c r="F252" s="4" t="s">
        <v>2312</v>
      </c>
      <c r="G252" s="10" t="s">
        <v>2312</v>
      </c>
      <c r="H252" s="10" t="s">
        <v>17</v>
      </c>
      <c r="I252" s="10"/>
      <c r="J252" s="10" t="s">
        <v>673</v>
      </c>
      <c r="K252" s="10" t="s">
        <v>461</v>
      </c>
      <c r="L252" s="10">
        <v>3</v>
      </c>
      <c r="M252" s="10">
        <v>3</v>
      </c>
      <c r="O252">
        <v>27500</v>
      </c>
      <c r="Y252">
        <v>18000</v>
      </c>
      <c r="AA252" s="25">
        <f>Y252</f>
        <v>18000</v>
      </c>
      <c r="AK252" s="5">
        <f>10000/(8*2.5)</f>
        <v>500</v>
      </c>
      <c r="AO252" s="3">
        <f t="shared" si="92"/>
        <v>0.65454545454545454</v>
      </c>
      <c r="AR252" s="3">
        <f>AO252</f>
        <v>0.65454545454545454</v>
      </c>
      <c r="AS252" s="3"/>
      <c r="AT252" s="3"/>
      <c r="AU252" s="36"/>
      <c r="AV252" s="36"/>
      <c r="AY252" s="36"/>
      <c r="AZ252">
        <v>100</v>
      </c>
      <c r="BA252" t="s">
        <v>14</v>
      </c>
      <c r="BC252" t="s">
        <v>3</v>
      </c>
      <c r="BD252" s="10" t="s">
        <v>2</v>
      </c>
      <c r="BE252" t="s">
        <v>2</v>
      </c>
      <c r="BF252" t="s">
        <v>2048</v>
      </c>
    </row>
    <row r="253" spans="1:58" x14ac:dyDescent="0.3">
      <c r="A253" s="10" t="s">
        <v>2319</v>
      </c>
      <c r="B253" s="10" t="s">
        <v>50</v>
      </c>
      <c r="C253" s="10" t="s">
        <v>2320</v>
      </c>
      <c r="D253" t="s">
        <v>2321</v>
      </c>
      <c r="E253" s="10">
        <v>2020</v>
      </c>
      <c r="F253" s="4" t="s">
        <v>2312</v>
      </c>
      <c r="G253" s="10" t="s">
        <v>2312</v>
      </c>
      <c r="H253" s="10" t="s">
        <v>17</v>
      </c>
      <c r="I253" s="10"/>
      <c r="J253" s="10" t="s">
        <v>673</v>
      </c>
      <c r="K253" s="10" t="s">
        <v>461</v>
      </c>
      <c r="L253" s="10">
        <v>3</v>
      </c>
      <c r="M253" s="10">
        <v>3</v>
      </c>
      <c r="O253">
        <v>23900</v>
      </c>
      <c r="Y253">
        <v>15100</v>
      </c>
      <c r="AA253" s="25">
        <f>Y253</f>
        <v>15100</v>
      </c>
      <c r="AK253">
        <v>500</v>
      </c>
      <c r="AO253" s="3">
        <f t="shared" si="92"/>
        <v>0.63179916317991636</v>
      </c>
      <c r="AR253" s="3">
        <f>AO253</f>
        <v>0.63179916317991636</v>
      </c>
      <c r="AS253" s="3"/>
      <c r="AT253" s="3"/>
      <c r="AU253" s="36"/>
      <c r="AV253" s="36"/>
      <c r="AY253" s="36"/>
      <c r="AZ253">
        <v>100</v>
      </c>
      <c r="BA253" t="s">
        <v>14</v>
      </c>
      <c r="BC253" t="s">
        <v>3</v>
      </c>
      <c r="BD253" s="10" t="s">
        <v>2</v>
      </c>
      <c r="BE253" t="s">
        <v>2</v>
      </c>
      <c r="BF253" t="s">
        <v>2048</v>
      </c>
    </row>
    <row r="254" spans="1:58" x14ac:dyDescent="0.3">
      <c r="A254" s="10" t="s">
        <v>2322</v>
      </c>
      <c r="B254" s="10" t="s">
        <v>50</v>
      </c>
      <c r="C254" s="10" t="s">
        <v>2324</v>
      </c>
      <c r="D254" t="s">
        <v>2323</v>
      </c>
      <c r="E254" s="10" t="s">
        <v>2327</v>
      </c>
      <c r="F254" s="4" t="s">
        <v>2312</v>
      </c>
      <c r="G254" s="10" t="s">
        <v>2312</v>
      </c>
      <c r="H254" s="10" t="s">
        <v>17</v>
      </c>
      <c r="I254" s="10"/>
      <c r="J254" s="10" t="s">
        <v>2325</v>
      </c>
      <c r="K254" s="10" t="s">
        <v>2326</v>
      </c>
      <c r="L254" s="10">
        <v>3</v>
      </c>
      <c r="M254" s="10">
        <v>3</v>
      </c>
      <c r="O254">
        <v>2300</v>
      </c>
      <c r="S254">
        <v>4390</v>
      </c>
      <c r="U254" t="s">
        <v>2330</v>
      </c>
      <c r="Y254">
        <v>2110</v>
      </c>
      <c r="AA254" s="25">
        <f>Y254</f>
        <v>2110</v>
      </c>
      <c r="AG254">
        <v>2760</v>
      </c>
      <c r="AO254" s="3">
        <f t="shared" si="92"/>
        <v>0.91739130434782612</v>
      </c>
      <c r="AP254" s="3">
        <f>AG254/S254</f>
        <v>0.62870159453302965</v>
      </c>
      <c r="AR254" s="3">
        <f>AO254+AP254+AQ254</f>
        <v>1.5460928988808558</v>
      </c>
      <c r="AS254" s="3"/>
      <c r="AT254" s="3"/>
      <c r="AU254" s="36"/>
      <c r="AV254" s="36"/>
      <c r="AY254" s="36"/>
      <c r="AZ254">
        <v>20</v>
      </c>
      <c r="BA254" t="s">
        <v>14</v>
      </c>
      <c r="BB254" t="s">
        <v>3</v>
      </c>
      <c r="BC254" t="s">
        <v>3</v>
      </c>
      <c r="BD254" s="10" t="s">
        <v>2</v>
      </c>
      <c r="BE254" t="s">
        <v>3</v>
      </c>
    </row>
    <row r="255" spans="1:58" x14ac:dyDescent="0.3">
      <c r="A255" s="10" t="s">
        <v>2322</v>
      </c>
      <c r="B255" s="10" t="s">
        <v>50</v>
      </c>
      <c r="C255" s="10" t="s">
        <v>2324</v>
      </c>
      <c r="D255" t="s">
        <v>2323</v>
      </c>
      <c r="E255" s="10" t="s">
        <v>2327</v>
      </c>
      <c r="F255" s="4" t="s">
        <v>2312</v>
      </c>
      <c r="G255" s="10" t="s">
        <v>2312</v>
      </c>
      <c r="H255" s="10" t="s">
        <v>17</v>
      </c>
      <c r="I255" s="10"/>
      <c r="J255" s="10" t="s">
        <v>2328</v>
      </c>
      <c r="K255" s="10" t="s">
        <v>2326</v>
      </c>
      <c r="L255" s="10">
        <v>3</v>
      </c>
      <c r="M255" s="10">
        <v>3</v>
      </c>
      <c r="O255">
        <v>1250</v>
      </c>
      <c r="S255">
        <v>4390</v>
      </c>
      <c r="U255" t="s">
        <v>2330</v>
      </c>
      <c r="Y255">
        <v>620</v>
      </c>
      <c r="AA255" s="25">
        <v>620</v>
      </c>
      <c r="AG255">
        <v>4640</v>
      </c>
      <c r="AO255" s="3">
        <f t="shared" si="92"/>
        <v>0.496</v>
      </c>
      <c r="AP255" s="3">
        <f>AG255/S255</f>
        <v>1.0569476082004556</v>
      </c>
      <c r="AR255" s="3">
        <f t="shared" ref="AR255:AR266" si="108">AO255+AP255+AQ255</f>
        <v>1.5529476082004556</v>
      </c>
      <c r="AS255" s="3"/>
      <c r="AT255" s="3"/>
      <c r="AU255" s="36"/>
      <c r="AV255" s="36"/>
      <c r="AY255" s="36"/>
      <c r="AZ255">
        <v>20</v>
      </c>
      <c r="BA255" t="s">
        <v>14</v>
      </c>
      <c r="BB255" t="s">
        <v>3</v>
      </c>
      <c r="BC255" t="s">
        <v>3</v>
      </c>
      <c r="BD255" s="10" t="s">
        <v>2</v>
      </c>
      <c r="BE255" t="s">
        <v>3</v>
      </c>
    </row>
    <row r="256" spans="1:58" x14ac:dyDescent="0.3">
      <c r="A256" s="10" t="s">
        <v>2322</v>
      </c>
      <c r="B256" s="10" t="s">
        <v>50</v>
      </c>
      <c r="C256" s="10" t="s">
        <v>2324</v>
      </c>
      <c r="D256" t="s">
        <v>2323</v>
      </c>
      <c r="E256" s="10" t="s">
        <v>2327</v>
      </c>
      <c r="F256" s="4" t="s">
        <v>2312</v>
      </c>
      <c r="G256" s="10" t="s">
        <v>2312</v>
      </c>
      <c r="H256" s="10" t="s">
        <v>17</v>
      </c>
      <c r="I256" s="10"/>
      <c r="J256" s="10" t="s">
        <v>2328</v>
      </c>
      <c r="K256" s="10" t="s">
        <v>2325</v>
      </c>
      <c r="L256" s="10">
        <v>3</v>
      </c>
      <c r="M256" s="10">
        <v>3</v>
      </c>
      <c r="O256">
        <v>1250</v>
      </c>
      <c r="Q256">
        <v>2300</v>
      </c>
      <c r="Y256">
        <v>660</v>
      </c>
      <c r="AA256" s="25">
        <v>660</v>
      </c>
      <c r="AC256">
        <v>2440</v>
      </c>
      <c r="AE256">
        <v>2440</v>
      </c>
      <c r="AO256" s="3">
        <f t="shared" si="92"/>
        <v>0.52800000000000002</v>
      </c>
      <c r="AP256" s="3">
        <f>AE256/Q256</f>
        <v>1.0608695652173914</v>
      </c>
      <c r="AR256" s="3">
        <f t="shared" si="108"/>
        <v>1.5888695652173914</v>
      </c>
      <c r="AS256" s="3"/>
      <c r="AT256" s="3"/>
      <c r="AU256" s="36"/>
      <c r="AV256" s="36"/>
      <c r="AY256" s="36"/>
      <c r="AZ256">
        <v>20</v>
      </c>
      <c r="BA256" t="s">
        <v>14</v>
      </c>
      <c r="BB256" t="s">
        <v>3</v>
      </c>
      <c r="BC256" t="s">
        <v>3</v>
      </c>
      <c r="BD256" s="10" t="s">
        <v>2</v>
      </c>
      <c r="BE256" t="s">
        <v>3</v>
      </c>
    </row>
    <row r="257" spans="1:58" x14ac:dyDescent="0.3">
      <c r="A257" s="10" t="s">
        <v>2322</v>
      </c>
      <c r="B257" s="10" t="s">
        <v>50</v>
      </c>
      <c r="C257" s="10" t="s">
        <v>2324</v>
      </c>
      <c r="D257" t="s">
        <v>2323</v>
      </c>
      <c r="E257" s="10" t="s">
        <v>2327</v>
      </c>
      <c r="F257" s="4" t="s">
        <v>2312</v>
      </c>
      <c r="G257" s="10" t="s">
        <v>2312</v>
      </c>
      <c r="H257" s="10" t="s">
        <v>17</v>
      </c>
      <c r="I257" s="10"/>
      <c r="J257" s="10" t="s">
        <v>2329</v>
      </c>
      <c r="K257" s="10" t="s">
        <v>2326</v>
      </c>
      <c r="L257" s="10">
        <v>3</v>
      </c>
      <c r="M257" s="10">
        <v>3</v>
      </c>
      <c r="O257">
        <v>2300</v>
      </c>
      <c r="Q257">
        <v>1250</v>
      </c>
      <c r="S257">
        <v>4390</v>
      </c>
      <c r="U257" t="s">
        <v>2330</v>
      </c>
      <c r="Y257">
        <v>2230</v>
      </c>
      <c r="AA257" s="25">
        <v>2230</v>
      </c>
      <c r="AC257">
        <v>520</v>
      </c>
      <c r="AE257">
        <v>520</v>
      </c>
      <c r="AG257">
        <v>2900</v>
      </c>
      <c r="AO257" s="3">
        <f t="shared" si="92"/>
        <v>0.9695652173913043</v>
      </c>
      <c r="AP257" s="3">
        <f>AE257/Q257</f>
        <v>0.41599999999999998</v>
      </c>
      <c r="AQ257" s="3">
        <f>AG257/S257</f>
        <v>0.66059225512528474</v>
      </c>
      <c r="AR257" s="3">
        <f t="shared" si="108"/>
        <v>2.046157472516589</v>
      </c>
      <c r="AS257" s="3"/>
      <c r="AT257" s="3"/>
      <c r="AU257" s="36"/>
      <c r="AV257" s="36"/>
      <c r="AY257" s="36"/>
      <c r="AZ257">
        <v>20</v>
      </c>
      <c r="BA257" t="s">
        <v>14</v>
      </c>
      <c r="BB257" t="s">
        <v>3</v>
      </c>
      <c r="BC257" t="s">
        <v>3</v>
      </c>
      <c r="BD257" s="10" t="s">
        <v>2</v>
      </c>
      <c r="BE257" t="s">
        <v>3</v>
      </c>
    </row>
    <row r="258" spans="1:58" s="10" customFormat="1" x14ac:dyDescent="0.3">
      <c r="A258" s="10" t="s">
        <v>2331</v>
      </c>
      <c r="B258" s="10" t="s">
        <v>100</v>
      </c>
      <c r="D258" s="10" t="s">
        <v>2332</v>
      </c>
      <c r="E258" s="10">
        <v>1991</v>
      </c>
      <c r="F258" s="4" t="s">
        <v>2312</v>
      </c>
      <c r="G258" s="10" t="s">
        <v>2312</v>
      </c>
      <c r="H258" s="10" t="s">
        <v>17</v>
      </c>
      <c r="J258" s="10" t="s">
        <v>151</v>
      </c>
      <c r="K258" s="10" t="s">
        <v>77</v>
      </c>
      <c r="L258" s="10">
        <v>3</v>
      </c>
      <c r="M258" s="10">
        <v>3</v>
      </c>
      <c r="O258" s="10">
        <v>2800</v>
      </c>
      <c r="Y258" s="10">
        <v>3000</v>
      </c>
      <c r="AA258" s="25">
        <f>Y258</f>
        <v>3000</v>
      </c>
      <c r="AK258" s="10">
        <v>5000</v>
      </c>
      <c r="AO258" s="14">
        <f t="shared" si="92"/>
        <v>1.0714285714285714</v>
      </c>
      <c r="AR258" s="3">
        <f t="shared" si="108"/>
        <v>1.0714285714285714</v>
      </c>
      <c r="AS258" s="3"/>
      <c r="AT258" s="3"/>
      <c r="AU258" s="36"/>
      <c r="AV258" s="36"/>
      <c r="AY258" s="36"/>
      <c r="BD258" s="10" t="s">
        <v>2</v>
      </c>
      <c r="BE258" s="10" t="s">
        <v>3</v>
      </c>
      <c r="BF258" s="10" t="s">
        <v>2333</v>
      </c>
    </row>
    <row r="259" spans="1:58" s="10" customFormat="1" x14ac:dyDescent="0.3">
      <c r="A259" s="10" t="s">
        <v>2331</v>
      </c>
      <c r="B259" s="10" t="s">
        <v>100</v>
      </c>
      <c r="D259" s="10" t="s">
        <v>2332</v>
      </c>
      <c r="E259" s="10">
        <v>1992</v>
      </c>
      <c r="F259" s="4" t="s">
        <v>2312</v>
      </c>
      <c r="G259" s="10" t="s">
        <v>2312</v>
      </c>
      <c r="H259" s="10" t="s">
        <v>17</v>
      </c>
      <c r="J259" s="10" t="s">
        <v>151</v>
      </c>
      <c r="K259" s="10" t="s">
        <v>77</v>
      </c>
      <c r="L259" s="10">
        <v>3</v>
      </c>
      <c r="M259" s="10">
        <v>3</v>
      </c>
      <c r="O259" s="10">
        <v>5200</v>
      </c>
      <c r="Y259" s="10">
        <v>4400</v>
      </c>
      <c r="AA259" s="25">
        <f t="shared" ref="AA259:AA266" si="109">Y259</f>
        <v>4400</v>
      </c>
      <c r="AK259" s="10">
        <v>5000</v>
      </c>
      <c r="AO259" s="14">
        <f t="shared" si="92"/>
        <v>0.84615384615384615</v>
      </c>
      <c r="AR259" s="3">
        <f t="shared" si="108"/>
        <v>0.84615384615384615</v>
      </c>
      <c r="AS259" s="3"/>
      <c r="AT259" s="3"/>
      <c r="AU259" s="36"/>
      <c r="AV259" s="36"/>
      <c r="AY259" s="36"/>
      <c r="BD259" s="10" t="s">
        <v>2</v>
      </c>
      <c r="BE259" s="10" t="s">
        <v>3</v>
      </c>
      <c r="BF259" s="10" t="s">
        <v>2333</v>
      </c>
    </row>
    <row r="260" spans="1:58" s="10" customFormat="1" x14ac:dyDescent="0.3">
      <c r="A260" s="10" t="s">
        <v>2331</v>
      </c>
      <c r="B260" s="10" t="s">
        <v>100</v>
      </c>
      <c r="D260" s="10" t="s">
        <v>2332</v>
      </c>
      <c r="E260" s="10">
        <v>1993</v>
      </c>
      <c r="F260" s="4" t="s">
        <v>2312</v>
      </c>
      <c r="G260" s="10" t="s">
        <v>2312</v>
      </c>
      <c r="H260" s="10" t="s">
        <v>17</v>
      </c>
      <c r="J260" s="10" t="s">
        <v>151</v>
      </c>
      <c r="K260" s="10" t="s">
        <v>77</v>
      </c>
      <c r="L260" s="10">
        <v>3</v>
      </c>
      <c r="M260" s="10">
        <v>3</v>
      </c>
      <c r="O260" s="10">
        <v>3600</v>
      </c>
      <c r="Y260" s="10">
        <v>5100</v>
      </c>
      <c r="AA260" s="25">
        <f t="shared" si="109"/>
        <v>5100</v>
      </c>
      <c r="AK260" s="10">
        <v>5000</v>
      </c>
      <c r="AO260" s="14">
        <f t="shared" si="92"/>
        <v>1.4166666666666667</v>
      </c>
      <c r="AR260" s="3">
        <f t="shared" si="108"/>
        <v>1.4166666666666667</v>
      </c>
      <c r="AS260" s="3"/>
      <c r="AT260" s="3"/>
      <c r="AU260" s="36"/>
      <c r="AV260" s="36"/>
      <c r="AY260" s="36"/>
      <c r="BD260" s="10" t="s">
        <v>2</v>
      </c>
      <c r="BE260" s="10" t="s">
        <v>3</v>
      </c>
      <c r="BF260" s="10" t="s">
        <v>2333</v>
      </c>
    </row>
    <row r="261" spans="1:58" s="10" customFormat="1" x14ac:dyDescent="0.3">
      <c r="A261" s="10" t="s">
        <v>2331</v>
      </c>
      <c r="B261" s="10" t="s">
        <v>100</v>
      </c>
      <c r="D261" s="10" t="s">
        <v>2332</v>
      </c>
      <c r="E261" s="10">
        <v>1991</v>
      </c>
      <c r="F261" s="4" t="s">
        <v>2312</v>
      </c>
      <c r="G261" s="10" t="s">
        <v>2312</v>
      </c>
      <c r="H261" s="10" t="s">
        <v>17</v>
      </c>
      <c r="J261" s="10" t="s">
        <v>151</v>
      </c>
      <c r="K261" s="10" t="s">
        <v>155</v>
      </c>
      <c r="L261" s="10">
        <v>3</v>
      </c>
      <c r="M261" s="10">
        <v>3</v>
      </c>
      <c r="O261" s="10">
        <v>2800</v>
      </c>
      <c r="Y261" s="10">
        <v>3100</v>
      </c>
      <c r="AA261" s="25">
        <f t="shared" si="109"/>
        <v>3100</v>
      </c>
      <c r="AK261" s="10">
        <v>5000</v>
      </c>
      <c r="AO261" s="14">
        <f t="shared" si="92"/>
        <v>1.1071428571428572</v>
      </c>
      <c r="AR261" s="3">
        <f t="shared" si="108"/>
        <v>1.1071428571428572</v>
      </c>
      <c r="AS261" s="3"/>
      <c r="AT261" s="3"/>
      <c r="AU261" s="36"/>
      <c r="AV261" s="36"/>
      <c r="AY261" s="36"/>
      <c r="BD261" s="10" t="s">
        <v>2</v>
      </c>
      <c r="BE261" s="10" t="s">
        <v>3</v>
      </c>
      <c r="BF261" s="10" t="s">
        <v>2333</v>
      </c>
    </row>
    <row r="262" spans="1:58" s="10" customFormat="1" x14ac:dyDescent="0.3">
      <c r="A262" s="10" t="s">
        <v>2331</v>
      </c>
      <c r="B262" s="10" t="s">
        <v>100</v>
      </c>
      <c r="D262" s="10" t="s">
        <v>2332</v>
      </c>
      <c r="E262" s="10">
        <v>1992</v>
      </c>
      <c r="F262" s="4" t="s">
        <v>2312</v>
      </c>
      <c r="G262" s="10" t="s">
        <v>2312</v>
      </c>
      <c r="H262" s="10" t="s">
        <v>17</v>
      </c>
      <c r="J262" s="10" t="s">
        <v>151</v>
      </c>
      <c r="K262" s="10" t="s">
        <v>155</v>
      </c>
      <c r="L262" s="10">
        <v>3</v>
      </c>
      <c r="M262" s="10">
        <v>3</v>
      </c>
      <c r="O262" s="10">
        <v>5200</v>
      </c>
      <c r="Y262" s="10">
        <v>4400</v>
      </c>
      <c r="AA262" s="25">
        <f t="shared" si="109"/>
        <v>4400</v>
      </c>
      <c r="AK262" s="10">
        <v>5000</v>
      </c>
      <c r="AO262" s="14">
        <f t="shared" si="92"/>
        <v>0.84615384615384615</v>
      </c>
      <c r="AR262" s="3">
        <f t="shared" si="108"/>
        <v>0.84615384615384615</v>
      </c>
      <c r="AS262" s="3"/>
      <c r="AT262" s="3"/>
      <c r="AU262" s="36"/>
      <c r="AV262" s="36"/>
      <c r="AY262" s="36"/>
      <c r="BD262" s="10" t="s">
        <v>2</v>
      </c>
      <c r="BE262" s="10" t="s">
        <v>3</v>
      </c>
      <c r="BF262" s="10" t="s">
        <v>2333</v>
      </c>
    </row>
    <row r="263" spans="1:58" s="10" customFormat="1" x14ac:dyDescent="0.3">
      <c r="A263" s="10" t="s">
        <v>2331</v>
      </c>
      <c r="B263" s="10" t="s">
        <v>100</v>
      </c>
      <c r="D263" s="10" t="s">
        <v>2332</v>
      </c>
      <c r="E263" s="10">
        <v>1993</v>
      </c>
      <c r="F263" s="4" t="s">
        <v>2312</v>
      </c>
      <c r="G263" s="10" t="s">
        <v>2312</v>
      </c>
      <c r="H263" s="10" t="s">
        <v>17</v>
      </c>
      <c r="J263" s="10" t="s">
        <v>151</v>
      </c>
      <c r="K263" s="10" t="s">
        <v>155</v>
      </c>
      <c r="L263" s="10">
        <v>3</v>
      </c>
      <c r="M263" s="10">
        <v>3</v>
      </c>
      <c r="O263" s="10">
        <v>3600</v>
      </c>
      <c r="Y263" s="10">
        <v>5000</v>
      </c>
      <c r="AA263" s="25">
        <f t="shared" si="109"/>
        <v>5000</v>
      </c>
      <c r="AK263" s="10">
        <v>5000</v>
      </c>
      <c r="AO263" s="14">
        <f t="shared" si="92"/>
        <v>1.3888888888888888</v>
      </c>
      <c r="AR263" s="3">
        <f t="shared" si="108"/>
        <v>1.3888888888888888</v>
      </c>
      <c r="AS263" s="3"/>
      <c r="AT263" s="3"/>
      <c r="AU263" s="36"/>
      <c r="AV263" s="36"/>
      <c r="AY263" s="36"/>
      <c r="BD263" s="10" t="s">
        <v>2</v>
      </c>
      <c r="BE263" s="10" t="s">
        <v>3</v>
      </c>
      <c r="BF263" s="10" t="s">
        <v>2333</v>
      </c>
    </row>
    <row r="264" spans="1:58" s="10" customFormat="1" x14ac:dyDescent="0.3">
      <c r="A264" s="10" t="s">
        <v>2331</v>
      </c>
      <c r="B264" s="10" t="s">
        <v>100</v>
      </c>
      <c r="D264" s="10" t="s">
        <v>2332</v>
      </c>
      <c r="E264" s="10">
        <v>1991</v>
      </c>
      <c r="F264" s="4" t="s">
        <v>2312</v>
      </c>
      <c r="G264" s="10" t="s">
        <v>2312</v>
      </c>
      <c r="H264" s="10" t="s">
        <v>17</v>
      </c>
      <c r="J264" s="10" t="s">
        <v>151</v>
      </c>
      <c r="K264" s="10" t="s">
        <v>417</v>
      </c>
      <c r="L264" s="10">
        <v>3</v>
      </c>
      <c r="M264" s="10">
        <v>3</v>
      </c>
      <c r="O264" s="10">
        <v>2800</v>
      </c>
      <c r="Y264" s="10">
        <v>2700</v>
      </c>
      <c r="AA264" s="25">
        <f t="shared" si="109"/>
        <v>2700</v>
      </c>
      <c r="AK264" s="10">
        <v>5000</v>
      </c>
      <c r="AO264" s="14">
        <f t="shared" si="92"/>
        <v>0.9642857142857143</v>
      </c>
      <c r="AR264" s="3">
        <f t="shared" si="108"/>
        <v>0.9642857142857143</v>
      </c>
      <c r="AS264" s="3"/>
      <c r="AT264" s="3"/>
      <c r="AU264" s="36"/>
      <c r="AV264" s="36"/>
      <c r="AY264" s="36"/>
      <c r="BD264" s="10" t="s">
        <v>2</v>
      </c>
      <c r="BE264" s="10" t="s">
        <v>3</v>
      </c>
      <c r="BF264" s="10" t="s">
        <v>2333</v>
      </c>
    </row>
    <row r="265" spans="1:58" s="10" customFormat="1" x14ac:dyDescent="0.3">
      <c r="A265" s="10" t="s">
        <v>2331</v>
      </c>
      <c r="B265" s="10" t="s">
        <v>100</v>
      </c>
      <c r="D265" s="10" t="s">
        <v>2332</v>
      </c>
      <c r="E265" s="10">
        <v>1992</v>
      </c>
      <c r="F265" s="4" t="s">
        <v>2312</v>
      </c>
      <c r="G265" s="10" t="s">
        <v>2312</v>
      </c>
      <c r="H265" s="10" t="s">
        <v>17</v>
      </c>
      <c r="J265" s="10" t="s">
        <v>151</v>
      </c>
      <c r="K265" s="10" t="s">
        <v>417</v>
      </c>
      <c r="L265" s="10">
        <v>3</v>
      </c>
      <c r="M265" s="10">
        <v>3</v>
      </c>
      <c r="O265" s="10">
        <v>5200</v>
      </c>
      <c r="Y265" s="10">
        <v>3500</v>
      </c>
      <c r="AA265" s="25">
        <f t="shared" si="109"/>
        <v>3500</v>
      </c>
      <c r="AK265" s="10">
        <v>5000</v>
      </c>
      <c r="AO265" s="14">
        <f t="shared" si="92"/>
        <v>0.67307692307692313</v>
      </c>
      <c r="AR265" s="3">
        <f t="shared" si="108"/>
        <v>0.67307692307692313</v>
      </c>
      <c r="AS265" s="3"/>
      <c r="AT265" s="3"/>
      <c r="AU265" s="36"/>
      <c r="AV265" s="36"/>
      <c r="AY265" s="36"/>
      <c r="BD265" s="10" t="s">
        <v>2</v>
      </c>
      <c r="BE265" s="10" t="s">
        <v>3</v>
      </c>
      <c r="BF265" s="10" t="s">
        <v>2333</v>
      </c>
    </row>
    <row r="266" spans="1:58" s="10" customFormat="1" x14ac:dyDescent="0.3">
      <c r="A266" s="10" t="s">
        <v>2331</v>
      </c>
      <c r="B266" s="10" t="s">
        <v>100</v>
      </c>
      <c r="D266" s="10" t="s">
        <v>2332</v>
      </c>
      <c r="E266" s="10">
        <v>1993</v>
      </c>
      <c r="F266" s="4" t="s">
        <v>2312</v>
      </c>
      <c r="G266" s="10" t="s">
        <v>2312</v>
      </c>
      <c r="H266" s="10" t="s">
        <v>17</v>
      </c>
      <c r="J266" s="10" t="s">
        <v>151</v>
      </c>
      <c r="K266" s="10" t="s">
        <v>417</v>
      </c>
      <c r="L266" s="10">
        <v>3</v>
      </c>
      <c r="M266" s="10">
        <v>3</v>
      </c>
      <c r="O266" s="10">
        <v>3600</v>
      </c>
      <c r="Y266" s="10">
        <v>3400</v>
      </c>
      <c r="AA266" s="25">
        <f t="shared" si="109"/>
        <v>3400</v>
      </c>
      <c r="AK266" s="10">
        <v>5000</v>
      </c>
      <c r="AO266" s="14">
        <f t="shared" si="92"/>
        <v>0.94444444444444442</v>
      </c>
      <c r="AR266" s="3">
        <f t="shared" si="108"/>
        <v>0.94444444444444442</v>
      </c>
      <c r="AS266" s="3"/>
      <c r="AT266" s="3"/>
      <c r="AU266" s="36"/>
      <c r="AV266" s="36"/>
      <c r="AY266" s="36"/>
      <c r="BD266" s="10" t="s">
        <v>2</v>
      </c>
      <c r="BE266" s="10" t="s">
        <v>3</v>
      </c>
      <c r="BF266" s="10" t="s">
        <v>2333</v>
      </c>
    </row>
    <row r="267" spans="1:58" s="10" customFormat="1" x14ac:dyDescent="0.3">
      <c r="A267" s="10" t="s">
        <v>2334</v>
      </c>
      <c r="B267" s="10" t="s">
        <v>2335</v>
      </c>
      <c r="C267" s="10" t="s">
        <v>2336</v>
      </c>
      <c r="D267" s="10" t="s">
        <v>2337</v>
      </c>
      <c r="E267" s="10">
        <v>2012</v>
      </c>
      <c r="F267" s="4" t="s">
        <v>2312</v>
      </c>
      <c r="G267" s="10" t="s">
        <v>2312</v>
      </c>
      <c r="H267" s="10" t="s">
        <v>217</v>
      </c>
      <c r="I267" s="10" t="s">
        <v>2342</v>
      </c>
      <c r="J267" s="10" t="s">
        <v>180</v>
      </c>
      <c r="K267" s="10" t="s">
        <v>145</v>
      </c>
      <c r="L267" s="10">
        <v>4</v>
      </c>
      <c r="M267" s="10">
        <v>4</v>
      </c>
      <c r="AA267" s="25"/>
      <c r="AO267" s="14"/>
      <c r="AR267" s="14">
        <v>1.22</v>
      </c>
      <c r="AS267" s="14"/>
      <c r="AT267" s="14"/>
      <c r="AU267" s="36"/>
      <c r="AV267" s="36"/>
      <c r="AY267" s="36"/>
      <c r="BA267" s="10" t="s">
        <v>1</v>
      </c>
      <c r="BD267" s="10" t="s">
        <v>2</v>
      </c>
      <c r="BE267" s="10" t="s">
        <v>3</v>
      </c>
      <c r="BF267" s="10" t="s">
        <v>2338</v>
      </c>
    </row>
    <row r="268" spans="1:58" s="10" customFormat="1" x14ac:dyDescent="0.3">
      <c r="A268" s="10" t="s">
        <v>2334</v>
      </c>
      <c r="B268" s="10" t="s">
        <v>2335</v>
      </c>
      <c r="C268" s="10" t="s">
        <v>2336</v>
      </c>
      <c r="D268" s="10" t="s">
        <v>2337</v>
      </c>
      <c r="E268" s="10">
        <v>2012</v>
      </c>
      <c r="F268" s="4" t="s">
        <v>2312</v>
      </c>
      <c r="G268" s="10" t="s">
        <v>2312</v>
      </c>
      <c r="H268" s="10" t="s">
        <v>217</v>
      </c>
      <c r="I268" s="10" t="s">
        <v>2343</v>
      </c>
      <c r="J268" s="10" t="s">
        <v>180</v>
      </c>
      <c r="K268" s="10" t="s">
        <v>145</v>
      </c>
      <c r="L268" s="10">
        <v>4</v>
      </c>
      <c r="M268" s="10">
        <v>4</v>
      </c>
      <c r="AA268" s="25"/>
      <c r="AO268" s="14"/>
      <c r="AR268" s="14">
        <v>1.54</v>
      </c>
      <c r="AS268" s="14"/>
      <c r="AT268" s="14"/>
      <c r="AU268" s="36"/>
      <c r="AV268" s="36"/>
      <c r="AY268" s="36"/>
      <c r="BA268" s="10" t="s">
        <v>1</v>
      </c>
      <c r="BD268" s="10" t="s">
        <v>2</v>
      </c>
      <c r="BE268" s="10" t="s">
        <v>3</v>
      </c>
      <c r="BF268" s="10" t="s">
        <v>2338</v>
      </c>
    </row>
    <row r="269" spans="1:58" s="10" customFormat="1" x14ac:dyDescent="0.3">
      <c r="A269" s="10" t="s">
        <v>2334</v>
      </c>
      <c r="B269" s="10" t="s">
        <v>2335</v>
      </c>
      <c r="C269" s="10" t="s">
        <v>2336</v>
      </c>
      <c r="D269" s="10" t="s">
        <v>2337</v>
      </c>
      <c r="E269" s="10">
        <v>2012</v>
      </c>
      <c r="F269" s="4" t="s">
        <v>2312</v>
      </c>
      <c r="G269" s="10" t="s">
        <v>2312</v>
      </c>
      <c r="H269" s="10" t="s">
        <v>217</v>
      </c>
      <c r="I269" s="10" t="s">
        <v>2341</v>
      </c>
      <c r="J269" s="10" t="s">
        <v>180</v>
      </c>
      <c r="K269" s="10" t="s">
        <v>145</v>
      </c>
      <c r="L269" s="10">
        <v>4</v>
      </c>
      <c r="M269" s="10">
        <v>4</v>
      </c>
      <c r="AA269" s="25"/>
      <c r="AO269" s="14"/>
      <c r="AR269" s="14">
        <v>1.41</v>
      </c>
      <c r="AS269" s="14"/>
      <c r="AT269" s="14"/>
      <c r="AU269" s="36"/>
      <c r="AV269" s="36"/>
      <c r="AY269" s="36"/>
      <c r="BA269" s="10" t="s">
        <v>1</v>
      </c>
      <c r="BD269" s="10" t="s">
        <v>2</v>
      </c>
      <c r="BE269" s="10" t="s">
        <v>3</v>
      </c>
      <c r="BF269" s="10" t="s">
        <v>2338</v>
      </c>
    </row>
    <row r="270" spans="1:58" s="10" customFormat="1" x14ac:dyDescent="0.3">
      <c r="A270" s="10" t="s">
        <v>2334</v>
      </c>
      <c r="B270" s="10" t="s">
        <v>2335</v>
      </c>
      <c r="C270" s="10" t="s">
        <v>2336</v>
      </c>
      <c r="D270" s="10" t="s">
        <v>2337</v>
      </c>
      <c r="E270" s="10">
        <v>2012</v>
      </c>
      <c r="F270" s="4" t="s">
        <v>2312</v>
      </c>
      <c r="G270" s="10" t="s">
        <v>2312</v>
      </c>
      <c r="H270" s="10" t="s">
        <v>217</v>
      </c>
      <c r="I270" s="10" t="s">
        <v>2342</v>
      </c>
      <c r="J270" s="10" t="s">
        <v>2339</v>
      </c>
      <c r="K270" s="10" t="s">
        <v>145</v>
      </c>
      <c r="L270" s="10">
        <v>4</v>
      </c>
      <c r="M270" s="10">
        <v>4</v>
      </c>
      <c r="AA270" s="25"/>
      <c r="AO270" s="14"/>
      <c r="AR270" s="14">
        <v>1.1000000000000001</v>
      </c>
      <c r="AS270" s="14"/>
      <c r="AT270" s="14"/>
      <c r="AU270" s="36"/>
      <c r="AV270" s="36"/>
      <c r="AY270" s="36"/>
      <c r="BA270" s="10" t="s">
        <v>1</v>
      </c>
      <c r="BD270" s="10" t="s">
        <v>2</v>
      </c>
      <c r="BE270" s="10" t="s">
        <v>3</v>
      </c>
      <c r="BF270" s="10" t="s">
        <v>2338</v>
      </c>
    </row>
    <row r="271" spans="1:58" s="10" customFormat="1" x14ac:dyDescent="0.3">
      <c r="A271" s="10" t="s">
        <v>2334</v>
      </c>
      <c r="B271" s="10" t="s">
        <v>2335</v>
      </c>
      <c r="C271" s="10" t="s">
        <v>2336</v>
      </c>
      <c r="D271" s="10" t="s">
        <v>2337</v>
      </c>
      <c r="E271" s="10">
        <v>2012</v>
      </c>
      <c r="F271" s="4" t="s">
        <v>2312</v>
      </c>
      <c r="G271" s="10" t="s">
        <v>2312</v>
      </c>
      <c r="H271" s="10" t="s">
        <v>217</v>
      </c>
      <c r="I271" s="10" t="s">
        <v>2343</v>
      </c>
      <c r="J271" s="10" t="s">
        <v>2339</v>
      </c>
      <c r="K271" s="10" t="s">
        <v>145</v>
      </c>
      <c r="L271" s="10">
        <v>4</v>
      </c>
      <c r="M271" s="10">
        <v>4</v>
      </c>
      <c r="AA271" s="25"/>
      <c r="AO271" s="14"/>
      <c r="AR271" s="14">
        <v>1.46</v>
      </c>
      <c r="AS271" s="14"/>
      <c r="AT271" s="14"/>
      <c r="AU271" s="36"/>
      <c r="AV271" s="36"/>
      <c r="AY271" s="36"/>
      <c r="BA271" s="10" t="s">
        <v>1</v>
      </c>
      <c r="BD271" s="10" t="s">
        <v>2</v>
      </c>
      <c r="BE271" s="10" t="s">
        <v>3</v>
      </c>
      <c r="BF271" s="10" t="s">
        <v>2338</v>
      </c>
    </row>
    <row r="272" spans="1:58" s="10" customFormat="1" x14ac:dyDescent="0.3">
      <c r="A272" s="10" t="s">
        <v>2334</v>
      </c>
      <c r="B272" s="10" t="s">
        <v>2335</v>
      </c>
      <c r="C272" s="10" t="s">
        <v>2336</v>
      </c>
      <c r="D272" s="10" t="s">
        <v>2337</v>
      </c>
      <c r="E272" s="10">
        <v>2012</v>
      </c>
      <c r="F272" s="4" t="s">
        <v>2312</v>
      </c>
      <c r="G272" s="10" t="s">
        <v>2312</v>
      </c>
      <c r="H272" s="10" t="s">
        <v>217</v>
      </c>
      <c r="I272" s="10" t="s">
        <v>2341</v>
      </c>
      <c r="J272" s="10" t="s">
        <v>2339</v>
      </c>
      <c r="K272" s="10" t="s">
        <v>145</v>
      </c>
      <c r="L272" s="10">
        <v>4</v>
      </c>
      <c r="M272" s="10">
        <v>4</v>
      </c>
      <c r="AA272" s="25"/>
      <c r="AO272" s="14"/>
      <c r="AR272" s="14">
        <v>1.45</v>
      </c>
      <c r="AS272" s="14"/>
      <c r="AT272" s="14"/>
      <c r="AU272" s="36"/>
      <c r="AV272" s="36"/>
      <c r="AY272" s="36"/>
      <c r="BA272" s="10" t="s">
        <v>1</v>
      </c>
      <c r="BD272" s="10" t="s">
        <v>2</v>
      </c>
      <c r="BE272" s="10" t="s">
        <v>3</v>
      </c>
      <c r="BF272" s="10" t="s">
        <v>2338</v>
      </c>
    </row>
    <row r="273" spans="1:58" s="10" customFormat="1" x14ac:dyDescent="0.3">
      <c r="A273" s="10" t="s">
        <v>2334</v>
      </c>
      <c r="B273" s="10" t="s">
        <v>2335</v>
      </c>
      <c r="C273" s="10" t="s">
        <v>2336</v>
      </c>
      <c r="D273" s="10" t="s">
        <v>2337</v>
      </c>
      <c r="E273" s="10">
        <v>2012</v>
      </c>
      <c r="F273" s="4" t="s">
        <v>2312</v>
      </c>
      <c r="G273" s="10" t="s">
        <v>2312</v>
      </c>
      <c r="H273" s="10" t="s">
        <v>217</v>
      </c>
      <c r="I273" s="10" t="s">
        <v>2342</v>
      </c>
      <c r="J273" s="10" t="s">
        <v>2340</v>
      </c>
      <c r="K273" s="10" t="s">
        <v>145</v>
      </c>
      <c r="L273" s="10">
        <v>4</v>
      </c>
      <c r="M273" s="10">
        <v>4</v>
      </c>
      <c r="AA273" s="25"/>
      <c r="AO273" s="14"/>
      <c r="AR273" s="14">
        <v>1.26</v>
      </c>
      <c r="AS273" s="14"/>
      <c r="AT273" s="14"/>
      <c r="AU273" s="36"/>
      <c r="AV273" s="36"/>
      <c r="AY273" s="36"/>
      <c r="BA273" s="10" t="s">
        <v>1</v>
      </c>
      <c r="BD273" s="10" t="s">
        <v>2</v>
      </c>
      <c r="BE273" s="10" t="s">
        <v>3</v>
      </c>
      <c r="BF273" s="10" t="s">
        <v>2338</v>
      </c>
    </row>
    <row r="274" spans="1:58" s="10" customFormat="1" x14ac:dyDescent="0.3">
      <c r="A274" s="10" t="s">
        <v>2334</v>
      </c>
      <c r="B274" s="10" t="s">
        <v>2335</v>
      </c>
      <c r="C274" s="10" t="s">
        <v>2336</v>
      </c>
      <c r="D274" s="10" t="s">
        <v>2337</v>
      </c>
      <c r="E274" s="10">
        <v>2012</v>
      </c>
      <c r="F274" s="4" t="s">
        <v>2312</v>
      </c>
      <c r="G274" s="10" t="s">
        <v>2312</v>
      </c>
      <c r="H274" s="10" t="s">
        <v>217</v>
      </c>
      <c r="I274" s="10" t="s">
        <v>2343</v>
      </c>
      <c r="J274" s="10" t="s">
        <v>2340</v>
      </c>
      <c r="K274" s="10" t="s">
        <v>145</v>
      </c>
      <c r="L274" s="10">
        <v>4</v>
      </c>
      <c r="M274" s="10">
        <v>4</v>
      </c>
      <c r="AA274" s="25"/>
      <c r="AO274" s="14"/>
      <c r="AR274" s="14">
        <v>1.52</v>
      </c>
      <c r="AS274" s="14"/>
      <c r="AT274" s="14"/>
      <c r="AU274" s="36"/>
      <c r="AV274" s="36"/>
      <c r="AY274" s="36"/>
      <c r="BA274" s="10" t="s">
        <v>1</v>
      </c>
      <c r="BD274" s="10" t="s">
        <v>2</v>
      </c>
      <c r="BE274" s="10" t="s">
        <v>3</v>
      </c>
      <c r="BF274" s="10" t="s">
        <v>2338</v>
      </c>
    </row>
    <row r="275" spans="1:58" s="10" customFormat="1" x14ac:dyDescent="0.3">
      <c r="A275" s="10" t="s">
        <v>2334</v>
      </c>
      <c r="B275" s="10" t="s">
        <v>2335</v>
      </c>
      <c r="C275" s="10" t="s">
        <v>2336</v>
      </c>
      <c r="D275" s="10" t="s">
        <v>2337</v>
      </c>
      <c r="E275" s="10">
        <v>2012</v>
      </c>
      <c r="F275" s="4" t="s">
        <v>2312</v>
      </c>
      <c r="G275" s="10" t="s">
        <v>2312</v>
      </c>
      <c r="H275" s="10" t="s">
        <v>217</v>
      </c>
      <c r="I275" s="10" t="s">
        <v>2341</v>
      </c>
      <c r="J275" s="10" t="s">
        <v>2340</v>
      </c>
      <c r="K275" s="10" t="s">
        <v>145</v>
      </c>
      <c r="L275" s="10">
        <v>4</v>
      </c>
      <c r="M275" s="10">
        <v>4</v>
      </c>
      <c r="AA275" s="25"/>
      <c r="AO275" s="14"/>
      <c r="AR275" s="14">
        <v>1.4</v>
      </c>
      <c r="AS275" s="14"/>
      <c r="AT275" s="14"/>
      <c r="AU275" s="36"/>
      <c r="AV275" s="36"/>
      <c r="AY275" s="36"/>
      <c r="BA275" s="10" t="s">
        <v>1</v>
      </c>
      <c r="BD275" s="10" t="s">
        <v>2</v>
      </c>
      <c r="BE275" s="10" t="s">
        <v>3</v>
      </c>
      <c r="BF275" s="10" t="s">
        <v>2338</v>
      </c>
    </row>
    <row r="276" spans="1:58" s="10" customFormat="1" x14ac:dyDescent="0.3">
      <c r="A276" s="10" t="s">
        <v>2344</v>
      </c>
      <c r="B276" s="10" t="s">
        <v>1055</v>
      </c>
      <c r="C276" s="10" t="s">
        <v>2345</v>
      </c>
      <c r="D276" s="10" t="s">
        <v>2346</v>
      </c>
      <c r="E276" s="10">
        <v>2015</v>
      </c>
      <c r="F276" s="4" t="s">
        <v>2312</v>
      </c>
      <c r="G276" s="10" t="s">
        <v>2312</v>
      </c>
      <c r="H276" s="10" t="s">
        <v>217</v>
      </c>
      <c r="J276" s="10" t="s">
        <v>2348</v>
      </c>
      <c r="K276" s="10" t="s">
        <v>2347</v>
      </c>
      <c r="L276" s="10">
        <v>1</v>
      </c>
      <c r="M276" s="10">
        <v>1</v>
      </c>
      <c r="O276" s="10">
        <v>1100</v>
      </c>
      <c r="Q276" s="10">
        <v>500</v>
      </c>
      <c r="V276" s="10">
        <v>13</v>
      </c>
      <c r="Y276" s="10">
        <v>1200</v>
      </c>
      <c r="AA276" s="25">
        <f>Y276</f>
        <v>1200</v>
      </c>
      <c r="AC276" s="10">
        <v>800</v>
      </c>
      <c r="AE276" s="10">
        <f>AC276</f>
        <v>800</v>
      </c>
      <c r="AO276" s="14">
        <f>AA276/O276</f>
        <v>1.0909090909090908</v>
      </c>
      <c r="AP276" s="10">
        <f>AE276/Q276</f>
        <v>1.6</v>
      </c>
      <c r="AR276" s="14">
        <f>AO276+AP276</f>
        <v>2.6909090909090909</v>
      </c>
      <c r="AS276" s="14"/>
      <c r="AT276" s="14"/>
      <c r="AU276" s="36"/>
      <c r="AV276" s="36"/>
      <c r="AY276" s="36"/>
      <c r="BB276" s="10" t="s">
        <v>2</v>
      </c>
      <c r="BD276" s="10" t="s">
        <v>2</v>
      </c>
      <c r="BE276" s="10" t="s">
        <v>3</v>
      </c>
    </row>
    <row r="277" spans="1:58" s="10" customFormat="1" x14ac:dyDescent="0.3">
      <c r="A277" s="10" t="s">
        <v>2344</v>
      </c>
      <c r="B277" s="10" t="s">
        <v>1055</v>
      </c>
      <c r="C277" s="10" t="s">
        <v>2345</v>
      </c>
      <c r="D277" s="10" t="s">
        <v>2346</v>
      </c>
      <c r="E277" s="10">
        <v>2016</v>
      </c>
      <c r="F277" s="4" t="s">
        <v>2312</v>
      </c>
      <c r="G277" s="10" t="s">
        <v>2312</v>
      </c>
      <c r="H277" s="10" t="s">
        <v>217</v>
      </c>
      <c r="J277" s="10" t="s">
        <v>2348</v>
      </c>
      <c r="K277" s="10" t="s">
        <v>2347</v>
      </c>
      <c r="L277" s="10">
        <v>1</v>
      </c>
      <c r="M277" s="10">
        <v>1</v>
      </c>
      <c r="O277" s="10">
        <v>1600</v>
      </c>
      <c r="Q277" s="10">
        <v>1000</v>
      </c>
      <c r="V277" s="10">
        <v>14</v>
      </c>
      <c r="Y277" s="10">
        <v>900</v>
      </c>
      <c r="AA277" s="25">
        <f t="shared" ref="AA277:AA278" si="110">Y277</f>
        <v>900</v>
      </c>
      <c r="AC277" s="10">
        <v>800</v>
      </c>
      <c r="AE277" s="10">
        <f t="shared" ref="AE277:AE278" si="111">AC277</f>
        <v>800</v>
      </c>
      <c r="AO277" s="14">
        <f>AA277/O277</f>
        <v>0.5625</v>
      </c>
      <c r="AP277" s="10">
        <f>AE277/Q277</f>
        <v>0.8</v>
      </c>
      <c r="AR277" s="14">
        <f t="shared" ref="AR277:AR278" si="112">AO277+AP277</f>
        <v>1.3625</v>
      </c>
      <c r="AS277" s="14"/>
      <c r="AT277" s="14"/>
      <c r="AU277" s="36"/>
      <c r="AV277" s="36"/>
      <c r="AY277" s="36"/>
      <c r="BB277" s="10" t="s">
        <v>2</v>
      </c>
      <c r="BD277" s="10" t="s">
        <v>2</v>
      </c>
      <c r="BE277" s="10" t="s">
        <v>3</v>
      </c>
    </row>
    <row r="278" spans="1:58" s="10" customFormat="1" x14ac:dyDescent="0.3">
      <c r="A278" s="10" t="s">
        <v>2344</v>
      </c>
      <c r="B278" s="10" t="s">
        <v>1055</v>
      </c>
      <c r="C278" s="10" t="s">
        <v>2345</v>
      </c>
      <c r="D278" s="10" t="s">
        <v>2346</v>
      </c>
      <c r="E278" s="10">
        <v>2017</v>
      </c>
      <c r="F278" s="4" t="s">
        <v>2312</v>
      </c>
      <c r="G278" s="10" t="s">
        <v>2312</v>
      </c>
      <c r="H278" s="10" t="s">
        <v>217</v>
      </c>
      <c r="J278" s="10" t="s">
        <v>2348</v>
      </c>
      <c r="K278" s="10" t="s">
        <v>2347</v>
      </c>
      <c r="L278" s="10">
        <v>1</v>
      </c>
      <c r="M278" s="10">
        <v>1</v>
      </c>
      <c r="O278" s="10">
        <v>2300</v>
      </c>
      <c r="Q278" s="10">
        <v>2900</v>
      </c>
      <c r="V278" s="10">
        <v>15</v>
      </c>
      <c r="Y278" s="10">
        <v>1000</v>
      </c>
      <c r="AA278" s="25">
        <f t="shared" si="110"/>
        <v>1000</v>
      </c>
      <c r="AC278" s="10">
        <v>4100</v>
      </c>
      <c r="AE278" s="10">
        <f t="shared" si="111"/>
        <v>4100</v>
      </c>
      <c r="AO278" s="14">
        <f>AA278/O278</f>
        <v>0.43478260869565216</v>
      </c>
      <c r="AP278" s="14">
        <f>AE278/Q278</f>
        <v>1.4137931034482758</v>
      </c>
      <c r="AR278" s="14">
        <f t="shared" si="112"/>
        <v>1.8485757121439279</v>
      </c>
      <c r="AS278" s="14"/>
      <c r="AT278" s="14"/>
      <c r="AU278" s="36"/>
      <c r="AV278" s="36"/>
      <c r="AY278" s="36"/>
      <c r="BB278" s="10" t="s">
        <v>2</v>
      </c>
      <c r="BD278" s="10" t="s">
        <v>2</v>
      </c>
      <c r="BE278" s="10" t="s">
        <v>3</v>
      </c>
    </row>
    <row r="279" spans="1:58" s="10" customFormat="1" x14ac:dyDescent="0.3">
      <c r="A279" s="10" t="s">
        <v>2349</v>
      </c>
      <c r="B279" s="10" t="s">
        <v>633</v>
      </c>
      <c r="C279" s="10" t="s">
        <v>2350</v>
      </c>
      <c r="D279" s="10" t="s">
        <v>2351</v>
      </c>
      <c r="F279" s="4" t="s">
        <v>2312</v>
      </c>
      <c r="G279" s="10" t="s">
        <v>2312</v>
      </c>
      <c r="H279" s="10" t="s">
        <v>217</v>
      </c>
      <c r="I279" s="50" t="s">
        <v>2353</v>
      </c>
      <c r="J279" s="10" t="s">
        <v>2352</v>
      </c>
      <c r="K279" s="10" t="s">
        <v>145</v>
      </c>
      <c r="L279" s="10">
        <v>4</v>
      </c>
      <c r="M279" s="10">
        <v>4</v>
      </c>
      <c r="AA279" s="25"/>
      <c r="AO279" s="14"/>
      <c r="AP279" s="14"/>
      <c r="AR279" s="14">
        <v>1.49</v>
      </c>
      <c r="AS279" s="14"/>
      <c r="AT279" s="14"/>
      <c r="AU279" s="36"/>
      <c r="AV279" s="36"/>
      <c r="AY279" s="36"/>
      <c r="BA279" s="10" t="s">
        <v>1</v>
      </c>
      <c r="BB279" s="10" t="s">
        <v>3</v>
      </c>
      <c r="BD279" s="10" t="s">
        <v>2</v>
      </c>
      <c r="BE279" s="10" t="s">
        <v>3</v>
      </c>
    </row>
    <row r="280" spans="1:58" s="10" customFormat="1" x14ac:dyDescent="0.3">
      <c r="A280" s="10" t="s">
        <v>2349</v>
      </c>
      <c r="B280" s="10" t="s">
        <v>633</v>
      </c>
      <c r="C280" s="10" t="s">
        <v>2350</v>
      </c>
      <c r="D280" s="10" t="s">
        <v>2351</v>
      </c>
      <c r="F280" s="4" t="s">
        <v>2312</v>
      </c>
      <c r="G280" s="10" t="s">
        <v>2312</v>
      </c>
      <c r="H280" s="10" t="s">
        <v>217</v>
      </c>
      <c r="I280" s="10" t="s">
        <v>2354</v>
      </c>
      <c r="J280" s="10" t="s">
        <v>2352</v>
      </c>
      <c r="K280" s="10" t="s">
        <v>145</v>
      </c>
      <c r="L280" s="10">
        <v>4</v>
      </c>
      <c r="M280" s="10">
        <v>4</v>
      </c>
      <c r="AA280" s="25"/>
      <c r="AO280" s="14"/>
      <c r="AP280" s="14"/>
      <c r="AR280" s="14">
        <v>2.17</v>
      </c>
      <c r="AS280" s="14"/>
      <c r="AT280" s="14"/>
      <c r="AU280" s="36"/>
      <c r="AV280" s="36"/>
      <c r="AY280" s="36"/>
      <c r="BA280" s="10" t="s">
        <v>1</v>
      </c>
      <c r="BB280" s="10" t="s">
        <v>3</v>
      </c>
      <c r="BD280" s="10" t="s">
        <v>2</v>
      </c>
      <c r="BE280" s="10" t="s">
        <v>3</v>
      </c>
    </row>
    <row r="281" spans="1:58" s="10" customFormat="1" x14ac:dyDescent="0.3">
      <c r="A281" s="10" t="s">
        <v>2349</v>
      </c>
      <c r="B281" s="10" t="s">
        <v>633</v>
      </c>
      <c r="C281" s="10" t="s">
        <v>2350</v>
      </c>
      <c r="D281" s="10" t="s">
        <v>2351</v>
      </c>
      <c r="F281" s="4" t="s">
        <v>2312</v>
      </c>
      <c r="G281" s="10" t="s">
        <v>2312</v>
      </c>
      <c r="H281" s="10" t="s">
        <v>217</v>
      </c>
      <c r="I281" s="10" t="s">
        <v>2355</v>
      </c>
      <c r="J281" s="10" t="s">
        <v>2352</v>
      </c>
      <c r="K281" s="10" t="s">
        <v>145</v>
      </c>
      <c r="L281" s="10">
        <v>4</v>
      </c>
      <c r="M281" s="10">
        <v>4</v>
      </c>
      <c r="AA281" s="25"/>
      <c r="AO281" s="14"/>
      <c r="AP281" s="14"/>
      <c r="AR281" s="14">
        <v>2.62</v>
      </c>
      <c r="AS281" s="14"/>
      <c r="AT281" s="14"/>
      <c r="AU281" s="36"/>
      <c r="AV281" s="36"/>
      <c r="AY281" s="36"/>
      <c r="BA281" s="10" t="s">
        <v>1</v>
      </c>
      <c r="BB281" s="10" t="s">
        <v>3</v>
      </c>
      <c r="BD281" s="10" t="s">
        <v>2</v>
      </c>
      <c r="BE281" s="10" t="s">
        <v>3</v>
      </c>
    </row>
    <row r="282" spans="1:58" s="10" customFormat="1" x14ac:dyDescent="0.3">
      <c r="A282" s="10" t="s">
        <v>2356</v>
      </c>
      <c r="B282" s="10" t="s">
        <v>143</v>
      </c>
      <c r="D282" s="10" t="s">
        <v>2357</v>
      </c>
      <c r="E282" s="10">
        <v>2016</v>
      </c>
      <c r="F282" s="4" t="s">
        <v>2312</v>
      </c>
      <c r="G282" s="10" t="s">
        <v>2312</v>
      </c>
      <c r="H282" s="10" t="s">
        <v>17</v>
      </c>
      <c r="I282" s="10" t="s">
        <v>2361</v>
      </c>
      <c r="J282" s="10" t="s">
        <v>2339</v>
      </c>
      <c r="K282" s="10" t="s">
        <v>145</v>
      </c>
      <c r="L282" s="10">
        <v>13</v>
      </c>
      <c r="M282" s="10">
        <v>13</v>
      </c>
      <c r="O282" s="10">
        <v>165</v>
      </c>
      <c r="P282" s="14">
        <f>8*SQRT(8)</f>
        <v>22.627416997969522</v>
      </c>
      <c r="Y282" s="10">
        <v>125</v>
      </c>
      <c r="Z282" s="39">
        <f>33*SQRT(6)</f>
        <v>80.833161511844864</v>
      </c>
      <c r="AA282" s="10">
        <v>125</v>
      </c>
      <c r="AB282" s="39">
        <f>33*SQRT(6)</f>
        <v>80.833161511844864</v>
      </c>
      <c r="AO282" s="14">
        <f t="shared" ref="AO282:AO313" si="113">AA282/O282</f>
        <v>0.75757575757575757</v>
      </c>
      <c r="AP282" s="14"/>
      <c r="AR282" s="14">
        <f>AO282</f>
        <v>0.75757575757575757</v>
      </c>
      <c r="AS282" s="14"/>
      <c r="AT282" s="14"/>
      <c r="AU282" s="3">
        <f t="shared" ref="AU282:AU293" si="114">(AB282^2)/(O282^2)+(P282^2)*(AA282^2)/(O282^4)</f>
        <v>0.25079329904774428</v>
      </c>
      <c r="AV282" s="36"/>
      <c r="AY282" s="36"/>
      <c r="BD282" s="10" t="s">
        <v>2</v>
      </c>
      <c r="BE282" s="10" t="s">
        <v>2</v>
      </c>
    </row>
    <row r="283" spans="1:58" s="10" customFormat="1" x14ac:dyDescent="0.3">
      <c r="A283" s="10" t="s">
        <v>2356</v>
      </c>
      <c r="B283" s="10" t="s">
        <v>143</v>
      </c>
      <c r="D283" s="10" t="s">
        <v>2357</v>
      </c>
      <c r="E283" s="10">
        <v>2016</v>
      </c>
      <c r="F283" s="4" t="s">
        <v>2312</v>
      </c>
      <c r="G283" s="10" t="s">
        <v>2312</v>
      </c>
      <c r="H283" s="10" t="s">
        <v>17</v>
      </c>
      <c r="I283" s="10" t="s">
        <v>2362</v>
      </c>
      <c r="J283" s="10" t="s">
        <v>2339</v>
      </c>
      <c r="K283" s="10" t="s">
        <v>145</v>
      </c>
      <c r="L283" s="10">
        <v>13</v>
      </c>
      <c r="M283" s="10">
        <v>13</v>
      </c>
      <c r="O283" s="10">
        <v>165</v>
      </c>
      <c r="P283" s="14">
        <f t="shared" ref="P283" si="115">8*SQRT(8)</f>
        <v>22.627416997969522</v>
      </c>
      <c r="Y283" s="10">
        <v>397</v>
      </c>
      <c r="Z283" s="39">
        <f>246*SQRT(5)</f>
        <v>550.07272246494824</v>
      </c>
      <c r="AA283" s="10">
        <v>397</v>
      </c>
      <c r="AB283" s="39">
        <f>246*SQRT(5)</f>
        <v>550.07272246494824</v>
      </c>
      <c r="AO283" s="14">
        <f t="shared" si="113"/>
        <v>2.4060606060606062</v>
      </c>
      <c r="AP283" s="14"/>
      <c r="AR283" s="14">
        <f t="shared" ref="AR283:AR293" si="116">AO283</f>
        <v>2.4060606060606062</v>
      </c>
      <c r="AS283" s="14"/>
      <c r="AT283" s="14"/>
      <c r="AU283" s="3">
        <f t="shared" si="114"/>
        <v>11.222921335232279</v>
      </c>
      <c r="AV283" s="36"/>
      <c r="AY283" s="36"/>
      <c r="BD283" s="10" t="s">
        <v>2</v>
      </c>
      <c r="BE283" s="10" t="s">
        <v>2</v>
      </c>
    </row>
    <row r="284" spans="1:58" s="10" customFormat="1" x14ac:dyDescent="0.3">
      <c r="A284" s="10" t="s">
        <v>2356</v>
      </c>
      <c r="B284" s="10" t="s">
        <v>143</v>
      </c>
      <c r="D284" s="10" t="s">
        <v>2357</v>
      </c>
      <c r="E284" s="10">
        <v>2016</v>
      </c>
      <c r="F284" s="4" t="s">
        <v>2312</v>
      </c>
      <c r="G284" s="10" t="s">
        <v>2312</v>
      </c>
      <c r="H284" s="10" t="s">
        <v>17</v>
      </c>
      <c r="I284" s="10" t="s">
        <v>2359</v>
      </c>
      <c r="J284" s="10" t="s">
        <v>2339</v>
      </c>
      <c r="K284" s="10" t="s">
        <v>145</v>
      </c>
      <c r="L284" s="10">
        <v>13</v>
      </c>
      <c r="M284" s="10">
        <v>13</v>
      </c>
      <c r="O284" s="10">
        <v>179</v>
      </c>
      <c r="P284" s="14">
        <f>9*SQRT(7)</f>
        <v>23.811761799581316</v>
      </c>
      <c r="Y284" s="10">
        <v>134</v>
      </c>
      <c r="Z284" s="39">
        <f>32*SQRT(6)</f>
        <v>78.383671769061692</v>
      </c>
      <c r="AA284" s="10">
        <v>134</v>
      </c>
      <c r="AB284" s="39">
        <f>32*SQRT(6)</f>
        <v>78.383671769061692</v>
      </c>
      <c r="AO284" s="14">
        <f t="shared" si="113"/>
        <v>0.74860335195530725</v>
      </c>
      <c r="AP284" s="14"/>
      <c r="AR284" s="14">
        <f t="shared" si="116"/>
        <v>0.74860335195530725</v>
      </c>
      <c r="AS284" s="14"/>
      <c r="AT284" s="14"/>
      <c r="AU284" s="3">
        <f t="shared" si="114"/>
        <v>0.2016713197728783</v>
      </c>
      <c r="AV284" s="36"/>
      <c r="AY284" s="36"/>
      <c r="BD284" s="10" t="s">
        <v>2</v>
      </c>
      <c r="BE284" s="10" t="s">
        <v>2</v>
      </c>
    </row>
    <row r="285" spans="1:58" s="10" customFormat="1" x14ac:dyDescent="0.3">
      <c r="A285" s="10" t="s">
        <v>2356</v>
      </c>
      <c r="B285" s="10" t="s">
        <v>143</v>
      </c>
      <c r="D285" s="10" t="s">
        <v>2357</v>
      </c>
      <c r="E285" s="10">
        <v>2016</v>
      </c>
      <c r="F285" s="4" t="s">
        <v>2312</v>
      </c>
      <c r="G285" s="10" t="s">
        <v>2312</v>
      </c>
      <c r="H285" s="10" t="s">
        <v>17</v>
      </c>
      <c r="I285" s="10" t="s">
        <v>2360</v>
      </c>
      <c r="J285" s="10" t="s">
        <v>2339</v>
      </c>
      <c r="K285" s="10" t="s">
        <v>145</v>
      </c>
      <c r="L285" s="10">
        <v>13</v>
      </c>
      <c r="M285" s="10">
        <v>13</v>
      </c>
      <c r="O285" s="10">
        <v>179</v>
      </c>
      <c r="P285" s="14">
        <f>9*SQRT(7)</f>
        <v>23.811761799581316</v>
      </c>
      <c r="Y285" s="10">
        <v>255</v>
      </c>
      <c r="Z285" s="39">
        <f>101*SQRT(6)</f>
        <v>247.39846402110098</v>
      </c>
      <c r="AA285" s="10">
        <v>255</v>
      </c>
      <c r="AB285" s="39">
        <f>101*SQRT(6)</f>
        <v>247.39846402110098</v>
      </c>
      <c r="AO285" s="14">
        <f t="shared" si="113"/>
        <v>1.4245810055865922</v>
      </c>
      <c r="AP285" s="14"/>
      <c r="AR285" s="14">
        <f t="shared" si="116"/>
        <v>1.4245810055865922</v>
      </c>
      <c r="AS285" s="14"/>
      <c r="AT285" s="14"/>
      <c r="AU285" s="3">
        <f t="shared" si="114"/>
        <v>1.9461529727698286</v>
      </c>
      <c r="AV285" s="36"/>
      <c r="AY285" s="36"/>
      <c r="BD285" s="10" t="s">
        <v>2</v>
      </c>
      <c r="BE285" s="10" t="s">
        <v>2</v>
      </c>
    </row>
    <row r="286" spans="1:58" s="10" customFormat="1" x14ac:dyDescent="0.3">
      <c r="A286" s="10" t="s">
        <v>2356</v>
      </c>
      <c r="B286" s="10" t="s">
        <v>143</v>
      </c>
      <c r="D286" s="10" t="s">
        <v>2358</v>
      </c>
      <c r="E286" s="10">
        <v>2016</v>
      </c>
      <c r="F286" s="4" t="s">
        <v>2312</v>
      </c>
      <c r="G286" s="10" t="s">
        <v>2312</v>
      </c>
      <c r="H286" s="10" t="s">
        <v>17</v>
      </c>
      <c r="I286" s="10" t="s">
        <v>2361</v>
      </c>
      <c r="J286" s="10" t="s">
        <v>2339</v>
      </c>
      <c r="K286" s="10" t="s">
        <v>145</v>
      </c>
      <c r="L286" s="10">
        <v>15</v>
      </c>
      <c r="M286" s="10">
        <v>15</v>
      </c>
      <c r="O286" s="10">
        <v>1157</v>
      </c>
      <c r="P286" s="14">
        <f>133*SQRT(3)</f>
        <v>230.36275740666068</v>
      </c>
      <c r="Y286" s="10">
        <v>551</v>
      </c>
      <c r="Z286" s="39">
        <f>98*SQRT(5)</f>
        <v>219.13466179497939</v>
      </c>
      <c r="AA286" s="10">
        <v>551</v>
      </c>
      <c r="AB286" s="39">
        <f>98*SQRT(5)</f>
        <v>219.13466179497939</v>
      </c>
      <c r="AO286" s="14">
        <f t="shared" si="113"/>
        <v>0.47623163353500431</v>
      </c>
      <c r="AP286" s="14"/>
      <c r="AR286" s="14">
        <f t="shared" si="116"/>
        <v>0.47623163353500431</v>
      </c>
      <c r="AS286" s="14"/>
      <c r="AT286" s="14"/>
      <c r="AU286" s="3">
        <f t="shared" si="114"/>
        <v>4.4862703752378268E-2</v>
      </c>
      <c r="AV286" s="36"/>
      <c r="AY286" s="36"/>
      <c r="BD286" s="10" t="s">
        <v>2</v>
      </c>
      <c r="BE286" s="10" t="s">
        <v>2</v>
      </c>
    </row>
    <row r="287" spans="1:58" x14ac:dyDescent="0.3">
      <c r="A287" s="10" t="s">
        <v>2356</v>
      </c>
      <c r="B287" s="10" t="s">
        <v>143</v>
      </c>
      <c r="C287" s="10"/>
      <c r="D287" s="10" t="s">
        <v>2358</v>
      </c>
      <c r="E287" s="10">
        <v>2016</v>
      </c>
      <c r="F287" s="4" t="s">
        <v>2312</v>
      </c>
      <c r="G287" s="10" t="s">
        <v>2312</v>
      </c>
      <c r="H287" s="10" t="s">
        <v>17</v>
      </c>
      <c r="I287" s="10" t="s">
        <v>2362</v>
      </c>
      <c r="J287" s="10" t="s">
        <v>2339</v>
      </c>
      <c r="K287" s="10" t="s">
        <v>145</v>
      </c>
      <c r="L287" s="10">
        <v>15</v>
      </c>
      <c r="M287" s="10">
        <v>15</v>
      </c>
      <c r="O287" s="10">
        <v>1157</v>
      </c>
      <c r="P287" s="14">
        <f>133*SQRT(3)</f>
        <v>230.36275740666068</v>
      </c>
      <c r="Y287" s="10">
        <v>371</v>
      </c>
      <c r="Z287" s="39">
        <f>71*SQRT(5)</f>
        <v>158.76082640248507</v>
      </c>
      <c r="AA287" s="10">
        <v>371</v>
      </c>
      <c r="AB287" s="39">
        <f>71*SQRT(5)</f>
        <v>158.76082640248507</v>
      </c>
      <c r="AO287" s="14">
        <f t="shared" si="113"/>
        <v>0.32065687121866898</v>
      </c>
      <c r="AP287" s="14"/>
      <c r="AR287" s="14">
        <f t="shared" si="116"/>
        <v>0.32065687121866898</v>
      </c>
      <c r="AS287" s="14"/>
      <c r="AT287" s="14"/>
      <c r="AU287" s="3">
        <f t="shared" si="114"/>
        <v>2.2904729272358582E-2</v>
      </c>
      <c r="AV287" s="36"/>
      <c r="AY287" s="36"/>
      <c r="BD287" s="10" t="s">
        <v>2</v>
      </c>
      <c r="BE287" s="10" t="s">
        <v>2</v>
      </c>
    </row>
    <row r="288" spans="1:58" s="10" customFormat="1" x14ac:dyDescent="0.3">
      <c r="A288" s="10" t="s">
        <v>2356</v>
      </c>
      <c r="B288" s="10" t="s">
        <v>143</v>
      </c>
      <c r="D288" s="10" t="s">
        <v>2358</v>
      </c>
      <c r="E288" s="10">
        <v>2016</v>
      </c>
      <c r="F288" s="4" t="s">
        <v>2312</v>
      </c>
      <c r="G288" s="10" t="s">
        <v>2312</v>
      </c>
      <c r="H288" s="10" t="s">
        <v>17</v>
      </c>
      <c r="I288" s="10" t="s">
        <v>2359</v>
      </c>
      <c r="J288" s="10" t="s">
        <v>2339</v>
      </c>
      <c r="K288" s="10" t="s">
        <v>145</v>
      </c>
      <c r="L288" s="10">
        <v>15</v>
      </c>
      <c r="M288" s="10">
        <v>15</v>
      </c>
      <c r="O288" s="10">
        <v>1838</v>
      </c>
      <c r="P288" s="14">
        <f>260*SQRT(3)</f>
        <v>450.33320996790809</v>
      </c>
      <c r="Y288" s="10">
        <v>1051</v>
      </c>
      <c r="Z288" s="39">
        <f>225*SQRT(5)</f>
        <v>503.11529493745269</v>
      </c>
      <c r="AA288" s="10">
        <v>1051</v>
      </c>
      <c r="AB288" s="39">
        <f>225*SQRT(5)</f>
        <v>503.11529493745269</v>
      </c>
      <c r="AO288" s="14">
        <f t="shared" si="113"/>
        <v>0.57181719260065289</v>
      </c>
      <c r="AP288" s="14"/>
      <c r="AR288" s="14">
        <f t="shared" si="116"/>
        <v>0.57181719260065289</v>
      </c>
      <c r="AS288" s="14"/>
      <c r="AT288" s="14"/>
      <c r="AU288" s="3">
        <f t="shared" si="114"/>
        <v>9.4556672068580233E-2</v>
      </c>
      <c r="AV288" s="36"/>
      <c r="AY288" s="36"/>
      <c r="BD288" s="10" t="s">
        <v>2</v>
      </c>
      <c r="BE288" s="10" t="s">
        <v>2</v>
      </c>
    </row>
    <row r="289" spans="1:57" x14ac:dyDescent="0.3">
      <c r="A289" s="10" t="s">
        <v>2356</v>
      </c>
      <c r="B289" s="10" t="s">
        <v>143</v>
      </c>
      <c r="C289" s="10"/>
      <c r="D289" s="10" t="s">
        <v>2358</v>
      </c>
      <c r="E289" s="10">
        <v>2016</v>
      </c>
      <c r="F289" s="4" t="s">
        <v>2312</v>
      </c>
      <c r="G289" s="10" t="s">
        <v>2312</v>
      </c>
      <c r="H289" s="10" t="s">
        <v>17</v>
      </c>
      <c r="I289" s="10" t="s">
        <v>2360</v>
      </c>
      <c r="J289" s="10" t="s">
        <v>2339</v>
      </c>
      <c r="K289" s="10" t="s">
        <v>145</v>
      </c>
      <c r="L289" s="10">
        <v>15</v>
      </c>
      <c r="M289" s="10">
        <v>15</v>
      </c>
      <c r="O289" s="10">
        <v>1838</v>
      </c>
      <c r="P289" s="14">
        <f>260*SQRT(3)</f>
        <v>450.33320996790809</v>
      </c>
      <c r="Y289" s="10">
        <v>783</v>
      </c>
      <c r="Z289" s="39">
        <f>172*SQRT(5)</f>
        <v>384.60369212996386</v>
      </c>
      <c r="AA289" s="10">
        <v>783</v>
      </c>
      <c r="AB289" s="39">
        <f>172*SQRT(5)</f>
        <v>384.60369212996386</v>
      </c>
      <c r="AO289" s="14">
        <f t="shared" si="113"/>
        <v>0.42600652883569096</v>
      </c>
      <c r="AP289" s="14"/>
      <c r="AR289" s="14">
        <f t="shared" si="116"/>
        <v>0.42600652883569096</v>
      </c>
      <c r="AS289" s="14"/>
      <c r="AT289" s="14"/>
      <c r="AU289" s="3">
        <f t="shared" si="114"/>
        <v>5.4680615401799484E-2</v>
      </c>
      <c r="AV289" s="36"/>
      <c r="AY289" s="36"/>
      <c r="BD289" s="10" t="s">
        <v>2</v>
      </c>
      <c r="BE289" s="10" t="s">
        <v>2</v>
      </c>
    </row>
    <row r="290" spans="1:57" x14ac:dyDescent="0.3">
      <c r="A290" s="10" t="s">
        <v>2356</v>
      </c>
      <c r="B290" s="10" t="s">
        <v>143</v>
      </c>
      <c r="C290" s="10"/>
      <c r="D290" s="10" t="s">
        <v>2358</v>
      </c>
      <c r="E290" s="10">
        <v>2016</v>
      </c>
      <c r="F290" s="4" t="s">
        <v>2312</v>
      </c>
      <c r="G290" s="10" t="s">
        <v>2312</v>
      </c>
      <c r="H290" s="10" t="s">
        <v>17</v>
      </c>
      <c r="I290" s="10" t="s">
        <v>2361</v>
      </c>
      <c r="J290" s="10" t="s">
        <v>2339</v>
      </c>
      <c r="K290" s="10" t="s">
        <v>145</v>
      </c>
      <c r="L290" s="10">
        <v>14</v>
      </c>
      <c r="M290" s="10">
        <v>14</v>
      </c>
      <c r="O290" s="10">
        <v>1676</v>
      </c>
      <c r="P290" s="14">
        <f>188*SQRT(10)</f>
        <v>594.50820011165536</v>
      </c>
      <c r="Y290" s="10">
        <v>1018</v>
      </c>
      <c r="Z290" s="39">
        <f>181*SQRT(12)</f>
        <v>627.00239233993352</v>
      </c>
      <c r="AA290" s="10">
        <v>1018</v>
      </c>
      <c r="AB290" s="39">
        <f>181*SQRT(12)</f>
        <v>627.00239233993352</v>
      </c>
      <c r="AO290" s="14">
        <f t="shared" si="113"/>
        <v>0.60739856801909309</v>
      </c>
      <c r="AP290" s="14"/>
      <c r="AR290" s="14">
        <f t="shared" si="116"/>
        <v>0.60739856801909309</v>
      </c>
      <c r="AS290" s="14"/>
      <c r="AT290" s="14"/>
      <c r="AU290" s="3">
        <f t="shared" si="114"/>
        <v>0.1863767033756645</v>
      </c>
      <c r="AV290" s="36"/>
      <c r="AY290" s="36"/>
      <c r="BD290" s="10" t="s">
        <v>2</v>
      </c>
      <c r="BE290" s="10" t="s">
        <v>2</v>
      </c>
    </row>
    <row r="291" spans="1:57" x14ac:dyDescent="0.3">
      <c r="A291" s="10" t="s">
        <v>2356</v>
      </c>
      <c r="B291" s="10" t="s">
        <v>143</v>
      </c>
      <c r="C291" s="10"/>
      <c r="D291" s="10" t="s">
        <v>2358</v>
      </c>
      <c r="E291" s="10">
        <v>2016</v>
      </c>
      <c r="F291" s="4" t="s">
        <v>2312</v>
      </c>
      <c r="G291" s="10" t="s">
        <v>2312</v>
      </c>
      <c r="H291" s="10" t="s">
        <v>17</v>
      </c>
      <c r="I291" s="10" t="s">
        <v>2362</v>
      </c>
      <c r="J291" s="10" t="s">
        <v>2339</v>
      </c>
      <c r="K291" s="10" t="s">
        <v>145</v>
      </c>
      <c r="L291" s="10">
        <v>14</v>
      </c>
      <c r="M291" s="10">
        <v>14</v>
      </c>
      <c r="O291" s="10">
        <v>1676</v>
      </c>
      <c r="P291" s="14">
        <f>188*SQRT(10)</f>
        <v>594.50820011165536</v>
      </c>
      <c r="Y291" s="10">
        <v>1274</v>
      </c>
      <c r="Z291" s="39">
        <f>328*SQRT(12)</f>
        <v>1136.2253297651835</v>
      </c>
      <c r="AA291" s="10">
        <v>1274</v>
      </c>
      <c r="AB291" s="39">
        <f>328*SQRT(12)</f>
        <v>1136.2253297651835</v>
      </c>
      <c r="AO291" s="14">
        <f t="shared" si="113"/>
        <v>0.76014319809069208</v>
      </c>
      <c r="AP291" s="14"/>
      <c r="AR291" s="14">
        <f t="shared" si="116"/>
        <v>0.76014319809069208</v>
      </c>
      <c r="AS291" s="14"/>
      <c r="AT291" s="14"/>
      <c r="AU291" s="3">
        <f t="shared" si="114"/>
        <v>0.53230496856717791</v>
      </c>
      <c r="AV291" s="36"/>
      <c r="AY291" s="36"/>
      <c r="BD291" s="10" t="s">
        <v>2</v>
      </c>
      <c r="BE291" s="10" t="s">
        <v>2</v>
      </c>
    </row>
    <row r="292" spans="1:57" x14ac:dyDescent="0.3">
      <c r="A292" s="10" t="s">
        <v>2356</v>
      </c>
      <c r="B292" s="10" t="s">
        <v>143</v>
      </c>
      <c r="C292" s="10"/>
      <c r="D292" s="10" t="s">
        <v>2358</v>
      </c>
      <c r="E292" s="10">
        <v>2016</v>
      </c>
      <c r="F292" s="4" t="s">
        <v>2312</v>
      </c>
      <c r="G292" s="10" t="s">
        <v>2312</v>
      </c>
      <c r="H292" s="10" t="s">
        <v>17</v>
      </c>
      <c r="I292" s="10" t="s">
        <v>2359</v>
      </c>
      <c r="J292" s="10" t="s">
        <v>2339</v>
      </c>
      <c r="K292" s="10" t="s">
        <v>145</v>
      </c>
      <c r="L292" s="10">
        <v>14</v>
      </c>
      <c r="M292" s="10">
        <v>14</v>
      </c>
      <c r="O292" s="10">
        <v>1393</v>
      </c>
      <c r="P292" s="14">
        <f>240*SQRT(12)</f>
        <v>831.38438763306101</v>
      </c>
      <c r="Y292" s="10">
        <v>1050</v>
      </c>
      <c r="Z292" s="39">
        <f>135*SQRT(12)</f>
        <v>467.65371804359683</v>
      </c>
      <c r="AA292" s="10">
        <v>1050</v>
      </c>
      <c r="AB292" s="39">
        <f>135*SQRT(12)</f>
        <v>467.65371804359683</v>
      </c>
      <c r="AO292" s="14">
        <f t="shared" si="113"/>
        <v>0.75376884422110557</v>
      </c>
      <c r="AP292" s="14"/>
      <c r="AR292" s="14">
        <f t="shared" si="116"/>
        <v>0.75376884422110557</v>
      </c>
      <c r="AS292" s="14"/>
      <c r="AT292" s="14"/>
      <c r="AU292" s="3">
        <f t="shared" si="114"/>
        <v>0.31509065975056944</v>
      </c>
      <c r="AV292" s="36"/>
      <c r="AY292" s="36"/>
      <c r="BD292" s="10" t="s">
        <v>2</v>
      </c>
      <c r="BE292" s="10" t="s">
        <v>2</v>
      </c>
    </row>
    <row r="293" spans="1:57" x14ac:dyDescent="0.3">
      <c r="A293" s="10" t="s">
        <v>2356</v>
      </c>
      <c r="B293" s="10" t="s">
        <v>143</v>
      </c>
      <c r="C293" s="10"/>
      <c r="D293" s="10" t="s">
        <v>2358</v>
      </c>
      <c r="E293" s="10">
        <v>2016</v>
      </c>
      <c r="F293" s="4" t="s">
        <v>2312</v>
      </c>
      <c r="G293" s="10" t="s">
        <v>2312</v>
      </c>
      <c r="H293" s="10" t="s">
        <v>17</v>
      </c>
      <c r="I293" s="10" t="s">
        <v>2360</v>
      </c>
      <c r="J293" s="10" t="s">
        <v>2339</v>
      </c>
      <c r="K293" s="10" t="s">
        <v>145</v>
      </c>
      <c r="L293" s="10">
        <v>14</v>
      </c>
      <c r="M293" s="10">
        <v>14</v>
      </c>
      <c r="O293" s="10">
        <v>1393</v>
      </c>
      <c r="P293" s="14">
        <f>240*SQRT(12)</f>
        <v>831.38438763306101</v>
      </c>
      <c r="Y293" s="10">
        <v>1101</v>
      </c>
      <c r="Z293" s="39">
        <f>209*SQRT(12)</f>
        <v>723.99723756379069</v>
      </c>
      <c r="AA293" s="10">
        <v>1101</v>
      </c>
      <c r="AB293" s="39">
        <f>209*SQRT(12)</f>
        <v>723.99723756379069</v>
      </c>
      <c r="AO293" s="14">
        <f t="shared" si="113"/>
        <v>0.79038047379755927</v>
      </c>
      <c r="AP293" s="14"/>
      <c r="AR293" s="14">
        <f t="shared" si="116"/>
        <v>0.79038047379755927</v>
      </c>
      <c r="AS293" s="14"/>
      <c r="AT293" s="14"/>
      <c r="AU293" s="45">
        <f t="shared" si="114"/>
        <v>0.49265171822127035</v>
      </c>
      <c r="AV293" s="36"/>
      <c r="AY293" s="36"/>
      <c r="BD293" s="10" t="s">
        <v>2</v>
      </c>
      <c r="BE293" s="10" t="s">
        <v>2</v>
      </c>
    </row>
    <row r="294" spans="1:57" x14ac:dyDescent="0.3">
      <c r="A294" s="10" t="s">
        <v>2363</v>
      </c>
      <c r="B294" s="10" t="s">
        <v>50</v>
      </c>
      <c r="C294" s="10" t="s">
        <v>2368</v>
      </c>
      <c r="D294" s="10" t="s">
        <v>2369</v>
      </c>
      <c r="E294" s="10">
        <v>2010</v>
      </c>
      <c r="F294" s="4" t="s">
        <v>2312</v>
      </c>
      <c r="G294" s="10" t="s">
        <v>2312</v>
      </c>
      <c r="H294" s="10" t="s">
        <v>17</v>
      </c>
      <c r="J294" s="10" t="s">
        <v>2371</v>
      </c>
      <c r="K294" s="10" t="s">
        <v>2370</v>
      </c>
      <c r="L294" s="10">
        <v>4</v>
      </c>
      <c r="M294" s="10">
        <v>4</v>
      </c>
      <c r="O294" s="10">
        <v>3740</v>
      </c>
      <c r="V294">
        <v>8</v>
      </c>
      <c r="Y294" s="10">
        <v>3940</v>
      </c>
      <c r="AA294">
        <f>Y294</f>
        <v>3940</v>
      </c>
      <c r="AK294" s="5">
        <f>10000/(4.5*2)</f>
        <v>1111.1111111111111</v>
      </c>
      <c r="AO294" s="14">
        <f t="shared" si="113"/>
        <v>1.053475935828877</v>
      </c>
      <c r="AP294" s="14"/>
      <c r="AR294" s="3">
        <f>AO294+AP294+AQ294</f>
        <v>1.053475935828877</v>
      </c>
      <c r="AS294" s="3"/>
      <c r="AT294" s="3"/>
      <c r="AU294" s="45"/>
      <c r="AV294" s="36"/>
      <c r="AY294" s="36"/>
      <c r="BA294" t="s">
        <v>1</v>
      </c>
      <c r="BC294" t="s">
        <v>3</v>
      </c>
      <c r="BD294" s="10" t="s">
        <v>2</v>
      </c>
      <c r="BE294" s="10" t="s">
        <v>2</v>
      </c>
    </row>
    <row r="295" spans="1:57" x14ac:dyDescent="0.3">
      <c r="A295" s="10" t="s">
        <v>2363</v>
      </c>
      <c r="B295" s="10" t="s">
        <v>50</v>
      </c>
      <c r="C295" s="10" t="s">
        <v>2368</v>
      </c>
      <c r="D295" s="10" t="s">
        <v>2369</v>
      </c>
      <c r="E295" s="10">
        <v>2010</v>
      </c>
      <c r="F295" s="4" t="s">
        <v>2312</v>
      </c>
      <c r="G295" s="10" t="s">
        <v>2312</v>
      </c>
      <c r="H295" s="10" t="s">
        <v>17</v>
      </c>
      <c r="J295" s="10" t="s">
        <v>2372</v>
      </c>
      <c r="K295" s="10" t="s">
        <v>2370</v>
      </c>
      <c r="L295" s="10">
        <v>4</v>
      </c>
      <c r="M295" s="10">
        <v>4</v>
      </c>
      <c r="O295" s="10">
        <v>3740</v>
      </c>
      <c r="V295">
        <v>8</v>
      </c>
      <c r="Y295" s="10">
        <v>4080</v>
      </c>
      <c r="AA295">
        <f t="shared" ref="AA295:AA299" si="117">Y295</f>
        <v>4080</v>
      </c>
      <c r="AK295" s="5">
        <f t="shared" ref="AK295:AK299" si="118">10000/(4.5*2)</f>
        <v>1111.1111111111111</v>
      </c>
      <c r="AO295" s="14">
        <f t="shared" si="113"/>
        <v>1.0909090909090908</v>
      </c>
      <c r="AP295" s="14"/>
      <c r="AR295" s="3">
        <f t="shared" ref="AR295:AR299" si="119">AO295+AP295+AQ295</f>
        <v>1.0909090909090908</v>
      </c>
      <c r="AS295" s="3"/>
      <c r="AT295" s="3"/>
      <c r="AU295" s="45"/>
      <c r="AV295" s="36"/>
      <c r="AY295" s="36"/>
      <c r="BA295" t="s">
        <v>1</v>
      </c>
      <c r="BC295" t="s">
        <v>3</v>
      </c>
      <c r="BD295" s="10" t="s">
        <v>2</v>
      </c>
      <c r="BE295" s="10" t="s">
        <v>2</v>
      </c>
    </row>
    <row r="296" spans="1:57" x14ac:dyDescent="0.3">
      <c r="A296" s="10" t="s">
        <v>2363</v>
      </c>
      <c r="B296" s="10" t="s">
        <v>50</v>
      </c>
      <c r="C296" s="10" t="s">
        <v>2368</v>
      </c>
      <c r="D296" s="10" t="s">
        <v>2369</v>
      </c>
      <c r="E296" s="10">
        <v>2010</v>
      </c>
      <c r="F296" s="4" t="s">
        <v>2312</v>
      </c>
      <c r="G296" s="10" t="s">
        <v>2312</v>
      </c>
      <c r="H296" s="10" t="s">
        <v>17</v>
      </c>
      <c r="J296" s="10" t="s">
        <v>2373</v>
      </c>
      <c r="K296" s="10" t="s">
        <v>2370</v>
      </c>
      <c r="L296" s="10">
        <v>4</v>
      </c>
      <c r="M296" s="10">
        <v>4</v>
      </c>
      <c r="O296" s="10">
        <v>3740</v>
      </c>
      <c r="V296">
        <v>8</v>
      </c>
      <c r="Y296" s="10">
        <v>3980</v>
      </c>
      <c r="AA296">
        <f t="shared" si="117"/>
        <v>3980</v>
      </c>
      <c r="AK296" s="5">
        <f t="shared" si="118"/>
        <v>1111.1111111111111</v>
      </c>
      <c r="AO296" s="14">
        <f t="shared" si="113"/>
        <v>1.0641711229946524</v>
      </c>
      <c r="AP296" s="14"/>
      <c r="AR296" s="3">
        <f t="shared" si="119"/>
        <v>1.0641711229946524</v>
      </c>
      <c r="AS296" s="3"/>
      <c r="AT296" s="3"/>
      <c r="AU296" s="45"/>
      <c r="AV296" s="36"/>
      <c r="AY296" s="36"/>
      <c r="BA296" t="s">
        <v>1</v>
      </c>
      <c r="BC296" t="s">
        <v>3</v>
      </c>
      <c r="BD296" s="10" t="s">
        <v>2</v>
      </c>
      <c r="BE296" s="10" t="s">
        <v>2</v>
      </c>
    </row>
    <row r="297" spans="1:57" x14ac:dyDescent="0.3">
      <c r="A297" s="10" t="s">
        <v>2363</v>
      </c>
      <c r="B297" s="10" t="s">
        <v>50</v>
      </c>
      <c r="C297" s="10" t="s">
        <v>2368</v>
      </c>
      <c r="D297" s="10" t="s">
        <v>2369</v>
      </c>
      <c r="E297" s="10">
        <v>2011</v>
      </c>
      <c r="F297" s="4" t="s">
        <v>2312</v>
      </c>
      <c r="G297" s="10" t="s">
        <v>2312</v>
      </c>
      <c r="H297" s="10" t="s">
        <v>17</v>
      </c>
      <c r="J297" s="10" t="s">
        <v>2371</v>
      </c>
      <c r="K297" s="10" t="s">
        <v>2370</v>
      </c>
      <c r="L297" s="10">
        <v>4</v>
      </c>
      <c r="M297" s="10">
        <v>4</v>
      </c>
      <c r="O297" s="10">
        <v>4240</v>
      </c>
      <c r="V297">
        <v>9</v>
      </c>
      <c r="Y297" s="10">
        <v>4660</v>
      </c>
      <c r="AA297">
        <f t="shared" si="117"/>
        <v>4660</v>
      </c>
      <c r="AK297" s="5">
        <f t="shared" si="118"/>
        <v>1111.1111111111111</v>
      </c>
      <c r="AO297" s="14">
        <f t="shared" si="113"/>
        <v>1.0990566037735849</v>
      </c>
      <c r="AP297" s="14"/>
      <c r="AR297" s="3">
        <f t="shared" si="119"/>
        <v>1.0990566037735849</v>
      </c>
      <c r="AS297" s="3"/>
      <c r="AT297" s="3"/>
      <c r="AU297" s="45"/>
      <c r="AV297" s="36"/>
      <c r="AY297" s="36"/>
      <c r="BA297" t="s">
        <v>1</v>
      </c>
      <c r="BC297" t="s">
        <v>3</v>
      </c>
      <c r="BD297" s="10" t="s">
        <v>2</v>
      </c>
      <c r="BE297" s="10" t="s">
        <v>2</v>
      </c>
    </row>
    <row r="298" spans="1:57" x14ac:dyDescent="0.3">
      <c r="A298" s="10" t="s">
        <v>2363</v>
      </c>
      <c r="B298" s="10" t="s">
        <v>50</v>
      </c>
      <c r="C298" s="10" t="s">
        <v>2368</v>
      </c>
      <c r="D298" s="10" t="s">
        <v>2369</v>
      </c>
      <c r="E298" s="10">
        <v>2011</v>
      </c>
      <c r="F298" s="4" t="s">
        <v>2312</v>
      </c>
      <c r="G298" s="10" t="s">
        <v>2312</v>
      </c>
      <c r="H298" s="10" t="s">
        <v>17</v>
      </c>
      <c r="J298" s="10" t="s">
        <v>2372</v>
      </c>
      <c r="K298" s="10" t="s">
        <v>2370</v>
      </c>
      <c r="L298" s="10">
        <v>4</v>
      </c>
      <c r="M298" s="10">
        <v>4</v>
      </c>
      <c r="O298" s="10">
        <v>4240</v>
      </c>
      <c r="V298">
        <v>9</v>
      </c>
      <c r="Y298" s="10">
        <v>4840</v>
      </c>
      <c r="AA298">
        <f t="shared" si="117"/>
        <v>4840</v>
      </c>
      <c r="AK298" s="5">
        <f t="shared" si="118"/>
        <v>1111.1111111111111</v>
      </c>
      <c r="AO298" s="14">
        <f t="shared" si="113"/>
        <v>1.1415094339622642</v>
      </c>
      <c r="AP298" s="14"/>
      <c r="AR298" s="3">
        <f t="shared" si="119"/>
        <v>1.1415094339622642</v>
      </c>
      <c r="AS298" s="3"/>
      <c r="AT298" s="3"/>
      <c r="AU298" s="45"/>
      <c r="AV298" s="36"/>
      <c r="AY298" s="36"/>
      <c r="BA298" t="s">
        <v>1</v>
      </c>
      <c r="BC298" t="s">
        <v>3</v>
      </c>
      <c r="BD298" s="10" t="s">
        <v>2</v>
      </c>
      <c r="BE298" s="10" t="s">
        <v>2</v>
      </c>
    </row>
    <row r="299" spans="1:57" x14ac:dyDescent="0.3">
      <c r="A299" s="10" t="s">
        <v>2363</v>
      </c>
      <c r="B299" s="10" t="s">
        <v>50</v>
      </c>
      <c r="C299" s="10" t="s">
        <v>2368</v>
      </c>
      <c r="D299" s="10" t="s">
        <v>2369</v>
      </c>
      <c r="E299" s="10">
        <v>2011</v>
      </c>
      <c r="F299" s="4" t="s">
        <v>2312</v>
      </c>
      <c r="G299" s="10" t="s">
        <v>2312</v>
      </c>
      <c r="H299" s="10" t="s">
        <v>17</v>
      </c>
      <c r="J299" s="10" t="s">
        <v>2373</v>
      </c>
      <c r="K299" s="10" t="s">
        <v>2370</v>
      </c>
      <c r="L299" s="10">
        <v>4</v>
      </c>
      <c r="M299" s="10">
        <v>4</v>
      </c>
      <c r="O299" s="10">
        <v>4240</v>
      </c>
      <c r="V299">
        <v>9</v>
      </c>
      <c r="Y299" s="10">
        <v>4720</v>
      </c>
      <c r="AA299">
        <f t="shared" si="117"/>
        <v>4720</v>
      </c>
      <c r="AK299" s="5">
        <f t="shared" si="118"/>
        <v>1111.1111111111111</v>
      </c>
      <c r="AO299" s="14">
        <f t="shared" si="113"/>
        <v>1.1132075471698113</v>
      </c>
      <c r="AP299" s="14"/>
      <c r="AR299" s="3">
        <f t="shared" si="119"/>
        <v>1.1132075471698113</v>
      </c>
      <c r="AS299" s="3"/>
      <c r="AT299" s="3"/>
      <c r="AU299" s="45"/>
      <c r="AV299" s="36"/>
      <c r="AY299" s="36"/>
      <c r="BA299" t="s">
        <v>1</v>
      </c>
      <c r="BC299" t="s">
        <v>3</v>
      </c>
      <c r="BD299" s="10" t="s">
        <v>2</v>
      </c>
      <c r="BE299" s="10" t="s">
        <v>2</v>
      </c>
    </row>
    <row r="300" spans="1:57" x14ac:dyDescent="0.3">
      <c r="A300" s="6" t="s">
        <v>2364</v>
      </c>
      <c r="B300" s="10" t="s">
        <v>81</v>
      </c>
      <c r="C300" s="10" t="s">
        <v>2374</v>
      </c>
      <c r="D300" s="10" t="s">
        <v>2375</v>
      </c>
      <c r="E300" s="10">
        <v>2021</v>
      </c>
      <c r="F300" s="4" t="s">
        <v>2312</v>
      </c>
      <c r="G300" s="10" t="s">
        <v>2312</v>
      </c>
      <c r="H300" s="10" t="s">
        <v>17</v>
      </c>
      <c r="J300" s="10" t="s">
        <v>2377</v>
      </c>
      <c r="K300" s="51" t="s">
        <v>2376</v>
      </c>
      <c r="L300" s="10">
        <v>3</v>
      </c>
      <c r="M300" s="10">
        <v>3</v>
      </c>
      <c r="O300" s="25">
        <v>12948.36</v>
      </c>
      <c r="P300" s="5">
        <f>213.67*SQRT(L300)</f>
        <v>370.08729605324197</v>
      </c>
      <c r="Q300" s="25">
        <v>6595.46</v>
      </c>
      <c r="R300" s="5">
        <f>181.81*SQRT(L300)</f>
        <v>314.90415732409758</v>
      </c>
      <c r="V300">
        <v>13</v>
      </c>
      <c r="Y300" s="25">
        <v>21917.51</v>
      </c>
      <c r="Z300" s="5">
        <f>397.05*SQRT(M300)</f>
        <v>687.71077314522267</v>
      </c>
      <c r="AA300" s="5">
        <f>Y300*(1-2/6)</f>
        <v>14611.673333333334</v>
      </c>
      <c r="AB300" s="5">
        <f>Z300*(1-2/6)</f>
        <v>458.47384876348184</v>
      </c>
      <c r="AC300" s="5">
        <v>12507.01</v>
      </c>
      <c r="AD300" s="5">
        <f>272.62*SQRT(M300)</f>
        <v>472.19169115942731</v>
      </c>
      <c r="AE300" s="5">
        <f>AC300</f>
        <v>12507.01</v>
      </c>
      <c r="AF300" s="5">
        <f>AD300</f>
        <v>472.19169115942731</v>
      </c>
      <c r="AK300" s="5">
        <f>10000/(6*2)</f>
        <v>833.33333333333337</v>
      </c>
      <c r="AO300" s="14">
        <f t="shared" si="113"/>
        <v>1.1284574520119408</v>
      </c>
      <c r="AP300" s="14">
        <f>AE300/Q300</f>
        <v>1.8963059437855738</v>
      </c>
      <c r="AR300" s="3">
        <f>AO300+AP300+AQ300</f>
        <v>3.0247633957975149</v>
      </c>
      <c r="AS300" s="3"/>
      <c r="AT300" s="3"/>
      <c r="AU300" s="45">
        <f t="shared" ref="AU300:AU331" si="120">(AB300^2)/(O300^2)+(P300^2)*(AA300^2)/(O300^4)</f>
        <v>2.293994755153515E-3</v>
      </c>
      <c r="AV300" s="36">
        <f>(AF300^2)/(Q300^2)+(R300^2)*(AE300^2)/(Q300^4)</f>
        <v>1.33231587537046E-2</v>
      </c>
      <c r="AX300" s="45">
        <f>AU300+AV300</f>
        <v>1.5617153508858115E-2</v>
      </c>
      <c r="AY300" s="36">
        <f t="shared" si="91"/>
        <v>4.1315168739397626E-2</v>
      </c>
      <c r="BA300" t="s">
        <v>1</v>
      </c>
      <c r="BC300" t="s">
        <v>3</v>
      </c>
      <c r="BD300" s="10" t="s">
        <v>2</v>
      </c>
      <c r="BE300" s="10" t="s">
        <v>3</v>
      </c>
    </row>
    <row r="301" spans="1:57" x14ac:dyDescent="0.3">
      <c r="A301" s="6" t="s">
        <v>2364</v>
      </c>
      <c r="B301" s="10" t="s">
        <v>81</v>
      </c>
      <c r="C301" s="10" t="s">
        <v>2374</v>
      </c>
      <c r="D301" s="10" t="s">
        <v>2375</v>
      </c>
      <c r="E301" s="10">
        <v>2021</v>
      </c>
      <c r="F301" s="4" t="s">
        <v>2312</v>
      </c>
      <c r="G301" s="10" t="s">
        <v>2312</v>
      </c>
      <c r="H301" s="10" t="s">
        <v>17</v>
      </c>
      <c r="J301" s="10" t="s">
        <v>2378</v>
      </c>
      <c r="K301" s="51" t="s">
        <v>2376</v>
      </c>
      <c r="L301" s="10">
        <v>3</v>
      </c>
      <c r="M301" s="10">
        <v>3</v>
      </c>
      <c r="O301" s="25">
        <v>23441.72</v>
      </c>
      <c r="P301" s="5">
        <f>499.61*SQRT(L301)</f>
        <v>865.34990396948672</v>
      </c>
      <c r="Q301" s="25">
        <v>6595.46</v>
      </c>
      <c r="R301" s="5">
        <f>181.81*SQRT(L301)</f>
        <v>314.90415732409758</v>
      </c>
      <c r="V301">
        <v>13</v>
      </c>
      <c r="Y301" s="25">
        <v>16072.75</v>
      </c>
      <c r="Z301" s="5">
        <f>58.15*SQRT(M301)</f>
        <v>100.7187544601302</v>
      </c>
      <c r="AA301" s="5">
        <f>Y301*(1-2/6)</f>
        <v>10715.166666666668</v>
      </c>
      <c r="AB301" s="5">
        <f>Z301*(1-2/6)</f>
        <v>67.14583630675348</v>
      </c>
      <c r="AC301" s="5">
        <v>15838.03</v>
      </c>
      <c r="AD301" s="5">
        <f>450.73*SQRT(M301)</f>
        <v>780.68726049552004</v>
      </c>
      <c r="AE301" s="5">
        <f>AC301</f>
        <v>15838.03</v>
      </c>
      <c r="AF301" s="5">
        <f>AD301</f>
        <v>780.68726049552004</v>
      </c>
      <c r="AK301" s="5">
        <f>10000/(6*2)</f>
        <v>833.33333333333337</v>
      </c>
      <c r="AO301" s="14">
        <f t="shared" si="113"/>
        <v>0.45709814240024482</v>
      </c>
      <c r="AP301" s="14">
        <f>AE301/Q301</f>
        <v>2.4013533551867496</v>
      </c>
      <c r="AR301" s="3">
        <f>AO301+AP301+AQ301</f>
        <v>2.8584514975869943</v>
      </c>
      <c r="AS301" s="3"/>
      <c r="AT301" s="3"/>
      <c r="AU301" s="45">
        <f t="shared" si="120"/>
        <v>2.929282328092824E-4</v>
      </c>
      <c r="AV301" s="36">
        <f>(AF301^2)/(Q301^2)+(R301^2)*(AE301^2)/(Q301^4)</f>
        <v>2.7156384095775907E-2</v>
      </c>
      <c r="AX301" s="45">
        <f>AU301+AV301</f>
        <v>2.744931232858519E-2</v>
      </c>
      <c r="AY301" s="36">
        <f t="shared" si="91"/>
        <v>5.7960871503277958E-2</v>
      </c>
      <c r="BA301" t="s">
        <v>1</v>
      </c>
      <c r="BC301" t="s">
        <v>3</v>
      </c>
      <c r="BD301" s="10" t="s">
        <v>2</v>
      </c>
      <c r="BE301" s="10" t="s">
        <v>3</v>
      </c>
    </row>
    <row r="302" spans="1:57" x14ac:dyDescent="0.3">
      <c r="A302" s="10" t="s">
        <v>2365</v>
      </c>
      <c r="B302" s="10" t="s">
        <v>81</v>
      </c>
      <c r="C302" s="10" t="s">
        <v>688</v>
      </c>
      <c r="D302" s="10" t="s">
        <v>2381</v>
      </c>
      <c r="E302" s="10">
        <v>2005</v>
      </c>
      <c r="F302" s="4" t="s">
        <v>2312</v>
      </c>
      <c r="G302" s="10" t="s">
        <v>2312</v>
      </c>
      <c r="H302" s="10" t="s">
        <v>17</v>
      </c>
      <c r="J302" s="10" t="s">
        <v>691</v>
      </c>
      <c r="K302" s="10" t="s">
        <v>2382</v>
      </c>
      <c r="L302" s="10">
        <v>3</v>
      </c>
      <c r="M302" s="10">
        <v>3</v>
      </c>
      <c r="O302" s="10">
        <v>2.79</v>
      </c>
      <c r="P302" s="37">
        <f>0.17*SQRT(L302)</f>
        <v>0.29444863728670917</v>
      </c>
      <c r="Q302">
        <v>0</v>
      </c>
      <c r="S302" s="36"/>
      <c r="V302">
        <v>1</v>
      </c>
      <c r="Y302" s="10">
        <v>2.67</v>
      </c>
      <c r="Z302">
        <f>0.11*SQRT(M302)</f>
        <v>0.1905255888325765</v>
      </c>
      <c r="AA302" s="3">
        <f>Y302*(1-0.5/5)</f>
        <v>2.403</v>
      </c>
      <c r="AB302" s="3">
        <f>Z302*(1-0.5/5)</f>
        <v>0.17147302994931884</v>
      </c>
      <c r="AC302">
        <v>0</v>
      </c>
      <c r="AK302">
        <f>10000/(4*5)</f>
        <v>500</v>
      </c>
      <c r="AO302" s="14">
        <f t="shared" si="113"/>
        <v>0.8612903225806452</v>
      </c>
      <c r="AP302" s="14"/>
      <c r="AR302" s="3">
        <f t="shared" ref="AR302:AR328" si="121">AO302+AP302+AQ302</f>
        <v>0.8612903225806452</v>
      </c>
      <c r="AS302" s="3"/>
      <c r="AT302" s="3"/>
      <c r="AU302" s="45">
        <f t="shared" si="120"/>
        <v>1.2039783971705392E-2</v>
      </c>
      <c r="AV302" s="36"/>
      <c r="AX302" s="45">
        <f t="shared" ref="AX302:AX328" si="122">AU302+AV302</f>
        <v>1.2039783971705392E-2</v>
      </c>
      <c r="AY302" s="36">
        <f t="shared" ref="AY302:AY328" si="123">SQRT(AX302)/AR302</f>
        <v>0.12739716971521839</v>
      </c>
      <c r="AZ302">
        <f>12*AK302*0.0085+1.2*AK302*0.15+200*0.15</f>
        <v>171</v>
      </c>
      <c r="BA302" t="s">
        <v>1</v>
      </c>
      <c r="BC302" t="s">
        <v>2</v>
      </c>
      <c r="BD302" s="10" t="s">
        <v>2</v>
      </c>
      <c r="BE302" s="10" t="s">
        <v>3</v>
      </c>
    </row>
    <row r="303" spans="1:57" x14ac:dyDescent="0.3">
      <c r="A303" s="10" t="s">
        <v>2365</v>
      </c>
      <c r="B303" s="10" t="s">
        <v>81</v>
      </c>
      <c r="C303" s="10" t="s">
        <v>688</v>
      </c>
      <c r="D303" s="10" t="s">
        <v>2381</v>
      </c>
      <c r="E303" s="10">
        <v>2006</v>
      </c>
      <c r="F303" s="4" t="s">
        <v>2312</v>
      </c>
      <c r="G303" s="10" t="s">
        <v>2312</v>
      </c>
      <c r="H303" s="10" t="s">
        <v>17</v>
      </c>
      <c r="J303" s="10" t="s">
        <v>691</v>
      </c>
      <c r="K303" s="10" t="s">
        <v>2382</v>
      </c>
      <c r="L303" s="10">
        <v>3</v>
      </c>
      <c r="M303" s="10">
        <v>3</v>
      </c>
      <c r="O303" s="10">
        <v>3.42</v>
      </c>
      <c r="P303" s="37">
        <f>0.51*SQRT(L303)</f>
        <v>0.88334591186012734</v>
      </c>
      <c r="Q303">
        <v>0</v>
      </c>
      <c r="S303" s="36"/>
      <c r="V303">
        <v>2</v>
      </c>
      <c r="Y303" s="10">
        <v>3.29</v>
      </c>
      <c r="Z303">
        <f>0.28*SQRT(M303)</f>
        <v>0.48497422611928565</v>
      </c>
      <c r="AA303" s="3">
        <f>Y303*(1-0.75/5)</f>
        <v>2.7965</v>
      </c>
      <c r="AB303" s="3">
        <f>Z303*(1-0.75/5)</f>
        <v>0.41222809220139278</v>
      </c>
      <c r="AC303">
        <v>0</v>
      </c>
      <c r="AK303">
        <f t="shared" ref="AK303:AK354" si="124">10000/(4*5)</f>
        <v>500</v>
      </c>
      <c r="AO303" s="14">
        <f t="shared" si="113"/>
        <v>0.81769005847953213</v>
      </c>
      <c r="AP303" s="14"/>
      <c r="AR303" s="3">
        <f t="shared" si="121"/>
        <v>0.81769005847953213</v>
      </c>
      <c r="AS303" s="3"/>
      <c r="AT303" s="3"/>
      <c r="AU303" s="45">
        <f t="shared" si="120"/>
        <v>5.9133910422335435E-2</v>
      </c>
      <c r="AV303" s="36"/>
      <c r="AX303" s="45">
        <f t="shared" si="122"/>
        <v>5.9133910422335435E-2</v>
      </c>
      <c r="AY303" s="36">
        <f t="shared" si="123"/>
        <v>0.29739220566373004</v>
      </c>
      <c r="AZ303">
        <f>12*AK303*0.0085+1.2*AK303*0.15+200*0.15</f>
        <v>171</v>
      </c>
      <c r="BA303" t="s">
        <v>1</v>
      </c>
      <c r="BC303" t="s">
        <v>2</v>
      </c>
      <c r="BD303" s="10" t="s">
        <v>2</v>
      </c>
      <c r="BE303" s="10" t="s">
        <v>3</v>
      </c>
    </row>
    <row r="304" spans="1:57" x14ac:dyDescent="0.3">
      <c r="A304" s="10" t="s">
        <v>2365</v>
      </c>
      <c r="B304" s="10" t="s">
        <v>81</v>
      </c>
      <c r="C304" s="10" t="s">
        <v>688</v>
      </c>
      <c r="D304" s="10" t="s">
        <v>2381</v>
      </c>
      <c r="E304" s="10">
        <v>2007</v>
      </c>
      <c r="F304" s="4" t="s">
        <v>2312</v>
      </c>
      <c r="G304" s="10" t="s">
        <v>2312</v>
      </c>
      <c r="H304" s="10" t="s">
        <v>17</v>
      </c>
      <c r="J304" s="10" t="s">
        <v>691</v>
      </c>
      <c r="K304" s="10" t="s">
        <v>2382</v>
      </c>
      <c r="L304" s="10">
        <v>3</v>
      </c>
      <c r="M304" s="10">
        <v>3</v>
      </c>
      <c r="O304" s="10">
        <v>3.05</v>
      </c>
      <c r="P304" s="37">
        <f>0.1*SQRT(L304)</f>
        <v>0.17320508075688773</v>
      </c>
      <c r="Q304">
        <v>0</v>
      </c>
      <c r="S304" s="36"/>
      <c r="V304">
        <v>3</v>
      </c>
      <c r="Y304" s="10">
        <v>2.89</v>
      </c>
      <c r="Z304">
        <f>0.05*SQRT(M304)</f>
        <v>8.6602540378443865E-2</v>
      </c>
      <c r="AA304" s="3">
        <f>Y304*(1-1/5)</f>
        <v>2.3120000000000003</v>
      </c>
      <c r="AB304" s="3">
        <f>Z304*(1-1/5)</f>
        <v>6.9282032302755092E-2</v>
      </c>
      <c r="AC304">
        <v>0</v>
      </c>
      <c r="AK304">
        <f t="shared" si="124"/>
        <v>500</v>
      </c>
      <c r="AO304" s="14">
        <f t="shared" si="113"/>
        <v>0.758032786885246</v>
      </c>
      <c r="AP304" s="14"/>
      <c r="AR304" s="3">
        <f t="shared" si="121"/>
        <v>0.758032786885246</v>
      </c>
      <c r="AS304" s="3"/>
      <c r="AT304" s="3"/>
      <c r="AU304" s="45">
        <f t="shared" si="120"/>
        <v>2.3690847814878142E-3</v>
      </c>
      <c r="AV304" s="36"/>
      <c r="AX304" s="45">
        <f t="shared" si="122"/>
        <v>2.3690847814878142E-3</v>
      </c>
      <c r="AY304" s="36">
        <f t="shared" si="123"/>
        <v>6.420994694345683E-2</v>
      </c>
      <c r="AZ304">
        <f>12*AK304*0.0085+1.2*AK304*0.15+200*0.15</f>
        <v>171</v>
      </c>
      <c r="BA304" t="s">
        <v>1</v>
      </c>
      <c r="BC304" t="s">
        <v>2</v>
      </c>
      <c r="BD304" s="10" t="s">
        <v>2</v>
      </c>
      <c r="BE304" s="10" t="s">
        <v>3</v>
      </c>
    </row>
    <row r="305" spans="1:57" x14ac:dyDescent="0.3">
      <c r="A305" s="10" t="s">
        <v>2365</v>
      </c>
      <c r="B305" s="10" t="s">
        <v>81</v>
      </c>
      <c r="C305" s="10" t="s">
        <v>688</v>
      </c>
      <c r="D305" s="10" t="s">
        <v>2381</v>
      </c>
      <c r="E305" s="10">
        <v>2008</v>
      </c>
      <c r="F305" s="4" t="s">
        <v>2312</v>
      </c>
      <c r="G305" s="10" t="s">
        <v>2312</v>
      </c>
      <c r="H305" s="10" t="s">
        <v>17</v>
      </c>
      <c r="J305" s="10" t="s">
        <v>691</v>
      </c>
      <c r="K305" s="10" t="s">
        <v>2382</v>
      </c>
      <c r="L305" s="10">
        <v>3</v>
      </c>
      <c r="M305" s="10">
        <v>3</v>
      </c>
      <c r="O305" s="10">
        <v>2.6</v>
      </c>
      <c r="P305" s="37">
        <f>0.1*SQRT(L305)</f>
        <v>0.17320508075688773</v>
      </c>
      <c r="Q305">
        <v>0</v>
      </c>
      <c r="S305" s="36"/>
      <c r="V305">
        <v>4</v>
      </c>
      <c r="Y305" s="10">
        <v>2.37</v>
      </c>
      <c r="Z305">
        <f>0.12*SQRT(M305)</f>
        <v>0.20784609690826525</v>
      </c>
      <c r="AA305" s="3">
        <f>Y305*(1-1/5)</f>
        <v>1.8960000000000001</v>
      </c>
      <c r="AB305" s="3">
        <f>Z305*(1-1/5)</f>
        <v>0.16627687752661222</v>
      </c>
      <c r="AC305">
        <v>0</v>
      </c>
      <c r="AK305">
        <f t="shared" si="124"/>
        <v>500</v>
      </c>
      <c r="AO305" s="14">
        <f t="shared" si="113"/>
        <v>0.72923076923076924</v>
      </c>
      <c r="AP305" s="14"/>
      <c r="AR305" s="3">
        <f t="shared" si="121"/>
        <v>0.72923076923076924</v>
      </c>
      <c r="AS305" s="3"/>
      <c r="AT305" s="3"/>
      <c r="AU305" s="45">
        <f t="shared" si="120"/>
        <v>6.4499002135779554E-3</v>
      </c>
      <c r="AV305" s="36"/>
      <c r="AX305" s="45">
        <f t="shared" si="122"/>
        <v>6.4499002135779554E-3</v>
      </c>
      <c r="AY305" s="36">
        <f t="shared" si="123"/>
        <v>0.11013148946009325</v>
      </c>
      <c r="AZ305">
        <f>12*AK305*0.0085+1.2*AK305*0.15+200*0.15</f>
        <v>171</v>
      </c>
      <c r="BA305" t="s">
        <v>1</v>
      </c>
      <c r="BC305" t="s">
        <v>2</v>
      </c>
      <c r="BD305" s="10" t="s">
        <v>2</v>
      </c>
      <c r="BE305" s="10" t="s">
        <v>3</v>
      </c>
    </row>
    <row r="306" spans="1:57" x14ac:dyDescent="0.3">
      <c r="A306" s="10" t="s">
        <v>2365</v>
      </c>
      <c r="B306" s="10" t="s">
        <v>81</v>
      </c>
      <c r="C306" s="10" t="s">
        <v>688</v>
      </c>
      <c r="D306" s="10" t="s">
        <v>2381</v>
      </c>
      <c r="E306" s="10">
        <v>2009</v>
      </c>
      <c r="F306" s="4" t="s">
        <v>2312</v>
      </c>
      <c r="G306" s="10" t="s">
        <v>2312</v>
      </c>
      <c r="H306" s="10" t="s">
        <v>17</v>
      </c>
      <c r="J306" s="10" t="s">
        <v>691</v>
      </c>
      <c r="K306" s="10" t="s">
        <v>2382</v>
      </c>
      <c r="L306" s="10">
        <v>3</v>
      </c>
      <c r="M306" s="10">
        <v>3</v>
      </c>
      <c r="O306" s="10">
        <v>3.18</v>
      </c>
      <c r="P306" s="37">
        <f>0.12*SQRT(L306)</f>
        <v>0.20784609690826525</v>
      </c>
      <c r="Q306">
        <v>0</v>
      </c>
      <c r="S306" s="36"/>
      <c r="V306">
        <v>5</v>
      </c>
      <c r="Y306" s="10">
        <v>2.81</v>
      </c>
      <c r="Z306">
        <f>0.07*SQRT(M306)</f>
        <v>0.12124355652982141</v>
      </c>
      <c r="AA306" s="3">
        <f>Y306*(1-1.5/5)</f>
        <v>1.9669999999999999</v>
      </c>
      <c r="AB306" s="3">
        <f>Z306*(1-1.5/5)</f>
        <v>8.487048957087498E-2</v>
      </c>
      <c r="AC306">
        <v>0</v>
      </c>
      <c r="AK306">
        <f t="shared" si="124"/>
        <v>500</v>
      </c>
      <c r="AO306" s="14">
        <f t="shared" si="113"/>
        <v>0.61855345911949677</v>
      </c>
      <c r="AP306" s="14"/>
      <c r="AR306" s="3">
        <f t="shared" si="121"/>
        <v>0.61855345911949677</v>
      </c>
      <c r="AS306" s="3"/>
      <c r="AT306" s="3"/>
      <c r="AU306" s="45">
        <f t="shared" si="120"/>
        <v>2.3467902865068248E-3</v>
      </c>
      <c r="AV306" s="36"/>
      <c r="AX306" s="45">
        <f t="shared" si="122"/>
        <v>2.3467902865068248E-3</v>
      </c>
      <c r="AY306" s="36">
        <f t="shared" si="123"/>
        <v>7.8317695715838617E-2</v>
      </c>
      <c r="AZ306">
        <f>12*AK306*0.0085+1.2*AK306*0.15+200*0.15</f>
        <v>171</v>
      </c>
      <c r="BA306" t="s">
        <v>1</v>
      </c>
      <c r="BC306" t="s">
        <v>2</v>
      </c>
      <c r="BD306" s="10" t="s">
        <v>2</v>
      </c>
      <c r="BE306" s="10" t="s">
        <v>3</v>
      </c>
    </row>
    <row r="307" spans="1:57" x14ac:dyDescent="0.3">
      <c r="A307" s="10" t="s">
        <v>2365</v>
      </c>
      <c r="B307" s="10" t="s">
        <v>81</v>
      </c>
      <c r="C307" s="10" t="s">
        <v>688</v>
      </c>
      <c r="D307" s="10" t="s">
        <v>2381</v>
      </c>
      <c r="E307" s="10">
        <v>2010</v>
      </c>
      <c r="F307" s="4" t="s">
        <v>2312</v>
      </c>
      <c r="G307" s="10" t="s">
        <v>2312</v>
      </c>
      <c r="H307" s="10" t="s">
        <v>17</v>
      </c>
      <c r="J307" s="10" t="s">
        <v>691</v>
      </c>
      <c r="K307" s="10" t="s">
        <v>2382</v>
      </c>
      <c r="L307" s="10">
        <v>3</v>
      </c>
      <c r="M307" s="10">
        <v>3</v>
      </c>
      <c r="O307" s="10">
        <v>2.56</v>
      </c>
      <c r="P307" s="37">
        <f>0.17*SQRT(L307)</f>
        <v>0.29444863728670917</v>
      </c>
      <c r="Q307">
        <v>2.35</v>
      </c>
      <c r="R307">
        <f>0.18*SQRT(L307)</f>
        <v>0.31176914536239786</v>
      </c>
      <c r="S307" s="36"/>
      <c r="V307">
        <v>6</v>
      </c>
      <c r="Y307" s="10">
        <v>2.2799999999999998</v>
      </c>
      <c r="Z307">
        <f>0.02*SQRT(M307)</f>
        <v>3.4641016151377546E-2</v>
      </c>
      <c r="AA307" s="3">
        <f>Y307*(1-1.75/5)</f>
        <v>1.482</v>
      </c>
      <c r="AB307" s="3">
        <f>Z307*(1-1.75/5)</f>
        <v>2.2516660498395406E-2</v>
      </c>
      <c r="AC307">
        <v>2.17</v>
      </c>
      <c r="AD307">
        <f>0.14*SQRT(M307)</f>
        <v>0.24248711305964282</v>
      </c>
      <c r="AE307">
        <f>AC307</f>
        <v>2.17</v>
      </c>
      <c r="AF307">
        <f>AD307</f>
        <v>0.24248711305964282</v>
      </c>
      <c r="AK307">
        <f t="shared" si="124"/>
        <v>500</v>
      </c>
      <c r="AO307" s="14">
        <f t="shared" si="113"/>
        <v>0.57890624999999996</v>
      </c>
      <c r="AP307" s="14">
        <f>AE307/Q307</f>
        <v>0.92340425531914883</v>
      </c>
      <c r="AR307" s="3">
        <f t="shared" si="121"/>
        <v>1.5023105053191488</v>
      </c>
      <c r="AS307" s="3"/>
      <c r="AT307" s="3"/>
      <c r="AU307" s="45">
        <f t="shared" si="120"/>
        <v>4.5109532307833437E-3</v>
      </c>
      <c r="AV307" s="36">
        <f>(AF307^2)/(Q307^2)+(R307^2)*(AE307^2)/(Q307^4)</f>
        <v>2.5655056713748285E-2</v>
      </c>
      <c r="AX307" s="45">
        <f t="shared" si="122"/>
        <v>3.0166009944531627E-2</v>
      </c>
      <c r="AY307" s="36">
        <f t="shared" si="123"/>
        <v>0.1156110194443894</v>
      </c>
      <c r="AZ307">
        <f>30*AK307*0.0085+2*AK307*0.15+200*0.15</f>
        <v>307.5</v>
      </c>
      <c r="BA307" t="s">
        <v>1</v>
      </c>
      <c r="BC307" t="s">
        <v>2</v>
      </c>
      <c r="BD307" s="10" t="s">
        <v>2</v>
      </c>
      <c r="BE307" s="10" t="s">
        <v>3</v>
      </c>
    </row>
    <row r="308" spans="1:57" x14ac:dyDescent="0.3">
      <c r="A308" s="10" t="s">
        <v>2365</v>
      </c>
      <c r="B308" s="10" t="s">
        <v>81</v>
      </c>
      <c r="C308" s="10" t="s">
        <v>688</v>
      </c>
      <c r="D308" s="10" t="s">
        <v>2381</v>
      </c>
      <c r="E308" s="10">
        <v>2011</v>
      </c>
      <c r="F308" s="4" t="s">
        <v>2312</v>
      </c>
      <c r="G308" s="10" t="s">
        <v>2312</v>
      </c>
      <c r="H308" s="10" t="s">
        <v>17</v>
      </c>
      <c r="J308" s="10" t="s">
        <v>691</v>
      </c>
      <c r="K308" s="10" t="s">
        <v>2382</v>
      </c>
      <c r="L308" s="10">
        <v>3</v>
      </c>
      <c r="M308" s="10">
        <v>3</v>
      </c>
      <c r="O308" s="10">
        <v>3.75</v>
      </c>
      <c r="P308" s="37">
        <f>0.24*SQRT(L308)</f>
        <v>0.4156921938165305</v>
      </c>
      <c r="Q308">
        <v>3.59</v>
      </c>
      <c r="R308">
        <f>0.05*SQRT(L308)</f>
        <v>8.6602540378443865E-2</v>
      </c>
      <c r="S308" s="36"/>
      <c r="V308">
        <v>7</v>
      </c>
      <c r="Y308" s="10">
        <v>3</v>
      </c>
      <c r="Z308">
        <f>0.1*SQRT(M308)</f>
        <v>0.17320508075688773</v>
      </c>
      <c r="AA308" s="3">
        <f>Y308*(1-2/5)</f>
        <v>1.7999999999999998</v>
      </c>
      <c r="AB308" s="3">
        <f>Z308*(1-2/5)</f>
        <v>0.10392304845413264</v>
      </c>
      <c r="AC308">
        <v>3.39</v>
      </c>
      <c r="AD308">
        <f>0.04*SQRT(M308)</f>
        <v>6.9282032302755092E-2</v>
      </c>
      <c r="AE308">
        <f t="shared" ref="AE308:AF328" si="125">AC308</f>
        <v>3.39</v>
      </c>
      <c r="AF308">
        <f t="shared" si="125"/>
        <v>6.9282032302755092E-2</v>
      </c>
      <c r="AK308">
        <f t="shared" si="124"/>
        <v>500</v>
      </c>
      <c r="AO308" s="14">
        <f t="shared" si="113"/>
        <v>0.47999999999999993</v>
      </c>
      <c r="AP308" s="14">
        <f>AE308/Q308</f>
        <v>0.94428969359331483</v>
      </c>
      <c r="AR308" s="3">
        <f t="shared" si="121"/>
        <v>1.4242896935933147</v>
      </c>
      <c r="AS308" s="3"/>
      <c r="AT308" s="3"/>
      <c r="AU308" s="45">
        <f t="shared" si="120"/>
        <v>3.5991551999999985E-3</v>
      </c>
      <c r="AV308" s="36">
        <f>(AF308^2)/(Q308^2)+(R308^2)*(AE308^2)/(Q308^4)</f>
        <v>8.9133562671760559E-4</v>
      </c>
      <c r="AX308" s="45">
        <f t="shared" si="122"/>
        <v>4.4904908267176039E-3</v>
      </c>
      <c r="AY308" s="36">
        <f t="shared" si="123"/>
        <v>4.7048802606927884E-2</v>
      </c>
      <c r="AZ308">
        <f>30*AK308*0.0085+2*AK308*0.15+200*0.15</f>
        <v>307.5</v>
      </c>
      <c r="BA308" t="s">
        <v>1</v>
      </c>
      <c r="BC308" t="s">
        <v>2</v>
      </c>
      <c r="BD308" s="10" t="s">
        <v>2</v>
      </c>
      <c r="BE308" s="10" t="s">
        <v>3</v>
      </c>
    </row>
    <row r="309" spans="1:57" x14ac:dyDescent="0.3">
      <c r="A309" s="10" t="s">
        <v>2365</v>
      </c>
      <c r="B309" s="10" t="s">
        <v>81</v>
      </c>
      <c r="C309" s="10" t="s">
        <v>688</v>
      </c>
      <c r="D309" s="10" t="s">
        <v>2381</v>
      </c>
      <c r="E309" s="10">
        <v>2012</v>
      </c>
      <c r="F309" s="4" t="s">
        <v>2312</v>
      </c>
      <c r="G309" s="10" t="s">
        <v>2312</v>
      </c>
      <c r="H309" s="10" t="s">
        <v>17</v>
      </c>
      <c r="J309" s="10" t="s">
        <v>691</v>
      </c>
      <c r="K309" s="10" t="s">
        <v>2382</v>
      </c>
      <c r="L309" s="10">
        <v>3</v>
      </c>
      <c r="M309" s="10">
        <v>3</v>
      </c>
      <c r="O309" s="10">
        <v>2.82</v>
      </c>
      <c r="P309" s="37">
        <f>0.12*SQRT(L309)</f>
        <v>0.20784609690826525</v>
      </c>
      <c r="Q309">
        <v>7.62</v>
      </c>
      <c r="R309">
        <f>0.29*SQRT(L309)</f>
        <v>0.50229473419497439</v>
      </c>
      <c r="S309" s="36"/>
      <c r="V309">
        <v>8</v>
      </c>
      <c r="Y309" s="10">
        <v>2.35</v>
      </c>
      <c r="Z309">
        <f>0.14*SQRT(M309)</f>
        <v>0.24248711305964282</v>
      </c>
      <c r="AA309" s="3">
        <f>Y309*(1-2.25/5)</f>
        <v>1.2925000000000002</v>
      </c>
      <c r="AB309" s="3">
        <f>Z309*(1-2.25/5)</f>
        <v>0.13336791218280356</v>
      </c>
      <c r="AC309">
        <v>7.44</v>
      </c>
      <c r="AD309">
        <f>0.26*SQRT(M309)</f>
        <v>0.4503332099679081</v>
      </c>
      <c r="AE309">
        <f t="shared" si="125"/>
        <v>7.44</v>
      </c>
      <c r="AF309">
        <f t="shared" si="125"/>
        <v>0.4503332099679081</v>
      </c>
      <c r="AK309">
        <f t="shared" si="124"/>
        <v>500</v>
      </c>
      <c r="AO309" s="14">
        <f t="shared" si="113"/>
        <v>0.45833333333333343</v>
      </c>
      <c r="AP309" s="14">
        <f>AE309/Q309</f>
        <v>0.97637795275590555</v>
      </c>
      <c r="AR309" s="3">
        <f t="shared" si="121"/>
        <v>1.434711286089239</v>
      </c>
      <c r="AS309" s="3"/>
      <c r="AT309" s="3"/>
      <c r="AU309" s="45">
        <f t="shared" si="120"/>
        <v>3.3778481967707869E-3</v>
      </c>
      <c r="AV309" s="36">
        <f>(AF309^2)/(Q309^2)+(R309^2)*(AE309^2)/(Q309^4)</f>
        <v>7.6349897465951139E-3</v>
      </c>
      <c r="AX309" s="45">
        <f t="shared" si="122"/>
        <v>1.10128379433659E-2</v>
      </c>
      <c r="AY309" s="36">
        <f t="shared" si="123"/>
        <v>7.3145078373191286E-2</v>
      </c>
      <c r="AZ309">
        <f>30*AK309*0.0085+2*AK309*0.15+200*0.15</f>
        <v>307.5</v>
      </c>
      <c r="BA309" t="s">
        <v>1</v>
      </c>
      <c r="BC309" t="s">
        <v>2</v>
      </c>
      <c r="BD309" s="10" t="s">
        <v>2</v>
      </c>
      <c r="BE309" s="10" t="s">
        <v>3</v>
      </c>
    </row>
    <row r="310" spans="1:57" x14ac:dyDescent="0.3">
      <c r="A310" s="10" t="s">
        <v>2365</v>
      </c>
      <c r="B310" s="10" t="s">
        <v>81</v>
      </c>
      <c r="C310" s="10" t="s">
        <v>688</v>
      </c>
      <c r="D310" s="10" t="s">
        <v>2381</v>
      </c>
      <c r="E310" s="10">
        <v>2013</v>
      </c>
      <c r="F310" s="4" t="s">
        <v>2312</v>
      </c>
      <c r="G310" s="10" t="s">
        <v>2312</v>
      </c>
      <c r="H310" s="10" t="s">
        <v>17</v>
      </c>
      <c r="J310" s="10" t="s">
        <v>691</v>
      </c>
      <c r="K310" s="10" t="s">
        <v>2382</v>
      </c>
      <c r="L310" s="10">
        <v>3</v>
      </c>
      <c r="M310" s="10">
        <v>3</v>
      </c>
      <c r="O310" s="10">
        <v>3.06</v>
      </c>
      <c r="P310" s="37">
        <f>0.13*SQRT(L310)</f>
        <v>0.22516660498395405</v>
      </c>
      <c r="Q310">
        <v>13.64</v>
      </c>
      <c r="R310">
        <f>0.3*SQRT(L310)</f>
        <v>0.51961524227066314</v>
      </c>
      <c r="S310" s="36"/>
      <c r="V310">
        <v>9</v>
      </c>
      <c r="Y310" s="10">
        <v>1.93</v>
      </c>
      <c r="Z310">
        <f>0.49*SQRT(M310)</f>
        <v>0.84870489570874985</v>
      </c>
      <c r="AA310" s="3">
        <f>Y310*(1-2.5/5)</f>
        <v>0.96499999999999997</v>
      </c>
      <c r="AB310" s="3">
        <f>Z310*(1-2.5/5)</f>
        <v>0.42435244785437493</v>
      </c>
      <c r="AC310">
        <v>13.43</v>
      </c>
      <c r="AD310">
        <f>0.33*SQRT(M310)</f>
        <v>0.57157676649772948</v>
      </c>
      <c r="AE310">
        <f t="shared" si="125"/>
        <v>13.43</v>
      </c>
      <c r="AF310">
        <f t="shared" si="125"/>
        <v>0.57157676649772948</v>
      </c>
      <c r="AK310">
        <f t="shared" si="124"/>
        <v>500</v>
      </c>
      <c r="AO310" s="14">
        <f t="shared" si="113"/>
        <v>0.315359477124183</v>
      </c>
      <c r="AP310" s="14">
        <f>AE310/Q310</f>
        <v>0.98460410557184741</v>
      </c>
      <c r="AR310" s="3">
        <f t="shared" si="121"/>
        <v>1.2999635826960305</v>
      </c>
      <c r="AS310" s="3"/>
      <c r="AT310" s="3"/>
      <c r="AU310" s="45">
        <f t="shared" si="120"/>
        <v>1.9769874419077096E-2</v>
      </c>
      <c r="AV310" s="36">
        <f>(AF310^2)/(Q310^2)+(R310^2)*(AE310^2)/(Q310^4)</f>
        <v>3.1628674077848759E-3</v>
      </c>
      <c r="AX310" s="45">
        <f t="shared" si="122"/>
        <v>2.2932741826861971E-2</v>
      </c>
      <c r="AY310" s="36">
        <f t="shared" si="123"/>
        <v>0.1164921886425577</v>
      </c>
      <c r="AZ310">
        <f>30*AK310*0.0085+2*AK310*0.15+200*0.15</f>
        <v>307.5</v>
      </c>
      <c r="BA310" t="s">
        <v>1</v>
      </c>
      <c r="BC310" t="s">
        <v>2</v>
      </c>
      <c r="BD310" s="10" t="s">
        <v>2</v>
      </c>
      <c r="BE310" s="10" t="s">
        <v>3</v>
      </c>
    </row>
    <row r="311" spans="1:57" x14ac:dyDescent="0.3">
      <c r="A311" s="10" t="s">
        <v>2365</v>
      </c>
      <c r="B311" s="10" t="s">
        <v>81</v>
      </c>
      <c r="C311" s="10" t="s">
        <v>688</v>
      </c>
      <c r="D311" s="10" t="s">
        <v>2381</v>
      </c>
      <c r="E311" s="10">
        <v>2005</v>
      </c>
      <c r="F311" s="4" t="s">
        <v>2312</v>
      </c>
      <c r="G311" s="10" t="s">
        <v>2312</v>
      </c>
      <c r="H311" s="10" t="s">
        <v>17</v>
      </c>
      <c r="J311" s="10" t="s">
        <v>56</v>
      </c>
      <c r="K311" s="10" t="s">
        <v>2382</v>
      </c>
      <c r="L311" s="10">
        <v>3</v>
      </c>
      <c r="M311" s="10">
        <v>3</v>
      </c>
      <c r="O311" s="10">
        <v>3.03</v>
      </c>
      <c r="P311" s="37">
        <f>0.12*SQRT(L311)</f>
        <v>0.20784609690826525</v>
      </c>
      <c r="Q311">
        <v>0</v>
      </c>
      <c r="S311" s="36"/>
      <c r="V311">
        <v>1</v>
      </c>
      <c r="Y311" s="10">
        <v>2.93</v>
      </c>
      <c r="Z311">
        <f>0.07*SQRT(M311)</f>
        <v>0.12124355652982141</v>
      </c>
      <c r="AA311" s="3">
        <f>Y311*(1-0.5/5)</f>
        <v>2.637</v>
      </c>
      <c r="AB311" s="3">
        <f>Z311*(1-0.5/5)</f>
        <v>0.10911920087683927</v>
      </c>
      <c r="AC311">
        <v>0</v>
      </c>
      <c r="AE311">
        <f t="shared" si="125"/>
        <v>0</v>
      </c>
      <c r="AF311">
        <f t="shared" si="125"/>
        <v>0</v>
      </c>
      <c r="AK311">
        <f>10000/(4*5)</f>
        <v>500</v>
      </c>
      <c r="AO311" s="14">
        <f t="shared" si="113"/>
        <v>0.8702970297029704</v>
      </c>
      <c r="AP311" s="14"/>
      <c r="AR311" s="3">
        <f t="shared" si="121"/>
        <v>0.8702970297029704</v>
      </c>
      <c r="AS311" s="3"/>
      <c r="AT311" s="3"/>
      <c r="AU311" s="45">
        <f t="shared" si="120"/>
        <v>4.8608971822047854E-3</v>
      </c>
      <c r="AV311" s="36"/>
      <c r="AX311" s="45">
        <f t="shared" si="122"/>
        <v>4.8608971822047854E-3</v>
      </c>
      <c r="AY311" s="36">
        <f t="shared" si="123"/>
        <v>8.0110734976379647E-2</v>
      </c>
      <c r="AZ311">
        <f>12*AK311*0.0085+1.2*AK311*0.15+600*0.15</f>
        <v>231</v>
      </c>
      <c r="BA311" t="s">
        <v>1</v>
      </c>
      <c r="BC311" t="s">
        <v>2</v>
      </c>
      <c r="BD311" s="10" t="s">
        <v>2</v>
      </c>
      <c r="BE311" s="10" t="s">
        <v>3</v>
      </c>
    </row>
    <row r="312" spans="1:57" x14ac:dyDescent="0.3">
      <c r="A312" s="10" t="s">
        <v>2365</v>
      </c>
      <c r="B312" s="10" t="s">
        <v>81</v>
      </c>
      <c r="C312" s="10" t="s">
        <v>688</v>
      </c>
      <c r="D312" s="10" t="s">
        <v>2381</v>
      </c>
      <c r="E312" s="10">
        <v>2006</v>
      </c>
      <c r="F312" s="4" t="s">
        <v>2312</v>
      </c>
      <c r="G312" s="10" t="s">
        <v>2312</v>
      </c>
      <c r="H312" s="10" t="s">
        <v>17</v>
      </c>
      <c r="J312" s="10" t="s">
        <v>56</v>
      </c>
      <c r="K312" s="10" t="s">
        <v>2382</v>
      </c>
      <c r="L312" s="10">
        <v>3</v>
      </c>
      <c r="M312" s="10">
        <v>3</v>
      </c>
      <c r="O312" s="10">
        <v>3.93</v>
      </c>
      <c r="P312" s="37">
        <f>0.14*SQRT(L312)</f>
        <v>0.24248711305964282</v>
      </c>
      <c r="Q312">
        <v>0</v>
      </c>
      <c r="S312" s="36"/>
      <c r="V312">
        <v>2</v>
      </c>
      <c r="Y312" s="10">
        <v>3.77</v>
      </c>
      <c r="Z312">
        <f>0.05*SQRT(M312)</f>
        <v>8.6602540378443865E-2</v>
      </c>
      <c r="AA312" s="3">
        <f>Y312*(1-0.75/5)</f>
        <v>3.2044999999999999</v>
      </c>
      <c r="AB312" s="3">
        <f>Z312*(1-0.75/5)</f>
        <v>7.3612159321677278E-2</v>
      </c>
      <c r="AC312">
        <v>0</v>
      </c>
      <c r="AE312">
        <f t="shared" si="125"/>
        <v>0</v>
      </c>
      <c r="AF312">
        <f t="shared" si="125"/>
        <v>0</v>
      </c>
      <c r="AK312">
        <f t="shared" si="124"/>
        <v>500</v>
      </c>
      <c r="AO312" s="14">
        <f t="shared" si="113"/>
        <v>0.8153944020356233</v>
      </c>
      <c r="AP312" s="14"/>
      <c r="AR312" s="3">
        <f t="shared" si="121"/>
        <v>0.8153944020356233</v>
      </c>
      <c r="AS312" s="3"/>
      <c r="AT312" s="3"/>
      <c r="AU312" s="45">
        <f t="shared" si="120"/>
        <v>2.8820510469615645E-3</v>
      </c>
      <c r="AV312" s="36"/>
      <c r="AX312" s="45">
        <f t="shared" si="122"/>
        <v>2.8820510469615645E-3</v>
      </c>
      <c r="AY312" s="36">
        <f t="shared" si="123"/>
        <v>6.5838982247952302E-2</v>
      </c>
      <c r="AZ312">
        <f>12*AK312*0.0085+1.2*AK312*0.15+600*0.15</f>
        <v>231</v>
      </c>
      <c r="BA312" t="s">
        <v>1</v>
      </c>
      <c r="BC312" t="s">
        <v>2</v>
      </c>
      <c r="BD312" s="10" t="s">
        <v>2</v>
      </c>
      <c r="BE312" s="10" t="s">
        <v>3</v>
      </c>
    </row>
    <row r="313" spans="1:57" x14ac:dyDescent="0.3">
      <c r="A313" s="10" t="s">
        <v>2365</v>
      </c>
      <c r="B313" s="10" t="s">
        <v>81</v>
      </c>
      <c r="C313" s="10" t="s">
        <v>688</v>
      </c>
      <c r="D313" s="10" t="s">
        <v>2381</v>
      </c>
      <c r="E313" s="10">
        <v>2007</v>
      </c>
      <c r="F313" s="4" t="s">
        <v>2312</v>
      </c>
      <c r="G313" s="10" t="s">
        <v>2312</v>
      </c>
      <c r="H313" s="10" t="s">
        <v>17</v>
      </c>
      <c r="J313" s="10" t="s">
        <v>56</v>
      </c>
      <c r="K313" s="10" t="s">
        <v>2382</v>
      </c>
      <c r="L313" s="10">
        <v>3</v>
      </c>
      <c r="M313" s="10">
        <v>3</v>
      </c>
      <c r="O313" s="10">
        <v>3.49</v>
      </c>
      <c r="P313" s="37">
        <f>0.23*SQRT(L313)</f>
        <v>0.39837168574084175</v>
      </c>
      <c r="Q313">
        <v>0</v>
      </c>
      <c r="S313" s="36"/>
      <c r="V313">
        <v>3</v>
      </c>
      <c r="Y313" s="10">
        <v>3.32</v>
      </c>
      <c r="Z313">
        <f>0.07*SQRT(M313)</f>
        <v>0.12124355652982141</v>
      </c>
      <c r="AA313" s="3">
        <f>Y313*(1-1/5)</f>
        <v>2.6560000000000001</v>
      </c>
      <c r="AB313" s="3">
        <f>Z313*(1-1/5)</f>
        <v>9.6994845223857137E-2</v>
      </c>
      <c r="AC313">
        <v>0</v>
      </c>
      <c r="AE313">
        <f t="shared" si="125"/>
        <v>0</v>
      </c>
      <c r="AF313">
        <f t="shared" si="125"/>
        <v>0</v>
      </c>
      <c r="AK313">
        <f t="shared" si="124"/>
        <v>500</v>
      </c>
      <c r="AO313" s="14">
        <f t="shared" si="113"/>
        <v>0.7610315186246418</v>
      </c>
      <c r="AP313" s="14"/>
      <c r="AR313" s="3">
        <f t="shared" si="121"/>
        <v>0.7610315186246418</v>
      </c>
      <c r="AS313" s="3"/>
      <c r="AT313" s="3"/>
      <c r="AU313" s="45">
        <f t="shared" si="120"/>
        <v>8.3186604305694033E-3</v>
      </c>
      <c r="AV313" s="36"/>
      <c r="AX313" s="45">
        <f t="shared" si="122"/>
        <v>8.3186604305694033E-3</v>
      </c>
      <c r="AY313" s="36">
        <f t="shared" si="123"/>
        <v>0.11984614103299547</v>
      </c>
      <c r="AZ313">
        <f>12*AK313*0.0085+1.2*AK313*0.15+600*0.15</f>
        <v>231</v>
      </c>
      <c r="BA313" t="s">
        <v>1</v>
      </c>
      <c r="BC313" t="s">
        <v>2</v>
      </c>
      <c r="BD313" s="10" t="s">
        <v>2</v>
      </c>
      <c r="BE313" s="10" t="s">
        <v>3</v>
      </c>
    </row>
    <row r="314" spans="1:57" x14ac:dyDescent="0.3">
      <c r="A314" s="10" t="s">
        <v>2365</v>
      </c>
      <c r="B314" s="10" t="s">
        <v>81</v>
      </c>
      <c r="C314" s="10" t="s">
        <v>688</v>
      </c>
      <c r="D314" s="10" t="s">
        <v>2381</v>
      </c>
      <c r="E314" s="10">
        <v>2008</v>
      </c>
      <c r="F314" s="4" t="s">
        <v>2312</v>
      </c>
      <c r="G314" s="10" t="s">
        <v>2312</v>
      </c>
      <c r="H314" s="10" t="s">
        <v>17</v>
      </c>
      <c r="J314" s="10" t="s">
        <v>56</v>
      </c>
      <c r="K314" s="10" t="s">
        <v>2382</v>
      </c>
      <c r="L314" s="10">
        <v>3</v>
      </c>
      <c r="M314" s="10">
        <v>3</v>
      </c>
      <c r="O314" s="10">
        <v>2.89</v>
      </c>
      <c r="P314" s="37">
        <f>0.18*SQRT(L314)</f>
        <v>0.31176914536239786</v>
      </c>
      <c r="Q314">
        <v>0</v>
      </c>
      <c r="S314" s="36"/>
      <c r="V314">
        <v>4</v>
      </c>
      <c r="Y314" s="10">
        <v>2.58</v>
      </c>
      <c r="Z314">
        <f>0.06*SQRT(M314)</f>
        <v>0.10392304845413262</v>
      </c>
      <c r="AA314" s="3">
        <f>Y314*(1-1/5)</f>
        <v>2.0640000000000001</v>
      </c>
      <c r="AB314" s="3">
        <f>Z314*(1-1/5)</f>
        <v>8.3138438763306108E-2</v>
      </c>
      <c r="AC314">
        <v>0</v>
      </c>
      <c r="AE314">
        <f t="shared" si="125"/>
        <v>0</v>
      </c>
      <c r="AF314">
        <f t="shared" si="125"/>
        <v>0</v>
      </c>
      <c r="AK314">
        <f t="shared" si="124"/>
        <v>500</v>
      </c>
      <c r="AO314" s="14">
        <f t="shared" ref="AO314:AO345" si="126">AA314/O314</f>
        <v>0.71418685121107262</v>
      </c>
      <c r="AP314" s="14"/>
      <c r="AR314" s="3">
        <f t="shared" si="121"/>
        <v>0.71418685121107262</v>
      </c>
      <c r="AS314" s="3"/>
      <c r="AT314" s="3"/>
      <c r="AU314" s="45">
        <f t="shared" si="120"/>
        <v>6.7635815951244422E-3</v>
      </c>
      <c r="AV314" s="36"/>
      <c r="AX314" s="45">
        <f t="shared" si="122"/>
        <v>6.7635815951244422E-3</v>
      </c>
      <c r="AY314" s="36">
        <f t="shared" si="123"/>
        <v>0.11515333404215837</v>
      </c>
      <c r="AZ314">
        <f>12*AK314*0.0085+1.2*AK314*0.15+600*0.15</f>
        <v>231</v>
      </c>
      <c r="BA314" t="s">
        <v>1</v>
      </c>
      <c r="BC314" t="s">
        <v>2</v>
      </c>
      <c r="BD314" s="10" t="s">
        <v>2</v>
      </c>
      <c r="BE314" s="10" t="s">
        <v>3</v>
      </c>
    </row>
    <row r="315" spans="1:57" x14ac:dyDescent="0.3">
      <c r="A315" s="10" t="s">
        <v>2365</v>
      </c>
      <c r="B315" s="10" t="s">
        <v>81</v>
      </c>
      <c r="C315" s="10" t="s">
        <v>688</v>
      </c>
      <c r="D315" s="10" t="s">
        <v>2381</v>
      </c>
      <c r="E315" s="10">
        <v>2009</v>
      </c>
      <c r="F315" s="4" t="s">
        <v>2312</v>
      </c>
      <c r="G315" s="10" t="s">
        <v>2312</v>
      </c>
      <c r="H315" s="10" t="s">
        <v>17</v>
      </c>
      <c r="J315" s="10" t="s">
        <v>56</v>
      </c>
      <c r="K315" s="10" t="s">
        <v>2382</v>
      </c>
      <c r="L315" s="10">
        <v>3</v>
      </c>
      <c r="M315" s="10">
        <v>3</v>
      </c>
      <c r="O315" s="10">
        <v>3.45</v>
      </c>
      <c r="P315" s="37">
        <f>0.19*SQRT(L315)</f>
        <v>0.32908965343808666</v>
      </c>
      <c r="Q315">
        <v>0</v>
      </c>
      <c r="S315" s="36"/>
      <c r="V315">
        <v>5</v>
      </c>
      <c r="Y315" s="10">
        <v>2.94</v>
      </c>
      <c r="Z315">
        <f>0.05*SQRT(M315)</f>
        <v>8.6602540378443865E-2</v>
      </c>
      <c r="AA315" s="3">
        <f>Y315*(1-1.5/5)</f>
        <v>2.0579999999999998</v>
      </c>
      <c r="AB315" s="3">
        <f>Z315*(1-1.5/5)</f>
        <v>6.0621778264910699E-2</v>
      </c>
      <c r="AC315">
        <v>0</v>
      </c>
      <c r="AE315">
        <f t="shared" si="125"/>
        <v>0</v>
      </c>
      <c r="AF315">
        <f t="shared" si="125"/>
        <v>0</v>
      </c>
      <c r="AK315">
        <f t="shared" si="124"/>
        <v>500</v>
      </c>
      <c r="AO315" s="14">
        <f t="shared" si="126"/>
        <v>0.59652173913043471</v>
      </c>
      <c r="AP315" s="14"/>
      <c r="AR315" s="3">
        <f t="shared" si="121"/>
        <v>0.59652173913043471</v>
      </c>
      <c r="AS315" s="3"/>
      <c r="AT315" s="3"/>
      <c r="AU315" s="45">
        <f t="shared" si="120"/>
        <v>3.5465049748488113E-3</v>
      </c>
      <c r="AV315" s="36"/>
      <c r="AX315" s="45">
        <f t="shared" si="122"/>
        <v>3.5465049748488113E-3</v>
      </c>
      <c r="AY315" s="36">
        <f t="shared" si="123"/>
        <v>9.9832974576806982E-2</v>
      </c>
      <c r="AZ315">
        <f>12*AK315*0.0085+1.2*AK315*0.15+600*0.15</f>
        <v>231</v>
      </c>
      <c r="BA315" t="s">
        <v>1</v>
      </c>
      <c r="BC315" t="s">
        <v>2</v>
      </c>
      <c r="BD315" s="10" t="s">
        <v>2</v>
      </c>
      <c r="BE315" s="10" t="s">
        <v>3</v>
      </c>
    </row>
    <row r="316" spans="1:57" x14ac:dyDescent="0.3">
      <c r="A316" s="10" t="s">
        <v>2365</v>
      </c>
      <c r="B316" s="10" t="s">
        <v>81</v>
      </c>
      <c r="C316" s="10" t="s">
        <v>688</v>
      </c>
      <c r="D316" s="10" t="s">
        <v>2381</v>
      </c>
      <c r="E316" s="10">
        <v>2010</v>
      </c>
      <c r="F316" s="4" t="s">
        <v>2312</v>
      </c>
      <c r="G316" s="10" t="s">
        <v>2312</v>
      </c>
      <c r="H316" s="10" t="s">
        <v>17</v>
      </c>
      <c r="J316" s="10" t="s">
        <v>56</v>
      </c>
      <c r="K316" s="10" t="s">
        <v>2382</v>
      </c>
      <c r="L316" s="10">
        <v>3</v>
      </c>
      <c r="M316" s="10">
        <v>3</v>
      </c>
      <c r="O316" s="10">
        <v>3.03</v>
      </c>
      <c r="P316" s="37">
        <f>0.21*SQRT(L316)</f>
        <v>0.36373066958946421</v>
      </c>
      <c r="Q316">
        <v>2.35</v>
      </c>
      <c r="R316">
        <f>0.18*SQRT(L316)</f>
        <v>0.31176914536239786</v>
      </c>
      <c r="S316" s="36"/>
      <c r="V316">
        <v>6</v>
      </c>
      <c r="Y316" s="10">
        <v>2.62</v>
      </c>
      <c r="Z316">
        <f>0.07*SQRT(M316)</f>
        <v>0.12124355652982141</v>
      </c>
      <c r="AA316" s="3">
        <f>Y316*(1-1.75/5)</f>
        <v>1.7030000000000001</v>
      </c>
      <c r="AB316" s="3">
        <f>Z316*(1-1.75/5)</f>
        <v>7.8808311744383922E-2</v>
      </c>
      <c r="AC316">
        <v>2.17</v>
      </c>
      <c r="AD316">
        <f>0.15*SQRT(M316)</f>
        <v>0.25980762113533157</v>
      </c>
      <c r="AE316">
        <f t="shared" si="125"/>
        <v>2.17</v>
      </c>
      <c r="AF316">
        <f t="shared" si="125"/>
        <v>0.25980762113533157</v>
      </c>
      <c r="AK316">
        <f t="shared" si="124"/>
        <v>500</v>
      </c>
      <c r="AO316" s="14">
        <f t="shared" si="126"/>
        <v>0.56204620462046206</v>
      </c>
      <c r="AP316" s="14">
        <f>AE316/Q316</f>
        <v>0.92340425531914883</v>
      </c>
      <c r="AR316" s="3">
        <f t="shared" si="121"/>
        <v>1.485450459939611</v>
      </c>
      <c r="AS316" s="3"/>
      <c r="AT316" s="3"/>
      <c r="AU316" s="45">
        <f t="shared" si="120"/>
        <v>5.228657577118761E-3</v>
      </c>
      <c r="AV316" s="36">
        <f>(AF316^2)/(Q316^2)+(R316^2)*(AE316^2)/(Q316^4)</f>
        <v>2.7230430185907629E-2</v>
      </c>
      <c r="AX316" s="45">
        <f t="shared" si="122"/>
        <v>3.245908776302639E-2</v>
      </c>
      <c r="AY316" s="36">
        <f t="shared" si="123"/>
        <v>0.12128580708003799</v>
      </c>
      <c r="AZ316">
        <f>30*AK316*0.0085+2*AK316*0.15+600*0.15</f>
        <v>367.5</v>
      </c>
      <c r="BA316" t="s">
        <v>1</v>
      </c>
      <c r="BC316" t="s">
        <v>2</v>
      </c>
      <c r="BD316" s="10" t="s">
        <v>2</v>
      </c>
      <c r="BE316" s="10" t="s">
        <v>3</v>
      </c>
    </row>
    <row r="317" spans="1:57" x14ac:dyDescent="0.3">
      <c r="A317" s="10" t="s">
        <v>2365</v>
      </c>
      <c r="B317" s="10" t="s">
        <v>81</v>
      </c>
      <c r="C317" s="10" t="s">
        <v>688</v>
      </c>
      <c r="D317" s="10" t="s">
        <v>2381</v>
      </c>
      <c r="E317" s="10">
        <v>2011</v>
      </c>
      <c r="F317" s="4" t="s">
        <v>2312</v>
      </c>
      <c r="G317" s="10" t="s">
        <v>2312</v>
      </c>
      <c r="H317" s="10" t="s">
        <v>17</v>
      </c>
      <c r="J317" s="10" t="s">
        <v>56</v>
      </c>
      <c r="K317" s="10" t="s">
        <v>2382</v>
      </c>
      <c r="L317" s="10">
        <v>3</v>
      </c>
      <c r="M317" s="10">
        <v>3</v>
      </c>
      <c r="O317" s="10">
        <v>3.87</v>
      </c>
      <c r="P317" s="37">
        <f>0.17*SQRT(L317)</f>
        <v>0.29444863728670917</v>
      </c>
      <c r="Q317">
        <v>3.59</v>
      </c>
      <c r="R317">
        <f>0.05*SQRT(L317)</f>
        <v>8.6602540378443865E-2</v>
      </c>
      <c r="S317" s="36"/>
      <c r="V317">
        <v>7</v>
      </c>
      <c r="Y317" s="10">
        <v>3.29</v>
      </c>
      <c r="Z317">
        <f>0.14*SQRT(M317)</f>
        <v>0.24248711305964282</v>
      </c>
      <c r="AA317" s="3">
        <f>Y317*(1-2/5)</f>
        <v>1.974</v>
      </c>
      <c r="AB317" s="3">
        <f>Z317*(1-2/5)</f>
        <v>0.1454922678357857</v>
      </c>
      <c r="AC317">
        <v>3.29</v>
      </c>
      <c r="AD317">
        <f>0.03*SQRT(M317)</f>
        <v>5.1961524227066312E-2</v>
      </c>
      <c r="AE317">
        <f t="shared" si="125"/>
        <v>3.29</v>
      </c>
      <c r="AF317">
        <f t="shared" si="125"/>
        <v>5.1961524227066312E-2</v>
      </c>
      <c r="AK317">
        <f t="shared" si="124"/>
        <v>500</v>
      </c>
      <c r="AO317" s="14">
        <f t="shared" si="126"/>
        <v>0.51007751937984491</v>
      </c>
      <c r="AP317" s="14">
        <f>AE317/Q317</f>
        <v>0.91643454038997219</v>
      </c>
      <c r="AR317" s="3">
        <f t="shared" si="121"/>
        <v>1.4265120597698171</v>
      </c>
      <c r="AS317" s="3"/>
      <c r="AT317" s="3"/>
      <c r="AU317" s="45">
        <f t="shared" si="120"/>
        <v>2.9195311359386492E-3</v>
      </c>
      <c r="AV317" s="36">
        <f>(AF317^2)/(Q317^2)+(R317^2)*(AE317^2)/(Q317^4)</f>
        <v>6.9823263329337501E-4</v>
      </c>
      <c r="AX317" s="45">
        <f t="shared" si="122"/>
        <v>3.617763769232024E-3</v>
      </c>
      <c r="AY317" s="36">
        <f t="shared" si="123"/>
        <v>4.2164276731248319E-2</v>
      </c>
      <c r="AZ317">
        <f>30*AK317*0.0085+2*AK317*0.15+600*0.15</f>
        <v>367.5</v>
      </c>
      <c r="BA317" t="s">
        <v>1</v>
      </c>
      <c r="BC317" t="s">
        <v>2</v>
      </c>
      <c r="BD317" s="10" t="s">
        <v>2</v>
      </c>
      <c r="BE317" s="10" t="s">
        <v>3</v>
      </c>
    </row>
    <row r="318" spans="1:57" x14ac:dyDescent="0.3">
      <c r="A318" s="10" t="s">
        <v>2365</v>
      </c>
      <c r="B318" s="10" t="s">
        <v>81</v>
      </c>
      <c r="C318" s="10" t="s">
        <v>688</v>
      </c>
      <c r="D318" s="10" t="s">
        <v>2381</v>
      </c>
      <c r="E318" s="10">
        <v>2012</v>
      </c>
      <c r="F318" s="4" t="s">
        <v>2312</v>
      </c>
      <c r="G318" s="10" t="s">
        <v>2312</v>
      </c>
      <c r="H318" s="10" t="s">
        <v>17</v>
      </c>
      <c r="J318" s="10" t="s">
        <v>56</v>
      </c>
      <c r="K318" s="10" t="s">
        <v>2382</v>
      </c>
      <c r="L318" s="10">
        <v>3</v>
      </c>
      <c r="M318" s="10">
        <v>3</v>
      </c>
      <c r="O318" s="10">
        <v>3.2</v>
      </c>
      <c r="P318" s="37">
        <f>0.24*SQRT(L318)</f>
        <v>0.4156921938165305</v>
      </c>
      <c r="Q318">
        <v>7.62</v>
      </c>
      <c r="R318">
        <f>0.29*SQRT(L318)</f>
        <v>0.50229473419497439</v>
      </c>
      <c r="S318" s="36"/>
      <c r="V318">
        <v>8</v>
      </c>
      <c r="Y318" s="10">
        <v>2.36</v>
      </c>
      <c r="Z318">
        <f>0.21*SQRT(M318)</f>
        <v>0.36373066958946421</v>
      </c>
      <c r="AA318" s="3">
        <f>Y318*(1-2.25/5)</f>
        <v>1.298</v>
      </c>
      <c r="AB318" s="3">
        <f>Z318*(1-2.25/5)</f>
        <v>0.20005186827420532</v>
      </c>
      <c r="AC318">
        <v>7.32</v>
      </c>
      <c r="AD318">
        <f>0.16*SQRT(M318)</f>
        <v>0.27712812921102037</v>
      </c>
      <c r="AE318">
        <f t="shared" si="125"/>
        <v>7.32</v>
      </c>
      <c r="AF318">
        <f t="shared" si="125"/>
        <v>0.27712812921102037</v>
      </c>
      <c r="AK318">
        <f t="shared" si="124"/>
        <v>500</v>
      </c>
      <c r="AO318" s="14">
        <f t="shared" si="126"/>
        <v>0.40562500000000001</v>
      </c>
      <c r="AP318" s="14">
        <f>AE318/Q318</f>
        <v>0.96062992125984259</v>
      </c>
      <c r="AR318" s="3">
        <f t="shared" si="121"/>
        <v>1.3662549212598427</v>
      </c>
      <c r="AS318" s="3"/>
      <c r="AT318" s="3"/>
      <c r="AU318" s="45">
        <f t="shared" si="120"/>
        <v>6.6847478027343725E-3</v>
      </c>
      <c r="AV318" s="36">
        <f>(AF318^2)/(Q318^2)+(R318^2)*(AE318^2)/(Q318^4)</f>
        <v>5.3324399124049862E-3</v>
      </c>
      <c r="AX318" s="45">
        <f t="shared" si="122"/>
        <v>1.201718771513936E-2</v>
      </c>
      <c r="AY318" s="36">
        <f t="shared" si="123"/>
        <v>8.0236076409538823E-2</v>
      </c>
      <c r="AZ318">
        <f>30*AK318*0.0085+2*AK318*0.15+600*0.15</f>
        <v>367.5</v>
      </c>
      <c r="BA318" t="s">
        <v>1</v>
      </c>
      <c r="BC318" t="s">
        <v>2</v>
      </c>
      <c r="BD318" s="10" t="s">
        <v>2</v>
      </c>
      <c r="BE318" s="10" t="s">
        <v>3</v>
      </c>
    </row>
    <row r="319" spans="1:57" x14ac:dyDescent="0.3">
      <c r="A319" s="10" t="s">
        <v>2365</v>
      </c>
      <c r="B319" s="10" t="s">
        <v>81</v>
      </c>
      <c r="C319" s="10" t="s">
        <v>688</v>
      </c>
      <c r="D319" s="10" t="s">
        <v>2381</v>
      </c>
      <c r="E319" s="10">
        <v>2013</v>
      </c>
      <c r="F319" s="4" t="s">
        <v>2312</v>
      </c>
      <c r="G319" s="10" t="s">
        <v>2312</v>
      </c>
      <c r="H319" s="10" t="s">
        <v>17</v>
      </c>
      <c r="J319" s="10" t="s">
        <v>56</v>
      </c>
      <c r="K319" s="10" t="s">
        <v>2382</v>
      </c>
      <c r="L319" s="10">
        <v>3</v>
      </c>
      <c r="M319" s="10">
        <v>3</v>
      </c>
      <c r="O319" s="10">
        <v>3.56</v>
      </c>
      <c r="P319" s="37">
        <f>0.28*SQRT(L319)</f>
        <v>0.48497422611928565</v>
      </c>
      <c r="Q319">
        <v>13.64</v>
      </c>
      <c r="R319">
        <f>0.3*SQRT(L319)</f>
        <v>0.51961524227066314</v>
      </c>
      <c r="S319" s="36"/>
      <c r="V319">
        <v>9</v>
      </c>
      <c r="Y319" s="10">
        <v>1.9</v>
      </c>
      <c r="Z319">
        <f>0.17*SQRT(M319)</f>
        <v>0.29444863728670917</v>
      </c>
      <c r="AA319" s="3">
        <f>Y319*(1-2.5/5)</f>
        <v>0.95</v>
      </c>
      <c r="AB319" s="3">
        <f>Z319*(1-2.5/5)</f>
        <v>0.14722431864335458</v>
      </c>
      <c r="AC319">
        <v>13.08</v>
      </c>
      <c r="AD319">
        <f>0.21*SQRT(M319)</f>
        <v>0.36373066958946421</v>
      </c>
      <c r="AE319">
        <f t="shared" si="125"/>
        <v>13.08</v>
      </c>
      <c r="AF319">
        <f t="shared" si="125"/>
        <v>0.36373066958946421</v>
      </c>
      <c r="AK319">
        <f t="shared" si="124"/>
        <v>500</v>
      </c>
      <c r="AO319" s="14">
        <f t="shared" si="126"/>
        <v>0.26685393258426965</v>
      </c>
      <c r="AP319" s="14">
        <f>AE319/Q319</f>
        <v>0.95894428152492661</v>
      </c>
      <c r="AR319" s="3">
        <f t="shared" si="121"/>
        <v>1.2257982141091963</v>
      </c>
      <c r="AS319" s="3"/>
      <c r="AT319" s="3"/>
      <c r="AU319" s="45">
        <f t="shared" si="120"/>
        <v>3.0318009261894232E-3</v>
      </c>
      <c r="AV319" s="36">
        <f>(AF319^2)/(Q319^2)+(R319^2)*(AE319^2)/(Q319^4)</f>
        <v>2.0456105063849988E-3</v>
      </c>
      <c r="AX319" s="45">
        <f t="shared" si="122"/>
        <v>5.077411432574422E-3</v>
      </c>
      <c r="AY319" s="36">
        <f t="shared" si="123"/>
        <v>5.8130250437931665E-2</v>
      </c>
      <c r="AZ319">
        <f>30*AK319*0.0085+2*AK319*0.15+600*0.15</f>
        <v>367.5</v>
      </c>
      <c r="BA319" t="s">
        <v>1</v>
      </c>
      <c r="BC319" t="s">
        <v>2</v>
      </c>
      <c r="BD319" s="10" t="s">
        <v>2</v>
      </c>
      <c r="BE319" s="10" t="s">
        <v>3</v>
      </c>
    </row>
    <row r="320" spans="1:57" x14ac:dyDescent="0.3">
      <c r="A320" s="10" t="s">
        <v>2365</v>
      </c>
      <c r="B320" s="10" t="s">
        <v>81</v>
      </c>
      <c r="C320" s="10" t="s">
        <v>688</v>
      </c>
      <c r="D320" s="10" t="s">
        <v>2381</v>
      </c>
      <c r="E320" s="10">
        <v>2005</v>
      </c>
      <c r="F320" s="4" t="s">
        <v>2312</v>
      </c>
      <c r="G320" s="10" t="s">
        <v>2312</v>
      </c>
      <c r="H320" s="10" t="s">
        <v>17</v>
      </c>
      <c r="J320" s="10" t="s">
        <v>63</v>
      </c>
      <c r="K320" s="10" t="s">
        <v>2382</v>
      </c>
      <c r="L320" s="10">
        <v>3</v>
      </c>
      <c r="M320" s="10">
        <v>3</v>
      </c>
      <c r="O320" s="10">
        <v>10.32</v>
      </c>
      <c r="P320" s="37">
        <f>0.63*SQRT(L320)</f>
        <v>1.0911920087683926</v>
      </c>
      <c r="Q320">
        <v>0</v>
      </c>
      <c r="S320" s="36"/>
      <c r="V320">
        <v>1</v>
      </c>
      <c r="Y320" s="10">
        <v>9.91</v>
      </c>
      <c r="Z320">
        <f>0.33*SQRT(M320)</f>
        <v>0.57157676649772948</v>
      </c>
      <c r="AA320" s="3">
        <f>Y320*(1-0.5/5)</f>
        <v>8.9190000000000005</v>
      </c>
      <c r="AB320" s="3">
        <f>Z320*(1-0.5/5)</f>
        <v>0.51441908984795659</v>
      </c>
      <c r="AC320">
        <v>0</v>
      </c>
      <c r="AE320">
        <f t="shared" si="125"/>
        <v>0</v>
      </c>
      <c r="AF320">
        <f t="shared" si="125"/>
        <v>0</v>
      </c>
      <c r="AK320">
        <f>10000/(4*5)</f>
        <v>500</v>
      </c>
      <c r="AO320" s="14">
        <f t="shared" si="126"/>
        <v>0.86424418604651165</v>
      </c>
      <c r="AP320" s="14"/>
      <c r="AR320" s="3">
        <f t="shared" si="121"/>
        <v>0.86424418604651165</v>
      </c>
      <c r="AS320" s="3"/>
      <c r="AT320" s="3"/>
      <c r="AU320" s="45">
        <f t="shared" si="120"/>
        <v>1.083527017434598E-2</v>
      </c>
      <c r="AV320" s="36"/>
      <c r="AX320" s="45">
        <f t="shared" si="122"/>
        <v>1.083527017434598E-2</v>
      </c>
      <c r="AY320" s="36">
        <f t="shared" si="123"/>
        <v>0.12044351066671974</v>
      </c>
      <c r="AZ320">
        <f>12*AK320*0.0085+1.2*AK320*0.15+600*0.15</f>
        <v>231</v>
      </c>
      <c r="BA320" t="s">
        <v>1</v>
      </c>
      <c r="BC320" t="s">
        <v>2</v>
      </c>
      <c r="BD320" s="10" t="s">
        <v>2</v>
      </c>
      <c r="BE320" s="10" t="s">
        <v>3</v>
      </c>
    </row>
    <row r="321" spans="1:57" x14ac:dyDescent="0.3">
      <c r="A321" s="10" t="s">
        <v>2365</v>
      </c>
      <c r="B321" s="10" t="s">
        <v>81</v>
      </c>
      <c r="C321" s="10" t="s">
        <v>688</v>
      </c>
      <c r="D321" s="10" t="s">
        <v>2381</v>
      </c>
      <c r="E321" s="10">
        <v>2006</v>
      </c>
      <c r="F321" s="4" t="s">
        <v>2312</v>
      </c>
      <c r="G321" s="10" t="s">
        <v>2312</v>
      </c>
      <c r="H321" s="10" t="s">
        <v>17</v>
      </c>
      <c r="J321" s="10" t="s">
        <v>63</v>
      </c>
      <c r="K321" s="10" t="s">
        <v>2382</v>
      </c>
      <c r="L321" s="10">
        <v>3</v>
      </c>
      <c r="M321" s="10">
        <v>3</v>
      </c>
      <c r="O321" s="10">
        <v>13.19</v>
      </c>
      <c r="P321" s="37">
        <f>0.49*SQRT(L321)</f>
        <v>0.84870489570874985</v>
      </c>
      <c r="Q321">
        <v>0</v>
      </c>
      <c r="S321" s="36"/>
      <c r="V321">
        <v>2</v>
      </c>
      <c r="Y321" s="10">
        <v>12.77</v>
      </c>
      <c r="Z321">
        <f>0.12*SQRT(M321)</f>
        <v>0.20784609690826525</v>
      </c>
      <c r="AA321" s="3">
        <f>Y321*(1-0.75/5)</f>
        <v>10.8545</v>
      </c>
      <c r="AB321" s="3">
        <f>Z321*(1-0.75/5)</f>
        <v>0.17666918237202545</v>
      </c>
      <c r="AC321">
        <v>0</v>
      </c>
      <c r="AE321">
        <f t="shared" si="125"/>
        <v>0</v>
      </c>
      <c r="AF321">
        <f t="shared" si="125"/>
        <v>0</v>
      </c>
      <c r="AK321">
        <f t="shared" si="124"/>
        <v>500</v>
      </c>
      <c r="AO321" s="14">
        <f t="shared" si="126"/>
        <v>0.82293404094010614</v>
      </c>
      <c r="AP321" s="14"/>
      <c r="AR321" s="3">
        <f t="shared" si="121"/>
        <v>0.82293404094010614</v>
      </c>
      <c r="AS321" s="3"/>
      <c r="AT321" s="3"/>
      <c r="AU321" s="45">
        <f t="shared" si="120"/>
        <v>2.9832481580061303E-3</v>
      </c>
      <c r="AV321" s="36"/>
      <c r="AX321" s="45">
        <f t="shared" si="122"/>
        <v>2.9832481580061303E-3</v>
      </c>
      <c r="AY321" s="36">
        <f t="shared" si="123"/>
        <v>6.6371198980023013E-2</v>
      </c>
      <c r="AZ321">
        <f>12*AK321*0.0085+1.2*AK321*0.15+600*0.15</f>
        <v>231</v>
      </c>
      <c r="BA321" t="s">
        <v>1</v>
      </c>
      <c r="BC321" t="s">
        <v>2</v>
      </c>
      <c r="BD321" s="10" t="s">
        <v>2</v>
      </c>
      <c r="BE321" s="10" t="s">
        <v>3</v>
      </c>
    </row>
    <row r="322" spans="1:57" x14ac:dyDescent="0.3">
      <c r="A322" s="10" t="s">
        <v>2365</v>
      </c>
      <c r="B322" s="10" t="s">
        <v>81</v>
      </c>
      <c r="C322" s="10" t="s">
        <v>688</v>
      </c>
      <c r="D322" s="10" t="s">
        <v>2381</v>
      </c>
      <c r="E322" s="10">
        <v>2007</v>
      </c>
      <c r="F322" s="4" t="s">
        <v>2312</v>
      </c>
      <c r="G322" s="10" t="s">
        <v>2312</v>
      </c>
      <c r="H322" s="10" t="s">
        <v>17</v>
      </c>
      <c r="J322" s="10" t="s">
        <v>63</v>
      </c>
      <c r="K322" s="10" t="s">
        <v>2382</v>
      </c>
      <c r="L322" s="10">
        <v>3</v>
      </c>
      <c r="M322" s="10">
        <v>3</v>
      </c>
      <c r="O322" s="10">
        <v>11.28</v>
      </c>
      <c r="P322" s="37">
        <f>0.6*SQRT(L322)</f>
        <v>1.0392304845413263</v>
      </c>
      <c r="Q322">
        <v>0</v>
      </c>
      <c r="S322" s="36"/>
      <c r="V322">
        <v>3</v>
      </c>
      <c r="Y322" s="10">
        <v>10.81</v>
      </c>
      <c r="Z322">
        <f>0.48*SQRT(M322)</f>
        <v>0.83138438763306099</v>
      </c>
      <c r="AA322" s="3">
        <f>Y322*(1-1/5)</f>
        <v>8.6480000000000015</v>
      </c>
      <c r="AB322" s="3">
        <f>Z322*(1-1/5)</f>
        <v>0.66510751010644886</v>
      </c>
      <c r="AC322">
        <v>0</v>
      </c>
      <c r="AE322">
        <f t="shared" si="125"/>
        <v>0</v>
      </c>
      <c r="AF322">
        <f t="shared" si="125"/>
        <v>0</v>
      </c>
      <c r="AK322">
        <f t="shared" si="124"/>
        <v>500</v>
      </c>
      <c r="AO322" s="14">
        <f t="shared" si="126"/>
        <v>0.76666666666666683</v>
      </c>
      <c r="AP322" s="14"/>
      <c r="AR322" s="3">
        <f t="shared" si="121"/>
        <v>0.76666666666666683</v>
      </c>
      <c r="AS322" s="3"/>
      <c r="AT322" s="3"/>
      <c r="AU322" s="45">
        <f t="shared" si="120"/>
        <v>8.4657461898294886E-3</v>
      </c>
      <c r="AV322" s="36"/>
      <c r="AX322" s="45">
        <f t="shared" si="122"/>
        <v>8.4657461898294886E-3</v>
      </c>
      <c r="AY322" s="36">
        <f t="shared" si="123"/>
        <v>0.120012377833948</v>
      </c>
      <c r="AZ322">
        <f>12*AK322*0.0085+1.2*AK322*0.15+600*0.15</f>
        <v>231</v>
      </c>
      <c r="BA322" t="s">
        <v>1</v>
      </c>
      <c r="BC322" t="s">
        <v>2</v>
      </c>
      <c r="BD322" s="10" t="s">
        <v>2</v>
      </c>
      <c r="BE322" s="10" t="s">
        <v>3</v>
      </c>
    </row>
    <row r="323" spans="1:57" x14ac:dyDescent="0.3">
      <c r="A323" s="10" t="s">
        <v>2365</v>
      </c>
      <c r="B323" s="10" t="s">
        <v>81</v>
      </c>
      <c r="C323" s="10" t="s">
        <v>688</v>
      </c>
      <c r="D323" s="10" t="s">
        <v>2381</v>
      </c>
      <c r="E323" s="10">
        <v>2008</v>
      </c>
      <c r="F323" s="4" t="s">
        <v>2312</v>
      </c>
      <c r="G323" s="10" t="s">
        <v>2312</v>
      </c>
      <c r="H323" s="10" t="s">
        <v>17</v>
      </c>
      <c r="J323" s="10" t="s">
        <v>63</v>
      </c>
      <c r="K323" s="10" t="s">
        <v>2382</v>
      </c>
      <c r="L323" s="10">
        <v>3</v>
      </c>
      <c r="M323" s="10">
        <v>3</v>
      </c>
      <c r="O323" s="10">
        <v>9.5299999999999994</v>
      </c>
      <c r="P323" s="37">
        <f>0.57*SQRT(L323)</f>
        <v>0.98726896031425992</v>
      </c>
      <c r="Q323">
        <v>0</v>
      </c>
      <c r="S323" s="36"/>
      <c r="V323">
        <v>4</v>
      </c>
      <c r="Y323" s="10">
        <v>8.84</v>
      </c>
      <c r="Z323">
        <f>0.23*SQRT(M323)</f>
        <v>0.39837168574084175</v>
      </c>
      <c r="AA323" s="3">
        <f>Y323*(1-1/5)</f>
        <v>7.0720000000000001</v>
      </c>
      <c r="AB323" s="3">
        <f>Z323*(1-1/5)</f>
        <v>0.3186973485926734</v>
      </c>
      <c r="AC323">
        <v>0</v>
      </c>
      <c r="AE323">
        <f t="shared" si="125"/>
        <v>0</v>
      </c>
      <c r="AF323">
        <f t="shared" si="125"/>
        <v>0</v>
      </c>
      <c r="AK323">
        <f t="shared" si="124"/>
        <v>500</v>
      </c>
      <c r="AO323" s="14">
        <f t="shared" si="126"/>
        <v>0.74207764952780697</v>
      </c>
      <c r="AP323" s="14"/>
      <c r="AR323" s="3">
        <f t="shared" si="121"/>
        <v>0.74207764952780697</v>
      </c>
      <c r="AS323" s="3"/>
      <c r="AT323" s="3"/>
      <c r="AU323" s="45">
        <f t="shared" si="120"/>
        <v>7.0282837233403127E-3</v>
      </c>
      <c r="AV323" s="36"/>
      <c r="AX323" s="45">
        <f t="shared" si="122"/>
        <v>7.0282837233403127E-3</v>
      </c>
      <c r="AY323" s="36">
        <f t="shared" si="123"/>
        <v>0.11297316377480189</v>
      </c>
      <c r="AZ323">
        <f>12*AK323*0.0085+1.2*AK323*0.15+600*0.15</f>
        <v>231</v>
      </c>
      <c r="BA323" t="s">
        <v>1</v>
      </c>
      <c r="BC323" t="s">
        <v>2</v>
      </c>
      <c r="BD323" s="10" t="s">
        <v>2</v>
      </c>
      <c r="BE323" s="10" t="s">
        <v>3</v>
      </c>
    </row>
    <row r="324" spans="1:57" x14ac:dyDescent="0.3">
      <c r="A324" s="10" t="s">
        <v>2365</v>
      </c>
      <c r="B324" s="10" t="s">
        <v>81</v>
      </c>
      <c r="C324" s="10" t="s">
        <v>688</v>
      </c>
      <c r="D324" s="10" t="s">
        <v>2381</v>
      </c>
      <c r="E324" s="10">
        <v>2009</v>
      </c>
      <c r="F324" s="4" t="s">
        <v>2312</v>
      </c>
      <c r="G324" s="10" t="s">
        <v>2312</v>
      </c>
      <c r="H324" s="10" t="s">
        <v>17</v>
      </c>
      <c r="J324" s="10" t="s">
        <v>63</v>
      </c>
      <c r="K324" s="10" t="s">
        <v>2382</v>
      </c>
      <c r="L324" s="10">
        <v>3</v>
      </c>
      <c r="M324" s="10">
        <v>3</v>
      </c>
      <c r="O324" s="10">
        <v>11.71</v>
      </c>
      <c r="P324" s="37">
        <f>0.55*SQRT(L324)</f>
        <v>0.95262794416288255</v>
      </c>
      <c r="Q324">
        <v>0</v>
      </c>
      <c r="S324" s="36"/>
      <c r="V324">
        <v>5</v>
      </c>
      <c r="Y324" s="10">
        <v>10.42</v>
      </c>
      <c r="Z324">
        <f>0.26*SQRT(M324)</f>
        <v>0.4503332099679081</v>
      </c>
      <c r="AA324" s="3">
        <f>Y324*(1-1.5/5)</f>
        <v>7.2939999999999996</v>
      </c>
      <c r="AB324" s="3">
        <f>Z324*(1-1.5/5)</f>
        <v>0.31523324697753563</v>
      </c>
      <c r="AC324">
        <v>0</v>
      </c>
      <c r="AE324">
        <f t="shared" si="125"/>
        <v>0</v>
      </c>
      <c r="AF324">
        <f t="shared" si="125"/>
        <v>0</v>
      </c>
      <c r="AK324">
        <f t="shared" si="124"/>
        <v>500</v>
      </c>
      <c r="AO324" s="14">
        <f t="shared" si="126"/>
        <v>0.62288642186165666</v>
      </c>
      <c r="AP324" s="14"/>
      <c r="AR324" s="3">
        <f t="shared" si="121"/>
        <v>0.62288642186165666</v>
      </c>
      <c r="AS324" s="3"/>
      <c r="AT324" s="3"/>
      <c r="AU324" s="45">
        <f t="shared" si="120"/>
        <v>3.2924238065715865E-3</v>
      </c>
      <c r="AV324" s="36"/>
      <c r="AX324" s="45">
        <f t="shared" si="122"/>
        <v>3.2924238065715865E-3</v>
      </c>
      <c r="AY324" s="36">
        <f t="shared" si="123"/>
        <v>9.2118955014100432E-2</v>
      </c>
      <c r="AZ324">
        <f>12*AK324*0.0085+1.2*AK324*0.15+600*0.15</f>
        <v>231</v>
      </c>
      <c r="BA324" t="s">
        <v>1</v>
      </c>
      <c r="BC324" t="s">
        <v>2</v>
      </c>
      <c r="BD324" s="10" t="s">
        <v>2</v>
      </c>
      <c r="BE324" s="10" t="s">
        <v>3</v>
      </c>
    </row>
    <row r="325" spans="1:57" x14ac:dyDescent="0.3">
      <c r="A325" s="10" t="s">
        <v>2365</v>
      </c>
      <c r="B325" s="10" t="s">
        <v>81</v>
      </c>
      <c r="C325" s="10" t="s">
        <v>688</v>
      </c>
      <c r="D325" s="10" t="s">
        <v>2381</v>
      </c>
      <c r="E325" s="10">
        <v>2010</v>
      </c>
      <c r="F325" s="4" t="s">
        <v>2312</v>
      </c>
      <c r="G325" s="10" t="s">
        <v>2312</v>
      </c>
      <c r="H325" s="10" t="s">
        <v>17</v>
      </c>
      <c r="J325" s="10" t="s">
        <v>63</v>
      </c>
      <c r="K325" s="10" t="s">
        <v>2382</v>
      </c>
      <c r="L325" s="10">
        <v>3</v>
      </c>
      <c r="M325" s="10">
        <v>3</v>
      </c>
      <c r="O325" s="10">
        <v>9.4600000000000009</v>
      </c>
      <c r="P325" s="37">
        <f>0.6*SQRT(L325)</f>
        <v>1.0392304845413263</v>
      </c>
      <c r="Q325">
        <v>2.35</v>
      </c>
      <c r="R325">
        <f>0.18*SQRT(L325)</f>
        <v>0.31176914536239786</v>
      </c>
      <c r="S325" s="36"/>
      <c r="V325">
        <v>6</v>
      </c>
      <c r="Y325" s="10">
        <v>8.06</v>
      </c>
      <c r="Z325">
        <f>0.26*SQRT(M325)</f>
        <v>0.4503332099679081</v>
      </c>
      <c r="AA325" s="3">
        <f>Y325*(1-1.75/5)</f>
        <v>5.2390000000000008</v>
      </c>
      <c r="AB325" s="3">
        <f>Z325*(1-1.75/5)</f>
        <v>0.29271658647914028</v>
      </c>
      <c r="AC325">
        <v>2.08</v>
      </c>
      <c r="AD325">
        <f>0.1*SQRT(M325)</f>
        <v>0.17320508075688773</v>
      </c>
      <c r="AE325">
        <f t="shared" si="125"/>
        <v>2.08</v>
      </c>
      <c r="AF325">
        <f t="shared" si="125"/>
        <v>0.17320508075688773</v>
      </c>
      <c r="AK325">
        <f t="shared" si="124"/>
        <v>500</v>
      </c>
      <c r="AO325" s="14">
        <f t="shared" si="126"/>
        <v>0.55380549682875269</v>
      </c>
      <c r="AP325" s="14">
        <f>AE325/Q325</f>
        <v>0.88510638297872335</v>
      </c>
      <c r="AR325" s="3">
        <f t="shared" si="121"/>
        <v>1.438911879807476</v>
      </c>
      <c r="AS325" s="3"/>
      <c r="AT325" s="3"/>
      <c r="AU325" s="45">
        <f t="shared" si="120"/>
        <v>4.6587564708102302E-3</v>
      </c>
      <c r="AV325" s="36">
        <f>(AF325^2)/(Q325^2)+(R325^2)*(AE325^2)/(Q325^4)</f>
        <v>1.9220963993342999E-2</v>
      </c>
      <c r="AX325" s="45">
        <f t="shared" si="122"/>
        <v>2.387972046415323E-2</v>
      </c>
      <c r="AY325" s="36">
        <f t="shared" si="123"/>
        <v>0.10739409958351948</v>
      </c>
      <c r="AZ325">
        <f>30*AK325*0.0085+2*AK325*0.15+600*0.15</f>
        <v>367.5</v>
      </c>
      <c r="BA325" t="s">
        <v>1</v>
      </c>
      <c r="BC325" t="s">
        <v>2</v>
      </c>
      <c r="BD325" s="10" t="s">
        <v>2</v>
      </c>
      <c r="BE325" s="10" t="s">
        <v>3</v>
      </c>
    </row>
    <row r="326" spans="1:57" x14ac:dyDescent="0.3">
      <c r="A326" s="10" t="s">
        <v>2365</v>
      </c>
      <c r="B326" s="10" t="s">
        <v>81</v>
      </c>
      <c r="C326" s="10" t="s">
        <v>688</v>
      </c>
      <c r="D326" s="10" t="s">
        <v>2381</v>
      </c>
      <c r="E326" s="10">
        <v>2011</v>
      </c>
      <c r="F326" s="4" t="s">
        <v>2312</v>
      </c>
      <c r="G326" s="10" t="s">
        <v>2312</v>
      </c>
      <c r="H326" s="10" t="s">
        <v>17</v>
      </c>
      <c r="J326" s="10" t="s">
        <v>63</v>
      </c>
      <c r="K326" s="10" t="s">
        <v>2382</v>
      </c>
      <c r="L326" s="10">
        <v>3</v>
      </c>
      <c r="M326" s="10">
        <v>3</v>
      </c>
      <c r="O326" s="10">
        <v>13.59</v>
      </c>
      <c r="P326" s="37">
        <f>0.52*SQRT(L326)</f>
        <v>0.9006664199358162</v>
      </c>
      <c r="Q326">
        <v>3.59</v>
      </c>
      <c r="R326">
        <f>0.05*SQRT(L326)</f>
        <v>8.6602540378443865E-2</v>
      </c>
      <c r="S326" s="36"/>
      <c r="V326">
        <v>7</v>
      </c>
      <c r="Y326" s="10">
        <v>10.45</v>
      </c>
      <c r="Z326">
        <f>0.31*SQRT(M326)</f>
        <v>0.53693575034635188</v>
      </c>
      <c r="AA326" s="3">
        <f>Y326*(1-2/5)</f>
        <v>6.27</v>
      </c>
      <c r="AB326" s="3">
        <f>Z326*(1-2/5)</f>
        <v>0.32216145020781112</v>
      </c>
      <c r="AC326">
        <v>3.22</v>
      </c>
      <c r="AD326">
        <f>0.07*SQRT(M326)</f>
        <v>0.12124355652982141</v>
      </c>
      <c r="AE326">
        <f t="shared" si="125"/>
        <v>3.22</v>
      </c>
      <c r="AF326">
        <f t="shared" si="125"/>
        <v>0.12124355652982141</v>
      </c>
      <c r="AK326">
        <f t="shared" si="124"/>
        <v>500</v>
      </c>
      <c r="AO326" s="14">
        <f t="shared" si="126"/>
        <v>0.46136865342163352</v>
      </c>
      <c r="AP326" s="14">
        <f>AE326/Q326</f>
        <v>0.89693593314763242</v>
      </c>
      <c r="AR326" s="3">
        <f t="shared" si="121"/>
        <v>1.358304586569266</v>
      </c>
      <c r="AS326" s="3"/>
      <c r="AT326" s="3"/>
      <c r="AU326" s="45">
        <f t="shared" si="120"/>
        <v>1.4969067908160087E-3</v>
      </c>
      <c r="AV326" s="36">
        <f>(AF326^2)/(Q326^2)+(R326^2)*(AE326^2)/(Q326^4)</f>
        <v>1.6087480320051526E-3</v>
      </c>
      <c r="AX326" s="45">
        <f t="shared" si="122"/>
        <v>3.1056548228211613E-3</v>
      </c>
      <c r="AY326" s="36">
        <f t="shared" si="123"/>
        <v>4.102791292191172E-2</v>
      </c>
      <c r="AZ326">
        <f>30*AK326*0.0085+2*AK326*0.15+600*0.15</f>
        <v>367.5</v>
      </c>
      <c r="BA326" t="s">
        <v>1</v>
      </c>
      <c r="BC326" t="s">
        <v>2</v>
      </c>
      <c r="BD326" s="10" t="s">
        <v>2</v>
      </c>
      <c r="BE326" s="10" t="s">
        <v>3</v>
      </c>
    </row>
    <row r="327" spans="1:57" x14ac:dyDescent="0.3">
      <c r="A327" s="10" t="s">
        <v>2365</v>
      </c>
      <c r="B327" s="10" t="s">
        <v>81</v>
      </c>
      <c r="C327" s="10" t="s">
        <v>688</v>
      </c>
      <c r="D327" s="10" t="s">
        <v>2381</v>
      </c>
      <c r="E327" s="10">
        <v>2012</v>
      </c>
      <c r="F327" s="4" t="s">
        <v>2312</v>
      </c>
      <c r="G327" s="10" t="s">
        <v>2312</v>
      </c>
      <c r="H327" s="10" t="s">
        <v>17</v>
      </c>
      <c r="J327" s="10" t="s">
        <v>63</v>
      </c>
      <c r="K327" s="10" t="s">
        <v>2382</v>
      </c>
      <c r="L327" s="10">
        <v>3</v>
      </c>
      <c r="M327" s="10">
        <v>3</v>
      </c>
      <c r="O327" s="10">
        <v>10.69</v>
      </c>
      <c r="P327" s="37">
        <f>0.61*SQRT(L327)</f>
        <v>1.0565509926170151</v>
      </c>
      <c r="Q327">
        <v>7.62</v>
      </c>
      <c r="R327">
        <f>0.29*SQRT(L327)</f>
        <v>0.50229473419497439</v>
      </c>
      <c r="S327" s="36"/>
      <c r="V327">
        <v>8</v>
      </c>
      <c r="Y327" s="10">
        <v>6.55</v>
      </c>
      <c r="Z327">
        <f>0.24*SQRT(M327)</f>
        <v>0.4156921938165305</v>
      </c>
      <c r="AA327" s="3">
        <f>Y327*(1-2.25/5)</f>
        <v>3.6025</v>
      </c>
      <c r="AB327" s="3">
        <f>Z327*(1-2.25/5)</f>
        <v>0.22863070659909179</v>
      </c>
      <c r="AC327">
        <v>7.22</v>
      </c>
      <c r="AD327">
        <f>0.1*SQRT(M327)</f>
        <v>0.17320508075688773</v>
      </c>
      <c r="AE327">
        <f t="shared" si="125"/>
        <v>7.22</v>
      </c>
      <c r="AF327">
        <f t="shared" si="125"/>
        <v>0.17320508075688773</v>
      </c>
      <c r="AK327">
        <f t="shared" si="124"/>
        <v>500</v>
      </c>
      <c r="AO327" s="14">
        <f t="shared" si="126"/>
        <v>0.33699719363891489</v>
      </c>
      <c r="AP327" s="14">
        <f>AE327/Q327</f>
        <v>0.94750656167978997</v>
      </c>
      <c r="AR327" s="3">
        <f t="shared" si="121"/>
        <v>1.2845037553187049</v>
      </c>
      <c r="AS327" s="3"/>
      <c r="AT327" s="3"/>
      <c r="AU327" s="45">
        <f t="shared" si="120"/>
        <v>1.5667927348014061E-3</v>
      </c>
      <c r="AV327" s="36">
        <f>(AF327^2)/(Q327^2)+(R327^2)*(AE327^2)/(Q327^4)</f>
        <v>4.4176300638729543E-3</v>
      </c>
      <c r="AX327" s="45">
        <f t="shared" si="122"/>
        <v>5.9844227986743607E-3</v>
      </c>
      <c r="AY327" s="36">
        <f t="shared" si="123"/>
        <v>6.0224854037631406E-2</v>
      </c>
      <c r="AZ327">
        <f>30*AK327*0.0085+2*AK327*0.15+600*0.15</f>
        <v>367.5</v>
      </c>
      <c r="BA327" t="s">
        <v>1</v>
      </c>
      <c r="BC327" t="s">
        <v>2</v>
      </c>
      <c r="BD327" s="10" t="s">
        <v>2</v>
      </c>
      <c r="BE327" s="10" t="s">
        <v>3</v>
      </c>
    </row>
    <row r="328" spans="1:57" x14ac:dyDescent="0.3">
      <c r="A328" s="10" t="s">
        <v>2365</v>
      </c>
      <c r="B328" s="10" t="s">
        <v>81</v>
      </c>
      <c r="C328" s="10" t="s">
        <v>688</v>
      </c>
      <c r="D328" s="10" t="s">
        <v>2381</v>
      </c>
      <c r="E328" s="10">
        <v>2013</v>
      </c>
      <c r="F328" s="4" t="s">
        <v>2312</v>
      </c>
      <c r="G328" s="10" t="s">
        <v>2312</v>
      </c>
      <c r="H328" s="10" t="s">
        <v>17</v>
      </c>
      <c r="J328" s="10" t="s">
        <v>63</v>
      </c>
      <c r="K328" s="10" t="s">
        <v>2382</v>
      </c>
      <c r="L328" s="10">
        <v>3</v>
      </c>
      <c r="M328" s="10">
        <v>3</v>
      </c>
      <c r="O328" s="10">
        <v>11.56</v>
      </c>
      <c r="P328" s="37">
        <f>0.75*SQRT(L328)</f>
        <v>1.299038105676658</v>
      </c>
      <c r="Q328">
        <v>13.64</v>
      </c>
      <c r="R328">
        <f>0.3*SQRT(L328)</f>
        <v>0.51961524227066314</v>
      </c>
      <c r="S328" s="36"/>
      <c r="V328">
        <v>9</v>
      </c>
      <c r="Y328" s="10">
        <v>5.56</v>
      </c>
      <c r="Z328">
        <f>1.47*SQRT(M328)</f>
        <v>2.5461146871262494</v>
      </c>
      <c r="AA328" s="3">
        <f>Y328*(1-2.5/5)</f>
        <v>2.78</v>
      </c>
      <c r="AB328" s="3">
        <f>Z328*(1-2.5/5)</f>
        <v>1.2730573435631247</v>
      </c>
      <c r="AC328">
        <v>12.73</v>
      </c>
      <c r="AD328">
        <f>0.17*SQRT(M328)</f>
        <v>0.29444863728670917</v>
      </c>
      <c r="AE328">
        <f t="shared" si="125"/>
        <v>12.73</v>
      </c>
      <c r="AF328">
        <f t="shared" si="125"/>
        <v>0.29444863728670917</v>
      </c>
      <c r="AK328">
        <f t="shared" si="124"/>
        <v>500</v>
      </c>
      <c r="AO328" s="14">
        <f t="shared" si="126"/>
        <v>0.24048442906574391</v>
      </c>
      <c r="AP328" s="14">
        <f>AE328/Q328</f>
        <v>0.93328445747800581</v>
      </c>
      <c r="AR328" s="3">
        <f t="shared" si="121"/>
        <v>1.1737688865437497</v>
      </c>
      <c r="AS328" s="3"/>
      <c r="AT328" s="3"/>
      <c r="AU328" s="45">
        <f t="shared" si="120"/>
        <v>1.2858052043434001E-2</v>
      </c>
      <c r="AV328" s="36">
        <f>(AF328^2)/(Q328^2)+(R328^2)*(AE328^2)/(Q328^4)</f>
        <v>1.7300513799218282E-3</v>
      </c>
      <c r="AX328" s="45">
        <f t="shared" si="122"/>
        <v>1.4588103423355829E-2</v>
      </c>
      <c r="AY328" s="36">
        <f t="shared" si="123"/>
        <v>0.10290034324801547</v>
      </c>
      <c r="AZ328">
        <f>30*AK328*0.0085+2*AK328*0.15+600*0.15</f>
        <v>367.5</v>
      </c>
      <c r="BA328" t="s">
        <v>1</v>
      </c>
      <c r="BC328" t="s">
        <v>2</v>
      </c>
      <c r="BD328" s="10" t="s">
        <v>2</v>
      </c>
      <c r="BE328" s="10" t="s">
        <v>3</v>
      </c>
    </row>
    <row r="329" spans="1:57" x14ac:dyDescent="0.3">
      <c r="A329" s="10" t="s">
        <v>2365</v>
      </c>
      <c r="B329" s="10" t="s">
        <v>81</v>
      </c>
      <c r="C329" s="10" t="s">
        <v>688</v>
      </c>
      <c r="D329" s="10" t="s">
        <v>2381</v>
      </c>
      <c r="E329" s="10">
        <v>2014</v>
      </c>
      <c r="F329" s="4" t="s">
        <v>2312</v>
      </c>
      <c r="G329" s="10" t="s">
        <v>2312</v>
      </c>
      <c r="H329" s="10" t="s">
        <v>17</v>
      </c>
      <c r="J329" s="10" t="s">
        <v>691</v>
      </c>
      <c r="K329" s="10" t="s">
        <v>2382</v>
      </c>
      <c r="L329" s="10">
        <v>3</v>
      </c>
      <c r="M329" s="10">
        <v>3</v>
      </c>
      <c r="O329" s="10">
        <v>3.2</v>
      </c>
      <c r="P329" s="37">
        <f t="shared" ref="P329:P346" si="127">0.1*SQRT(L329)</f>
        <v>0.17320508075688773</v>
      </c>
      <c r="S329" s="36"/>
      <c r="V329">
        <v>10</v>
      </c>
      <c r="Y329" s="10">
        <v>3.17</v>
      </c>
      <c r="Z329">
        <f>0.09*SQRT(M329)</f>
        <v>0.15588457268119893</v>
      </c>
      <c r="AA329" s="3">
        <f>Y329*(1-0.5/5)</f>
        <v>2.8530000000000002</v>
      </c>
      <c r="AB329" s="3">
        <f>Z329*(1-0.5/5)</f>
        <v>0.14029611541307904</v>
      </c>
      <c r="AK329">
        <f>10000/(4*5)</f>
        <v>500</v>
      </c>
      <c r="AO329" s="14">
        <f t="shared" si="126"/>
        <v>0.89156250000000004</v>
      </c>
      <c r="AP329" s="14"/>
      <c r="AR329" s="3">
        <f t="shared" ref="AR329:AR360" si="128">AO329+AP329+AQ329</f>
        <v>0.89156250000000004</v>
      </c>
      <c r="AS329" s="3"/>
      <c r="AT329" s="3"/>
      <c r="AU329" s="45">
        <f t="shared" si="120"/>
        <v>4.2509287834167466E-3</v>
      </c>
      <c r="AV329" s="36"/>
      <c r="AX329" s="45">
        <f t="shared" ref="AX329:AX354" si="129">AU329+AV329</f>
        <v>4.2509287834167466E-3</v>
      </c>
      <c r="AY329" s="36">
        <f t="shared" ref="AY329:AY354" si="130">SQRT(AX329)/AR329</f>
        <v>7.3129081928090492E-2</v>
      </c>
      <c r="AZ329">
        <f>12*AK329*0.0085+1.2*AK329*0.15+200*0.15</f>
        <v>171</v>
      </c>
      <c r="BA329" t="s">
        <v>1</v>
      </c>
      <c r="BC329" t="s">
        <v>2</v>
      </c>
      <c r="BD329" s="10" t="s">
        <v>2</v>
      </c>
      <c r="BE329" s="10" t="s">
        <v>3</v>
      </c>
    </row>
    <row r="330" spans="1:57" x14ac:dyDescent="0.3">
      <c r="A330" s="10" t="s">
        <v>2365</v>
      </c>
      <c r="B330" s="10" t="s">
        <v>81</v>
      </c>
      <c r="C330" s="10" t="s">
        <v>688</v>
      </c>
      <c r="D330" s="10" t="s">
        <v>2381</v>
      </c>
      <c r="E330" s="10">
        <v>2015</v>
      </c>
      <c r="F330" s="4" t="s">
        <v>2312</v>
      </c>
      <c r="G330" s="10" t="s">
        <v>2312</v>
      </c>
      <c r="H330" s="10" t="s">
        <v>17</v>
      </c>
      <c r="J330" s="10" t="s">
        <v>691</v>
      </c>
      <c r="K330" s="10" t="s">
        <v>2382</v>
      </c>
      <c r="L330" s="10">
        <v>3</v>
      </c>
      <c r="M330" s="10">
        <v>3</v>
      </c>
      <c r="O330" s="10">
        <v>3.2</v>
      </c>
      <c r="P330" s="37">
        <f t="shared" si="127"/>
        <v>0.17320508075688773</v>
      </c>
      <c r="S330" s="36"/>
      <c r="V330">
        <v>11</v>
      </c>
      <c r="Y330" s="10">
        <v>3.1</v>
      </c>
      <c r="Z330">
        <f>0.11*SQRT(M330)</f>
        <v>0.1905255888325765</v>
      </c>
      <c r="AA330" s="3">
        <f>Y330*(1-0.75/5)</f>
        <v>2.6349999999999998</v>
      </c>
      <c r="AB330" s="3">
        <f>Z330*(1-0.75/5)</f>
        <v>0.16194675050769003</v>
      </c>
      <c r="AK330">
        <f t="shared" si="124"/>
        <v>500</v>
      </c>
      <c r="AO330" s="14">
        <f t="shared" si="126"/>
        <v>0.82343749999999993</v>
      </c>
      <c r="AP330" s="14"/>
      <c r="AR330" s="3">
        <f t="shared" si="128"/>
        <v>0.82343749999999993</v>
      </c>
      <c r="AS330" s="3"/>
      <c r="AT330" s="3"/>
      <c r="AU330" s="45">
        <f t="shared" si="120"/>
        <v>4.5476786613464337E-3</v>
      </c>
      <c r="AV330" s="36"/>
      <c r="AX330" s="45">
        <f t="shared" si="129"/>
        <v>4.5476786613464337E-3</v>
      </c>
      <c r="AY330" s="36">
        <f t="shared" si="130"/>
        <v>8.1896292935431922E-2</v>
      </c>
      <c r="AZ330">
        <f t="shared" ref="AZ330:AZ333" si="131">12*AK330*0.0085+1.2*AK330*0.15+200*0.15</f>
        <v>171</v>
      </c>
      <c r="BA330" t="s">
        <v>1</v>
      </c>
      <c r="BC330" t="s">
        <v>2</v>
      </c>
      <c r="BD330" s="10" t="s">
        <v>2</v>
      </c>
      <c r="BE330" s="10" t="s">
        <v>3</v>
      </c>
    </row>
    <row r="331" spans="1:57" x14ac:dyDescent="0.3">
      <c r="A331" s="10" t="s">
        <v>2365</v>
      </c>
      <c r="B331" s="10" t="s">
        <v>81</v>
      </c>
      <c r="C331" s="10" t="s">
        <v>688</v>
      </c>
      <c r="D331" s="10" t="s">
        <v>2381</v>
      </c>
      <c r="E331" s="10">
        <v>2016</v>
      </c>
      <c r="F331" s="4" t="s">
        <v>2312</v>
      </c>
      <c r="G331" s="10" t="s">
        <v>2312</v>
      </c>
      <c r="H331" s="10" t="s">
        <v>17</v>
      </c>
      <c r="J331" s="10" t="s">
        <v>691</v>
      </c>
      <c r="K331" s="10" t="s">
        <v>2382</v>
      </c>
      <c r="L331" s="10">
        <v>3</v>
      </c>
      <c r="M331" s="10">
        <v>3</v>
      </c>
      <c r="O331" s="10">
        <v>3.2</v>
      </c>
      <c r="P331" s="37">
        <f t="shared" si="127"/>
        <v>0.17320508075688773</v>
      </c>
      <c r="S331" s="36"/>
      <c r="V331">
        <v>12</v>
      </c>
      <c r="Y331" s="10">
        <v>3.14</v>
      </c>
      <c r="Z331">
        <f>0.07*SQRT(M331)</f>
        <v>0.12124355652982141</v>
      </c>
      <c r="AA331" s="3">
        <f>Y331*(1-1/5)</f>
        <v>2.5120000000000005</v>
      </c>
      <c r="AB331" s="3">
        <f>Z331*(1-1/5)</f>
        <v>9.6994845223857137E-2</v>
      </c>
      <c r="AK331">
        <f t="shared" si="124"/>
        <v>500</v>
      </c>
      <c r="AO331" s="14">
        <f t="shared" si="126"/>
        <v>0.78500000000000014</v>
      </c>
      <c r="AP331" s="14"/>
      <c r="AR331" s="3">
        <f t="shared" si="128"/>
        <v>0.78500000000000014</v>
      </c>
      <c r="AS331" s="3"/>
      <c r="AT331" s="3"/>
      <c r="AU331" s="45">
        <f t="shared" si="120"/>
        <v>2.7240966796874995E-3</v>
      </c>
      <c r="AV331" s="36"/>
      <c r="AX331" s="45">
        <f t="shared" si="129"/>
        <v>2.7240966796874995E-3</v>
      </c>
      <c r="AY331" s="36">
        <f t="shared" si="130"/>
        <v>6.648774469808956E-2</v>
      </c>
      <c r="AZ331">
        <f t="shared" si="131"/>
        <v>171</v>
      </c>
      <c r="BA331" t="s">
        <v>1</v>
      </c>
      <c r="BC331" t="s">
        <v>2</v>
      </c>
      <c r="BD331" s="10" t="s">
        <v>2</v>
      </c>
      <c r="BE331" s="10" t="s">
        <v>3</v>
      </c>
    </row>
    <row r="332" spans="1:57" x14ac:dyDescent="0.3">
      <c r="A332" s="10" t="s">
        <v>2365</v>
      </c>
      <c r="B332" s="10" t="s">
        <v>81</v>
      </c>
      <c r="C332" s="10" t="s">
        <v>688</v>
      </c>
      <c r="D332" s="10" t="s">
        <v>2381</v>
      </c>
      <c r="E332" s="10">
        <v>2017</v>
      </c>
      <c r="F332" s="4" t="s">
        <v>2312</v>
      </c>
      <c r="G332" s="10" t="s">
        <v>2312</v>
      </c>
      <c r="H332" s="10" t="s">
        <v>17</v>
      </c>
      <c r="J332" s="10" t="s">
        <v>691</v>
      </c>
      <c r="K332" s="10" t="s">
        <v>2382</v>
      </c>
      <c r="L332" s="10">
        <v>3</v>
      </c>
      <c r="M332" s="10">
        <v>3</v>
      </c>
      <c r="O332" s="10">
        <v>3.2</v>
      </c>
      <c r="P332" s="37">
        <f t="shared" si="127"/>
        <v>0.17320508075688773</v>
      </c>
      <c r="S332" s="36"/>
      <c r="V332">
        <v>13</v>
      </c>
      <c r="Y332" s="10">
        <v>3.04</v>
      </c>
      <c r="Z332">
        <f>0.05*SQRT(M332)</f>
        <v>8.6602540378443865E-2</v>
      </c>
      <c r="AA332" s="3">
        <f>Y332*(1-1.25/5)</f>
        <v>2.2800000000000002</v>
      </c>
      <c r="AB332" s="3">
        <f>Z332*(1-1.25/5)</f>
        <v>6.4951905283832906E-2</v>
      </c>
      <c r="AK332">
        <f t="shared" si="124"/>
        <v>500</v>
      </c>
      <c r="AO332" s="14">
        <f t="shared" si="126"/>
        <v>0.71250000000000002</v>
      </c>
      <c r="AP332" s="14"/>
      <c r="AR332" s="3">
        <f t="shared" si="128"/>
        <v>0.71250000000000002</v>
      </c>
      <c r="AS332" s="3"/>
      <c r="AT332" s="3"/>
      <c r="AU332" s="45">
        <f t="shared" ref="AU332:AU354" si="132">(AB332^2)/(O332^2)+(P332^2)*(AA332^2)/(O332^4)</f>
        <v>1.8992614746093748E-3</v>
      </c>
      <c r="AV332" s="36"/>
      <c r="AX332" s="45">
        <f t="shared" si="129"/>
        <v>1.8992614746093748E-3</v>
      </c>
      <c r="AY332" s="36">
        <f t="shared" si="130"/>
        <v>6.116563809798372E-2</v>
      </c>
      <c r="AZ332">
        <f t="shared" si="131"/>
        <v>171</v>
      </c>
      <c r="BA332" t="s">
        <v>1</v>
      </c>
      <c r="BC332" t="s">
        <v>2</v>
      </c>
      <c r="BD332" s="10" t="s">
        <v>2</v>
      </c>
      <c r="BE332" s="10" t="s">
        <v>3</v>
      </c>
    </row>
    <row r="333" spans="1:57" x14ac:dyDescent="0.3">
      <c r="A333" s="10" t="s">
        <v>2365</v>
      </c>
      <c r="B333" s="10" t="s">
        <v>81</v>
      </c>
      <c r="C333" s="10" t="s">
        <v>688</v>
      </c>
      <c r="D333" s="10" t="s">
        <v>2381</v>
      </c>
      <c r="E333" s="10">
        <v>2018</v>
      </c>
      <c r="F333" s="4" t="s">
        <v>2312</v>
      </c>
      <c r="G333" s="10" t="s">
        <v>2312</v>
      </c>
      <c r="H333" s="10" t="s">
        <v>17</v>
      </c>
      <c r="J333" s="10" t="s">
        <v>691</v>
      </c>
      <c r="K333" s="10" t="s">
        <v>2382</v>
      </c>
      <c r="L333" s="10">
        <v>3</v>
      </c>
      <c r="M333" s="10">
        <v>3</v>
      </c>
      <c r="O333" s="10">
        <v>3.2</v>
      </c>
      <c r="P333" s="37">
        <f t="shared" si="127"/>
        <v>0.17320508075688773</v>
      </c>
      <c r="S333" s="36"/>
      <c r="V333">
        <v>14</v>
      </c>
      <c r="Y333" s="10">
        <v>3.08</v>
      </c>
      <c r="Z333">
        <f>0.04*SQRT(M333)</f>
        <v>6.9282032302755092E-2</v>
      </c>
      <c r="AA333" s="3">
        <f>Y333*(1-1.5/5)</f>
        <v>2.1559999999999997</v>
      </c>
      <c r="AB333" s="3">
        <f>Z333*(1-1.5/5)</f>
        <v>4.8497422611928562E-2</v>
      </c>
      <c r="AK333">
        <f t="shared" si="124"/>
        <v>500</v>
      </c>
      <c r="AO333" s="14">
        <f t="shared" si="126"/>
        <v>0.67374999999999985</v>
      </c>
      <c r="AP333" s="14"/>
      <c r="AR333" s="3">
        <f t="shared" si="128"/>
        <v>0.67374999999999985</v>
      </c>
      <c r="AS333" s="3"/>
      <c r="AT333" s="3"/>
      <c r="AU333" s="45">
        <f t="shared" si="132"/>
        <v>1.5595870971679675E-3</v>
      </c>
      <c r="AV333" s="36"/>
      <c r="AX333" s="45">
        <f t="shared" si="129"/>
        <v>1.5595870971679675E-3</v>
      </c>
      <c r="AY333" s="36">
        <f t="shared" si="130"/>
        <v>5.8614631441087563E-2</v>
      </c>
      <c r="AZ333">
        <f t="shared" si="131"/>
        <v>171</v>
      </c>
      <c r="BA333" t="s">
        <v>1</v>
      </c>
      <c r="BC333" t="s">
        <v>2</v>
      </c>
      <c r="BD333" s="10" t="s">
        <v>2</v>
      </c>
      <c r="BE333" s="10" t="s">
        <v>3</v>
      </c>
    </row>
    <row r="334" spans="1:57" x14ac:dyDescent="0.3">
      <c r="A334" s="10" t="s">
        <v>2365</v>
      </c>
      <c r="B334" s="10" t="s">
        <v>81</v>
      </c>
      <c r="C334" s="10" t="s">
        <v>688</v>
      </c>
      <c r="D334" s="10" t="s">
        <v>2381</v>
      </c>
      <c r="E334" s="10">
        <v>2019</v>
      </c>
      <c r="F334" s="4" t="s">
        <v>2312</v>
      </c>
      <c r="G334" s="10" t="s">
        <v>2312</v>
      </c>
      <c r="H334" s="10" t="s">
        <v>17</v>
      </c>
      <c r="J334" s="10" t="s">
        <v>691</v>
      </c>
      <c r="K334" s="10" t="s">
        <v>2382</v>
      </c>
      <c r="L334" s="10">
        <v>3</v>
      </c>
      <c r="M334" s="10">
        <v>3</v>
      </c>
      <c r="O334" s="10">
        <v>3.2</v>
      </c>
      <c r="P334" s="37">
        <f t="shared" si="127"/>
        <v>0.17320508075688773</v>
      </c>
      <c r="Q334">
        <v>2.71</v>
      </c>
      <c r="R334">
        <f>0.15*SQRT(L334)</f>
        <v>0.25980762113533157</v>
      </c>
      <c r="S334" s="36"/>
      <c r="V334">
        <v>15</v>
      </c>
      <c r="Y334" s="10">
        <v>3.02</v>
      </c>
      <c r="Z334">
        <f>0.05*SQRT(M334)</f>
        <v>8.6602540378443865E-2</v>
      </c>
      <c r="AA334" s="3">
        <f>Y334*(1-1.75/5)</f>
        <v>1.9630000000000001</v>
      </c>
      <c r="AB334" s="3">
        <f>Z334*(1-1.75/5)</f>
        <v>5.6291651245988512E-2</v>
      </c>
      <c r="AC334">
        <v>2.63</v>
      </c>
      <c r="AD334">
        <f>0.16*SQRT(M334)</f>
        <v>0.27712812921102037</v>
      </c>
      <c r="AE334">
        <f>AC334</f>
        <v>2.63</v>
      </c>
      <c r="AF334">
        <f>AD334</f>
        <v>0.27712812921102037</v>
      </c>
      <c r="AK334">
        <f t="shared" si="124"/>
        <v>500</v>
      </c>
      <c r="AO334" s="14">
        <f t="shared" si="126"/>
        <v>0.61343749999999997</v>
      </c>
      <c r="AP334" s="14">
        <f>AE334/Q334</f>
        <v>0.97047970479704793</v>
      </c>
      <c r="AR334" s="3">
        <f t="shared" si="128"/>
        <v>1.5839172047970478</v>
      </c>
      <c r="AS334" s="3"/>
      <c r="AT334" s="3"/>
      <c r="AU334" s="45">
        <f t="shared" si="132"/>
        <v>1.4119059562683102E-3</v>
      </c>
      <c r="AV334" s="36">
        <f>(AF334^2)/(Q334^2)+(R334^2)*(AE334^2)/(Q334^4)</f>
        <v>1.9113789691868326E-2</v>
      </c>
      <c r="AX334" s="45">
        <f t="shared" si="129"/>
        <v>2.0525695648136635E-2</v>
      </c>
      <c r="AY334" s="36">
        <f t="shared" si="130"/>
        <v>9.0451644311463311E-2</v>
      </c>
      <c r="AZ334">
        <f>30*AK334*0.0085+2*AK334*0.15+200*0.15</f>
        <v>307.5</v>
      </c>
      <c r="BA334" t="s">
        <v>1</v>
      </c>
      <c r="BC334" t="s">
        <v>2</v>
      </c>
      <c r="BD334" s="10" t="s">
        <v>2</v>
      </c>
      <c r="BE334" s="10" t="s">
        <v>3</v>
      </c>
    </row>
    <row r="335" spans="1:57" x14ac:dyDescent="0.3">
      <c r="A335" s="10" t="s">
        <v>2365</v>
      </c>
      <c r="B335" s="10" t="s">
        <v>81</v>
      </c>
      <c r="C335" s="10" t="s">
        <v>688</v>
      </c>
      <c r="D335" s="10" t="s">
        <v>2381</v>
      </c>
      <c r="E335" s="10">
        <v>2020</v>
      </c>
      <c r="F335" s="4" t="s">
        <v>2312</v>
      </c>
      <c r="G335" s="10" t="s">
        <v>2312</v>
      </c>
      <c r="H335" s="10" t="s">
        <v>17</v>
      </c>
      <c r="J335" s="10" t="s">
        <v>691</v>
      </c>
      <c r="K335" s="10" t="s">
        <v>2382</v>
      </c>
      <c r="L335" s="10">
        <v>3</v>
      </c>
      <c r="M335" s="10">
        <v>3</v>
      </c>
      <c r="O335" s="10">
        <v>3.2</v>
      </c>
      <c r="P335" s="37">
        <f t="shared" si="127"/>
        <v>0.17320508075688773</v>
      </c>
      <c r="Q335">
        <v>3.88</v>
      </c>
      <c r="R335">
        <f>0.2*SQRT(L335)</f>
        <v>0.34641016151377546</v>
      </c>
      <c r="S335" s="36"/>
      <c r="V335">
        <v>16</v>
      </c>
      <c r="Y335" s="10">
        <v>2.89</v>
      </c>
      <c r="Z335">
        <f>0.01*SQRT(M335)</f>
        <v>1.7320508075688773E-2</v>
      </c>
      <c r="AA335" s="3">
        <f>Y335*(1-2.25/5)</f>
        <v>1.5895000000000001</v>
      </c>
      <c r="AB335" s="3">
        <f>Z335*(1-2.25/5)</f>
        <v>9.5262794416288259E-3</v>
      </c>
      <c r="AC335">
        <v>3.8</v>
      </c>
      <c r="AD335">
        <f>0.2*SQRT(M335)</f>
        <v>0.34641016151377546</v>
      </c>
      <c r="AE335">
        <f t="shared" ref="AE335:AE360" si="133">AC335</f>
        <v>3.8</v>
      </c>
      <c r="AF335">
        <f t="shared" ref="AF335:AF354" si="134">AD335</f>
        <v>0.34641016151377546</v>
      </c>
      <c r="AK335">
        <f t="shared" si="124"/>
        <v>500</v>
      </c>
      <c r="AO335" s="14">
        <f t="shared" si="126"/>
        <v>0.49671875000000004</v>
      </c>
      <c r="AP335" s="14">
        <f>AE335/Q335</f>
        <v>0.97938144329896903</v>
      </c>
      <c r="AR335" s="3">
        <f t="shared" si="128"/>
        <v>1.476100193298969</v>
      </c>
      <c r="AS335" s="3"/>
      <c r="AT335" s="3"/>
      <c r="AU335" s="45">
        <f t="shared" si="132"/>
        <v>7.3170268535613977E-4</v>
      </c>
      <c r="AV335" s="36">
        <f>(AF335^2)/(Q335^2)+(R335^2)*(AE335^2)/(Q335^4)</f>
        <v>1.5616866921126356E-2</v>
      </c>
      <c r="AX335" s="45">
        <f t="shared" si="129"/>
        <v>1.6348569606482496E-2</v>
      </c>
      <c r="AY335" s="36">
        <f t="shared" si="130"/>
        <v>8.6621169553590935E-2</v>
      </c>
      <c r="AZ335">
        <f t="shared" ref="AZ335:AZ337" si="135">30*AK335*0.0085+2*AK335*0.15+200*0.15</f>
        <v>307.5</v>
      </c>
      <c r="BA335" t="s">
        <v>1</v>
      </c>
      <c r="BC335" t="s">
        <v>2</v>
      </c>
      <c r="BD335" s="10" t="s">
        <v>2</v>
      </c>
      <c r="BE335" s="10" t="s">
        <v>3</v>
      </c>
    </row>
    <row r="336" spans="1:57" x14ac:dyDescent="0.3">
      <c r="A336" s="10" t="s">
        <v>2365</v>
      </c>
      <c r="B336" s="10" t="s">
        <v>81</v>
      </c>
      <c r="C336" s="10" t="s">
        <v>688</v>
      </c>
      <c r="D336" s="10" t="s">
        <v>2381</v>
      </c>
      <c r="E336" s="10">
        <v>2021</v>
      </c>
      <c r="F336" s="4" t="s">
        <v>2312</v>
      </c>
      <c r="G336" s="10" t="s">
        <v>2312</v>
      </c>
      <c r="H336" s="10" t="s">
        <v>17</v>
      </c>
      <c r="J336" s="10" t="s">
        <v>691</v>
      </c>
      <c r="K336" s="10" t="s">
        <v>2382</v>
      </c>
      <c r="L336" s="10">
        <v>3</v>
      </c>
      <c r="M336" s="10">
        <v>3</v>
      </c>
      <c r="O336" s="10">
        <v>3.2</v>
      </c>
      <c r="P336" s="37">
        <f t="shared" si="127"/>
        <v>0.17320508075688773</v>
      </c>
      <c r="Q336">
        <v>8.2200000000000006</v>
      </c>
      <c r="R336">
        <f>0.37*SQRT(L336)</f>
        <v>0.64085879880048457</v>
      </c>
      <c r="S336" s="36"/>
      <c r="V336">
        <v>17</v>
      </c>
      <c r="Y336" s="10">
        <v>2.54</v>
      </c>
      <c r="Z336">
        <f>0.03*SQRT(M336)</f>
        <v>5.1961524227066312E-2</v>
      </c>
      <c r="AA336" s="3">
        <f>Y336*(1-2.25/5)</f>
        <v>1.3970000000000002</v>
      </c>
      <c r="AB336" s="3">
        <f>Z336*(1-2.25/5)</f>
        <v>2.8578838324886474E-2</v>
      </c>
      <c r="AC336">
        <v>8.0299999999999994</v>
      </c>
      <c r="AD336">
        <f>0.39*SQRT(M336)</f>
        <v>0.67549981495186218</v>
      </c>
      <c r="AE336">
        <f t="shared" si="133"/>
        <v>8.0299999999999994</v>
      </c>
      <c r="AF336">
        <f t="shared" si="134"/>
        <v>0.67549981495186218</v>
      </c>
      <c r="AK336">
        <f t="shared" si="124"/>
        <v>500</v>
      </c>
      <c r="AO336" s="14">
        <f t="shared" si="126"/>
        <v>0.43656250000000008</v>
      </c>
      <c r="AP336" s="14">
        <f>AE336/Q336</f>
        <v>0.97688564476885631</v>
      </c>
      <c r="AR336" s="3">
        <f t="shared" si="128"/>
        <v>1.4134481447688563</v>
      </c>
      <c r="AS336" s="3"/>
      <c r="AT336" s="3"/>
      <c r="AU336" s="45">
        <f t="shared" si="132"/>
        <v>6.381205558776854E-4</v>
      </c>
      <c r="AV336" s="36">
        <f>(AF336^2)/(Q336^2)+(R336^2)*(AE336^2)/(Q336^4)</f>
        <v>1.255369810008538E-2</v>
      </c>
      <c r="AX336" s="45">
        <f t="shared" si="129"/>
        <v>1.3191818655963064E-2</v>
      </c>
      <c r="AY336" s="36">
        <f t="shared" si="130"/>
        <v>8.1259183867037246E-2</v>
      </c>
      <c r="AZ336">
        <f t="shared" si="135"/>
        <v>307.5</v>
      </c>
      <c r="BA336" t="s">
        <v>1</v>
      </c>
      <c r="BC336" t="s">
        <v>2</v>
      </c>
      <c r="BD336" s="10" t="s">
        <v>2</v>
      </c>
      <c r="BE336" s="10" t="s">
        <v>3</v>
      </c>
    </row>
    <row r="337" spans="1:57" x14ac:dyDescent="0.3">
      <c r="A337" s="10" t="s">
        <v>2365</v>
      </c>
      <c r="B337" s="10" t="s">
        <v>81</v>
      </c>
      <c r="C337" s="10" t="s">
        <v>688</v>
      </c>
      <c r="D337" s="10" t="s">
        <v>2381</v>
      </c>
      <c r="E337" s="10">
        <v>2022</v>
      </c>
      <c r="F337" s="4" t="s">
        <v>2312</v>
      </c>
      <c r="G337" s="10" t="s">
        <v>2312</v>
      </c>
      <c r="H337" s="10" t="s">
        <v>17</v>
      </c>
      <c r="J337" s="10" t="s">
        <v>691</v>
      </c>
      <c r="K337" s="10" t="s">
        <v>2382</v>
      </c>
      <c r="L337" s="10">
        <v>3</v>
      </c>
      <c r="M337" s="10">
        <v>3</v>
      </c>
      <c r="O337" s="10">
        <v>3.2</v>
      </c>
      <c r="P337" s="37">
        <f t="shared" si="127"/>
        <v>0.17320508075688773</v>
      </c>
      <c r="Q337">
        <v>14.19</v>
      </c>
      <c r="R337">
        <f>0.35*SQRT(L337)</f>
        <v>0.60621778264910697</v>
      </c>
      <c r="S337" s="36"/>
      <c r="V337">
        <v>18</v>
      </c>
      <c r="Y337" s="10">
        <v>2.7</v>
      </c>
      <c r="Z337">
        <f>0.01*SQRT(M337)</f>
        <v>1.7320508075688773E-2</v>
      </c>
      <c r="AA337" s="3">
        <f>Y337*(1-2.5/5)</f>
        <v>1.35</v>
      </c>
      <c r="AB337" s="3">
        <f>Z337*(1-2.5/5)</f>
        <v>8.6602540378443865E-3</v>
      </c>
      <c r="AC337">
        <v>14.04</v>
      </c>
      <c r="AD337">
        <f>0.33*SQRT(M337)</f>
        <v>0.57157676649772948</v>
      </c>
      <c r="AE337">
        <f t="shared" si="133"/>
        <v>14.04</v>
      </c>
      <c r="AF337">
        <f t="shared" si="134"/>
        <v>0.57157676649772948</v>
      </c>
      <c r="AK337">
        <f t="shared" si="124"/>
        <v>500</v>
      </c>
      <c r="AO337" s="14">
        <f t="shared" si="126"/>
        <v>0.421875</v>
      </c>
      <c r="AP337" s="14">
        <f>AE337/Q337</f>
        <v>0.98942917547568709</v>
      </c>
      <c r="AR337" s="3">
        <f t="shared" si="128"/>
        <v>1.4113041754756872</v>
      </c>
      <c r="AS337" s="3"/>
      <c r="AT337" s="3"/>
      <c r="AU337" s="45">
        <f t="shared" si="132"/>
        <v>5.2874565124511703E-4</v>
      </c>
      <c r="AV337" s="36">
        <f>(AF337^2)/(Q337^2)+(R337^2)*(AE337^2)/(Q337^4)</f>
        <v>3.4092411865412468E-3</v>
      </c>
      <c r="AX337" s="45">
        <f t="shared" si="129"/>
        <v>3.9379868377863638E-3</v>
      </c>
      <c r="AY337" s="36">
        <f t="shared" si="130"/>
        <v>4.4464816427925352E-2</v>
      </c>
      <c r="AZ337">
        <f t="shared" si="135"/>
        <v>307.5</v>
      </c>
      <c r="BA337" t="s">
        <v>1</v>
      </c>
      <c r="BC337" t="s">
        <v>2</v>
      </c>
      <c r="BD337" s="10" t="s">
        <v>2</v>
      </c>
      <c r="BE337" s="10" t="s">
        <v>3</v>
      </c>
    </row>
    <row r="338" spans="1:57" x14ac:dyDescent="0.3">
      <c r="A338" s="10" t="s">
        <v>2365</v>
      </c>
      <c r="B338" s="10" t="s">
        <v>81</v>
      </c>
      <c r="C338" s="10" t="s">
        <v>688</v>
      </c>
      <c r="D338" s="10" t="s">
        <v>2381</v>
      </c>
      <c r="E338" s="10">
        <v>2014</v>
      </c>
      <c r="F338" s="4" t="s">
        <v>2312</v>
      </c>
      <c r="G338" s="10" t="s">
        <v>2312</v>
      </c>
      <c r="H338" s="10" t="s">
        <v>17</v>
      </c>
      <c r="J338" s="10" t="s">
        <v>56</v>
      </c>
      <c r="K338" s="10" t="s">
        <v>2382</v>
      </c>
      <c r="L338" s="10">
        <v>3</v>
      </c>
      <c r="M338" s="10">
        <v>3</v>
      </c>
      <c r="O338" s="10">
        <v>3.38</v>
      </c>
      <c r="P338" s="37">
        <f t="shared" si="127"/>
        <v>0.17320508075688773</v>
      </c>
      <c r="S338" s="36"/>
      <c r="V338">
        <v>10</v>
      </c>
      <c r="Y338" s="10">
        <v>3.26</v>
      </c>
      <c r="Z338">
        <f>0.09*SQRT(M338)</f>
        <v>0.15588457268119893</v>
      </c>
      <c r="AA338" s="3">
        <f>Y338*(1-0.5/5)</f>
        <v>2.9339999999999997</v>
      </c>
      <c r="AB338" s="3">
        <f>Z338*(1-0.5/5)</f>
        <v>0.14029611541307904</v>
      </c>
      <c r="AE338">
        <f t="shared" si="133"/>
        <v>0</v>
      </c>
      <c r="AF338">
        <f t="shared" si="134"/>
        <v>0</v>
      </c>
      <c r="AK338">
        <f>10000/(4*5)</f>
        <v>500</v>
      </c>
      <c r="AO338" s="14">
        <f t="shared" si="126"/>
        <v>0.86804733727810646</v>
      </c>
      <c r="AP338" s="14"/>
      <c r="AR338" s="3">
        <f t="shared" si="128"/>
        <v>0.86804733727810646</v>
      </c>
      <c r="AS338" s="3"/>
      <c r="AT338" s="3"/>
      <c r="AU338" s="45">
        <f t="shared" si="132"/>
        <v>3.7015672939207595E-3</v>
      </c>
      <c r="AV338" s="36"/>
      <c r="AX338" s="45">
        <f t="shared" si="129"/>
        <v>3.7015672939207595E-3</v>
      </c>
      <c r="AY338" s="36">
        <f t="shared" si="130"/>
        <v>7.0088927645835186E-2</v>
      </c>
      <c r="AZ338">
        <f>12*AK338*0.0085+1.2*AK338*0.15+600*0.15</f>
        <v>231</v>
      </c>
      <c r="BA338" t="s">
        <v>1</v>
      </c>
      <c r="BC338" t="s">
        <v>2</v>
      </c>
      <c r="BD338" s="10" t="s">
        <v>2</v>
      </c>
      <c r="BE338" s="10" t="s">
        <v>3</v>
      </c>
    </row>
    <row r="339" spans="1:57" x14ac:dyDescent="0.3">
      <c r="A339" s="10" t="s">
        <v>2365</v>
      </c>
      <c r="B339" s="10" t="s">
        <v>81</v>
      </c>
      <c r="C339" s="10" t="s">
        <v>688</v>
      </c>
      <c r="D339" s="10" t="s">
        <v>2381</v>
      </c>
      <c r="E339" s="10">
        <v>2015</v>
      </c>
      <c r="F339" s="4" t="s">
        <v>2312</v>
      </c>
      <c r="G339" s="10" t="s">
        <v>2312</v>
      </c>
      <c r="H339" s="10" t="s">
        <v>17</v>
      </c>
      <c r="J339" s="10" t="s">
        <v>56</v>
      </c>
      <c r="K339" s="10" t="s">
        <v>2382</v>
      </c>
      <c r="L339" s="10">
        <v>3</v>
      </c>
      <c r="M339" s="10">
        <v>3</v>
      </c>
      <c r="O339" s="10">
        <v>3.38</v>
      </c>
      <c r="P339" s="37">
        <f t="shared" si="127"/>
        <v>0.17320508075688773</v>
      </c>
      <c r="S339" s="36"/>
      <c r="V339">
        <v>11</v>
      </c>
      <c r="Y339" s="10">
        <v>3.22</v>
      </c>
      <c r="Z339">
        <f>0.05*SQRT(M339)</f>
        <v>8.6602540378443865E-2</v>
      </c>
      <c r="AA339" s="3">
        <f>Y339*(1-0.75/5)</f>
        <v>2.7370000000000001</v>
      </c>
      <c r="AB339" s="3">
        <f>Z339*(1-0.75/5)</f>
        <v>7.3612159321677278E-2</v>
      </c>
      <c r="AE339">
        <f t="shared" si="133"/>
        <v>0</v>
      </c>
      <c r="AF339">
        <f t="shared" si="134"/>
        <v>0</v>
      </c>
      <c r="AK339">
        <f t="shared" si="124"/>
        <v>500</v>
      </c>
      <c r="AO339" s="14">
        <f t="shared" si="126"/>
        <v>0.80976331360946752</v>
      </c>
      <c r="AP339" s="14"/>
      <c r="AR339" s="3">
        <f t="shared" si="128"/>
        <v>0.80976331360946752</v>
      </c>
      <c r="AS339" s="3"/>
      <c r="AT339" s="3"/>
      <c r="AU339" s="45">
        <f t="shared" si="132"/>
        <v>2.1961983755850239E-3</v>
      </c>
      <c r="AV339" s="36"/>
      <c r="AX339" s="45">
        <f t="shared" si="129"/>
        <v>2.1961983755850239E-3</v>
      </c>
      <c r="AY339" s="36">
        <f t="shared" si="130"/>
        <v>5.7873225220173158E-2</v>
      </c>
      <c r="AZ339">
        <f t="shared" ref="AZ339:AZ342" si="136">12*AK339*0.0085+1.2*AK339*0.15+600*0.15</f>
        <v>231</v>
      </c>
      <c r="BA339" t="s">
        <v>1</v>
      </c>
      <c r="BC339" t="s">
        <v>2</v>
      </c>
      <c r="BD339" s="10" t="s">
        <v>2</v>
      </c>
      <c r="BE339" s="10" t="s">
        <v>3</v>
      </c>
    </row>
    <row r="340" spans="1:57" x14ac:dyDescent="0.3">
      <c r="A340" s="10" t="s">
        <v>2365</v>
      </c>
      <c r="B340" s="10" t="s">
        <v>81</v>
      </c>
      <c r="C340" s="10" t="s">
        <v>688</v>
      </c>
      <c r="D340" s="10" t="s">
        <v>2381</v>
      </c>
      <c r="E340" s="10">
        <v>2016</v>
      </c>
      <c r="F340" s="4" t="s">
        <v>2312</v>
      </c>
      <c r="G340" s="10" t="s">
        <v>2312</v>
      </c>
      <c r="H340" s="10" t="s">
        <v>17</v>
      </c>
      <c r="J340" s="10" t="s">
        <v>56</v>
      </c>
      <c r="K340" s="10" t="s">
        <v>2382</v>
      </c>
      <c r="L340" s="10">
        <v>3</v>
      </c>
      <c r="M340" s="10">
        <v>3</v>
      </c>
      <c r="O340" s="10">
        <v>3.38</v>
      </c>
      <c r="P340" s="37">
        <f t="shared" si="127"/>
        <v>0.17320508075688773</v>
      </c>
      <c r="S340" s="36"/>
      <c r="V340">
        <v>12</v>
      </c>
      <c r="Y340" s="10">
        <v>3.28</v>
      </c>
      <c r="Z340">
        <f>0.11*SQRT(M340)</f>
        <v>0.1905255888325765</v>
      </c>
      <c r="AA340" s="3">
        <f>Y340*(1-1/5)</f>
        <v>2.6240000000000001</v>
      </c>
      <c r="AB340" s="3">
        <f>Z340*(1-1/5)</f>
        <v>0.15242047106606121</v>
      </c>
      <c r="AE340">
        <f t="shared" si="133"/>
        <v>0</v>
      </c>
      <c r="AF340">
        <f t="shared" si="134"/>
        <v>0</v>
      </c>
      <c r="AK340">
        <f t="shared" si="124"/>
        <v>500</v>
      </c>
      <c r="AO340" s="14">
        <f t="shared" si="126"/>
        <v>0.7763313609467456</v>
      </c>
      <c r="AP340" s="14"/>
      <c r="AR340" s="3">
        <f t="shared" si="128"/>
        <v>0.7763313609467456</v>
      </c>
      <c r="AS340" s="3"/>
      <c r="AT340" s="3"/>
      <c r="AU340" s="45">
        <f t="shared" si="132"/>
        <v>3.6161821592103566E-3</v>
      </c>
      <c r="AV340" s="36"/>
      <c r="AX340" s="45">
        <f t="shared" si="129"/>
        <v>3.6161821592103566E-3</v>
      </c>
      <c r="AY340" s="36">
        <f t="shared" si="130"/>
        <v>7.7460093911942099E-2</v>
      </c>
      <c r="AZ340">
        <f t="shared" si="136"/>
        <v>231</v>
      </c>
      <c r="BA340" t="s">
        <v>1</v>
      </c>
      <c r="BC340" t="s">
        <v>2</v>
      </c>
      <c r="BD340" s="10" t="s">
        <v>2</v>
      </c>
      <c r="BE340" s="10" t="s">
        <v>3</v>
      </c>
    </row>
    <row r="341" spans="1:57" x14ac:dyDescent="0.3">
      <c r="A341" s="10" t="s">
        <v>2365</v>
      </c>
      <c r="B341" s="10" t="s">
        <v>81</v>
      </c>
      <c r="C341" s="10" t="s">
        <v>688</v>
      </c>
      <c r="D341" s="10" t="s">
        <v>2381</v>
      </c>
      <c r="E341" s="10">
        <v>2017</v>
      </c>
      <c r="F341" s="4" t="s">
        <v>2312</v>
      </c>
      <c r="G341" s="10" t="s">
        <v>2312</v>
      </c>
      <c r="H341" s="10" t="s">
        <v>17</v>
      </c>
      <c r="J341" s="10" t="s">
        <v>56</v>
      </c>
      <c r="K341" s="10" t="s">
        <v>2382</v>
      </c>
      <c r="L341" s="10">
        <v>3</v>
      </c>
      <c r="M341" s="10">
        <v>3</v>
      </c>
      <c r="O341" s="10">
        <v>3.38</v>
      </c>
      <c r="P341" s="37">
        <f t="shared" si="127"/>
        <v>0.17320508075688773</v>
      </c>
      <c r="S341" s="36"/>
      <c r="V341">
        <v>13</v>
      </c>
      <c r="Y341" s="10">
        <v>3.22</v>
      </c>
      <c r="Z341">
        <f>0.05*SQRT(M341)</f>
        <v>8.6602540378443865E-2</v>
      </c>
      <c r="AA341" s="3">
        <f>Y341*(1-1.25/5)</f>
        <v>2.415</v>
      </c>
      <c r="AB341" s="3">
        <f>Z341*(1-1.25/5)</f>
        <v>6.4951905283832906E-2</v>
      </c>
      <c r="AE341">
        <f t="shared" si="133"/>
        <v>0</v>
      </c>
      <c r="AF341">
        <f t="shared" si="134"/>
        <v>0</v>
      </c>
      <c r="AK341">
        <f t="shared" si="124"/>
        <v>500</v>
      </c>
      <c r="AO341" s="14">
        <f t="shared" si="126"/>
        <v>0.71449704142011838</v>
      </c>
      <c r="AP341" s="14"/>
      <c r="AR341" s="3">
        <f t="shared" si="128"/>
        <v>0.71449704142011838</v>
      </c>
      <c r="AS341" s="3"/>
      <c r="AT341" s="3"/>
      <c r="AU341" s="45">
        <f t="shared" si="132"/>
        <v>1.7098430259744998E-3</v>
      </c>
      <c r="AV341" s="36"/>
      <c r="AX341" s="45">
        <f t="shared" si="129"/>
        <v>1.7098430259744998E-3</v>
      </c>
      <c r="AY341" s="36">
        <f t="shared" si="130"/>
        <v>5.7873225220173165E-2</v>
      </c>
      <c r="AZ341">
        <f t="shared" si="136"/>
        <v>231</v>
      </c>
      <c r="BA341" t="s">
        <v>1</v>
      </c>
      <c r="BC341" t="s">
        <v>2</v>
      </c>
      <c r="BD341" s="10" t="s">
        <v>2</v>
      </c>
      <c r="BE341" s="10" t="s">
        <v>3</v>
      </c>
    </row>
    <row r="342" spans="1:57" x14ac:dyDescent="0.3">
      <c r="A342" s="10" t="s">
        <v>2365</v>
      </c>
      <c r="B342" s="10" t="s">
        <v>81</v>
      </c>
      <c r="C342" s="10" t="s">
        <v>688</v>
      </c>
      <c r="D342" s="10" t="s">
        <v>2381</v>
      </c>
      <c r="E342" s="10">
        <v>2018</v>
      </c>
      <c r="F342" s="4" t="s">
        <v>2312</v>
      </c>
      <c r="G342" s="10" t="s">
        <v>2312</v>
      </c>
      <c r="H342" s="10" t="s">
        <v>17</v>
      </c>
      <c r="J342" s="10" t="s">
        <v>56</v>
      </c>
      <c r="K342" s="10" t="s">
        <v>2382</v>
      </c>
      <c r="L342" s="10">
        <v>3</v>
      </c>
      <c r="M342" s="10">
        <v>3</v>
      </c>
      <c r="O342" s="10">
        <v>3.38</v>
      </c>
      <c r="P342" s="37">
        <f t="shared" si="127"/>
        <v>0.17320508075688773</v>
      </c>
      <c r="S342" s="36"/>
      <c r="V342">
        <v>14</v>
      </c>
      <c r="Y342" s="10">
        <v>3.25</v>
      </c>
      <c r="Z342">
        <f>0.07*SQRT(M342)</f>
        <v>0.12124355652982141</v>
      </c>
      <c r="AA342" s="3">
        <f>Y342*(1-1.5/5)</f>
        <v>2.2749999999999999</v>
      </c>
      <c r="AB342" s="3">
        <f>Z342*(1-1.5/5)</f>
        <v>8.487048957087498E-2</v>
      </c>
      <c r="AE342">
        <f t="shared" si="133"/>
        <v>0</v>
      </c>
      <c r="AF342">
        <f t="shared" si="134"/>
        <v>0</v>
      </c>
      <c r="AK342">
        <f t="shared" si="124"/>
        <v>500</v>
      </c>
      <c r="AO342" s="14">
        <f t="shared" si="126"/>
        <v>0.67307692307692302</v>
      </c>
      <c r="AP342" s="14"/>
      <c r="AR342" s="3">
        <f t="shared" si="128"/>
        <v>0.67307692307692302</v>
      </c>
      <c r="AS342" s="3"/>
      <c r="AT342" s="3"/>
      <c r="AU342" s="45">
        <f t="shared" si="132"/>
        <v>1.8201372791009549E-3</v>
      </c>
      <c r="AV342" s="36"/>
      <c r="AX342" s="45">
        <f t="shared" si="129"/>
        <v>1.8201372791009549E-3</v>
      </c>
      <c r="AY342" s="36">
        <f t="shared" si="130"/>
        <v>6.3385127996831242E-2</v>
      </c>
      <c r="AZ342">
        <f t="shared" si="136"/>
        <v>231</v>
      </c>
      <c r="BA342" t="s">
        <v>1</v>
      </c>
      <c r="BC342" t="s">
        <v>2</v>
      </c>
      <c r="BD342" s="10" t="s">
        <v>2</v>
      </c>
      <c r="BE342" s="10" t="s">
        <v>3</v>
      </c>
    </row>
    <row r="343" spans="1:57" x14ac:dyDescent="0.3">
      <c r="A343" s="10" t="s">
        <v>2365</v>
      </c>
      <c r="B343" s="10" t="s">
        <v>81</v>
      </c>
      <c r="C343" s="10" t="s">
        <v>688</v>
      </c>
      <c r="D343" s="10" t="s">
        <v>2381</v>
      </c>
      <c r="E343" s="10">
        <v>2019</v>
      </c>
      <c r="F343" s="4" t="s">
        <v>2312</v>
      </c>
      <c r="G343" s="10" t="s">
        <v>2312</v>
      </c>
      <c r="H343" s="10" t="s">
        <v>17</v>
      </c>
      <c r="J343" s="10" t="s">
        <v>56</v>
      </c>
      <c r="K343" s="10" t="s">
        <v>2382</v>
      </c>
      <c r="L343" s="10">
        <v>3</v>
      </c>
      <c r="M343" s="10">
        <v>3</v>
      </c>
      <c r="O343" s="10">
        <v>3.38</v>
      </c>
      <c r="P343" s="37">
        <f t="shared" si="127"/>
        <v>0.17320508075688773</v>
      </c>
      <c r="Q343">
        <v>2.71</v>
      </c>
      <c r="R343">
        <f>0.15*SQRT(L343)</f>
        <v>0.25980762113533157</v>
      </c>
      <c r="S343" s="36"/>
      <c r="V343">
        <v>15</v>
      </c>
      <c r="Y343" s="10">
        <v>3.11</v>
      </c>
      <c r="Z343">
        <f>0.04*SQRT(M343)</f>
        <v>6.9282032302755092E-2</v>
      </c>
      <c r="AA343" s="3">
        <f>Y343*(1-1.75/5)</f>
        <v>2.0215000000000001</v>
      </c>
      <c r="AB343" s="3">
        <f>Z343*(1-1.75/5)</f>
        <v>4.5033320996790811E-2</v>
      </c>
      <c r="AC343">
        <v>2.58</v>
      </c>
      <c r="AD343">
        <f>0.16*SQRT(M343)</f>
        <v>0.27712812921102037</v>
      </c>
      <c r="AE343">
        <f t="shared" si="133"/>
        <v>2.58</v>
      </c>
      <c r="AF343">
        <f t="shared" si="134"/>
        <v>0.27712812921102037</v>
      </c>
      <c r="AK343">
        <f t="shared" si="124"/>
        <v>500</v>
      </c>
      <c r="AO343" s="14">
        <f t="shared" si="126"/>
        <v>0.59807692307692317</v>
      </c>
      <c r="AP343" s="14">
        <f>AE343/Q343</f>
        <v>0.95202952029520294</v>
      </c>
      <c r="AR343" s="3">
        <f t="shared" si="128"/>
        <v>1.5501064433721261</v>
      </c>
      <c r="AS343" s="3"/>
      <c r="AT343" s="3"/>
      <c r="AU343" s="45">
        <f t="shared" si="132"/>
        <v>1.1168096510551799E-3</v>
      </c>
      <c r="AV343" s="36">
        <f>(AF343^2)/(Q343^2)+(R343^2)*(AE343^2)/(Q343^4)</f>
        <v>1.8787777128193003E-2</v>
      </c>
      <c r="AX343" s="45">
        <f t="shared" si="129"/>
        <v>1.9904586779248182E-2</v>
      </c>
      <c r="AY343" s="36">
        <f t="shared" si="130"/>
        <v>9.1015437598630816E-2</v>
      </c>
      <c r="AZ343">
        <f>30*AK343*0.0085+2*AK343*0.15+600*0.15</f>
        <v>367.5</v>
      </c>
      <c r="BA343" t="s">
        <v>1</v>
      </c>
      <c r="BC343" t="s">
        <v>2</v>
      </c>
      <c r="BD343" s="10" t="s">
        <v>2</v>
      </c>
      <c r="BE343" s="10" t="s">
        <v>3</v>
      </c>
    </row>
    <row r="344" spans="1:57" x14ac:dyDescent="0.3">
      <c r="A344" s="10" t="s">
        <v>2365</v>
      </c>
      <c r="B344" s="10" t="s">
        <v>81</v>
      </c>
      <c r="C344" s="10" t="s">
        <v>688</v>
      </c>
      <c r="D344" s="10" t="s">
        <v>2381</v>
      </c>
      <c r="E344" s="10">
        <v>2020</v>
      </c>
      <c r="F344" s="4" t="s">
        <v>2312</v>
      </c>
      <c r="G344" s="10" t="s">
        <v>2312</v>
      </c>
      <c r="H344" s="10" t="s">
        <v>17</v>
      </c>
      <c r="J344" s="10" t="s">
        <v>56</v>
      </c>
      <c r="K344" s="10" t="s">
        <v>2382</v>
      </c>
      <c r="L344" s="10">
        <v>3</v>
      </c>
      <c r="M344" s="10">
        <v>3</v>
      </c>
      <c r="O344" s="10">
        <v>3.38</v>
      </c>
      <c r="P344" s="37">
        <f t="shared" si="127"/>
        <v>0.17320508075688773</v>
      </c>
      <c r="Q344">
        <v>3.88</v>
      </c>
      <c r="R344">
        <f>0.2*SQRT(L344)</f>
        <v>0.34641016151377546</v>
      </c>
      <c r="S344" s="36"/>
      <c r="V344">
        <v>16</v>
      </c>
      <c r="Y344" s="10">
        <v>2.89</v>
      </c>
      <c r="Z344">
        <f>0*SQRT(M344)</f>
        <v>0</v>
      </c>
      <c r="AA344" s="3">
        <f>Y344*(1-2.25/5)</f>
        <v>1.5895000000000001</v>
      </c>
      <c r="AB344" s="3">
        <f>Z344*(1-2.25/5)</f>
        <v>0</v>
      </c>
      <c r="AC344">
        <v>3.75</v>
      </c>
      <c r="AD344">
        <f>0.19*SQRT(M344)</f>
        <v>0.32908965343808666</v>
      </c>
      <c r="AE344">
        <f t="shared" si="133"/>
        <v>3.75</v>
      </c>
      <c r="AF344">
        <f t="shared" si="134"/>
        <v>0.32908965343808666</v>
      </c>
      <c r="AK344">
        <f t="shared" si="124"/>
        <v>500</v>
      </c>
      <c r="AO344" s="14">
        <f t="shared" si="126"/>
        <v>0.47026627218934919</v>
      </c>
      <c r="AP344" s="14">
        <f>AE344/Q344</f>
        <v>0.96649484536082475</v>
      </c>
      <c r="AR344" s="3">
        <f t="shared" si="128"/>
        <v>1.436761117550174</v>
      </c>
      <c r="AS344" s="3"/>
      <c r="AT344" s="3"/>
      <c r="AU344" s="45">
        <f t="shared" si="132"/>
        <v>5.8073167980515501E-4</v>
      </c>
      <c r="AV344" s="36">
        <f>(AF344^2)/(Q344^2)+(R344^2)*(AE344^2)/(Q344^4)</f>
        <v>1.4639804597531975E-2</v>
      </c>
      <c r="AX344" s="45">
        <f t="shared" si="129"/>
        <v>1.5220536277337129E-2</v>
      </c>
      <c r="AY344" s="36">
        <f t="shared" si="130"/>
        <v>8.5867814797145586E-2</v>
      </c>
      <c r="AZ344">
        <f t="shared" ref="AZ344:AZ346" si="137">30*AK344*0.0085+2*AK344*0.15+600*0.15</f>
        <v>367.5</v>
      </c>
      <c r="BA344" t="s">
        <v>1</v>
      </c>
      <c r="BC344" t="s">
        <v>2</v>
      </c>
      <c r="BD344" s="10" t="s">
        <v>2</v>
      </c>
      <c r="BE344" s="10" t="s">
        <v>3</v>
      </c>
    </row>
    <row r="345" spans="1:57" x14ac:dyDescent="0.3">
      <c r="A345" s="10" t="s">
        <v>2365</v>
      </c>
      <c r="B345" s="10" t="s">
        <v>81</v>
      </c>
      <c r="C345" s="10" t="s">
        <v>688</v>
      </c>
      <c r="D345" s="10" t="s">
        <v>2381</v>
      </c>
      <c r="E345" s="10">
        <v>2021</v>
      </c>
      <c r="F345" s="4" t="s">
        <v>2312</v>
      </c>
      <c r="G345" s="10" t="s">
        <v>2312</v>
      </c>
      <c r="H345" s="10" t="s">
        <v>17</v>
      </c>
      <c r="J345" s="10" t="s">
        <v>56</v>
      </c>
      <c r="K345" s="10" t="s">
        <v>2382</v>
      </c>
      <c r="L345" s="10">
        <v>3</v>
      </c>
      <c r="M345" s="10">
        <v>3</v>
      </c>
      <c r="O345" s="10">
        <v>3.38</v>
      </c>
      <c r="P345" s="37">
        <f t="shared" si="127"/>
        <v>0.17320508075688773</v>
      </c>
      <c r="Q345">
        <v>8.2200000000000006</v>
      </c>
      <c r="R345">
        <f>0.37*SQRT(L345)</f>
        <v>0.64085879880048457</v>
      </c>
      <c r="S345" s="36"/>
      <c r="V345">
        <v>17</v>
      </c>
      <c r="Y345" s="10">
        <v>2.64</v>
      </c>
      <c r="Z345">
        <f>0.02*SQRT(M345)</f>
        <v>3.4641016151377546E-2</v>
      </c>
      <c r="AA345" s="3">
        <f>Y345*(1-2.25/5)</f>
        <v>1.4520000000000002</v>
      </c>
      <c r="AB345" s="3">
        <f>Z345*(1-2.25/5)</f>
        <v>1.9052558883257652E-2</v>
      </c>
      <c r="AC345">
        <v>7.88</v>
      </c>
      <c r="AD345">
        <f>0.42*SQRT(M345)</f>
        <v>0.72746133917892841</v>
      </c>
      <c r="AE345">
        <f t="shared" si="133"/>
        <v>7.88</v>
      </c>
      <c r="AF345">
        <f t="shared" si="134"/>
        <v>0.72746133917892841</v>
      </c>
      <c r="AK345">
        <f t="shared" si="124"/>
        <v>500</v>
      </c>
      <c r="AO345" s="14">
        <f t="shared" si="126"/>
        <v>0.42958579881656811</v>
      </c>
      <c r="AP345" s="14">
        <f>AE345/Q345</f>
        <v>0.95863746958637464</v>
      </c>
      <c r="AR345" s="3">
        <f t="shared" si="128"/>
        <v>1.3882232684029427</v>
      </c>
      <c r="AS345" s="3"/>
      <c r="AT345" s="3"/>
      <c r="AU345" s="45">
        <f t="shared" si="132"/>
        <v>5.1637886946763673E-4</v>
      </c>
      <c r="AV345" s="36">
        <f>(AF345^2)/(Q345^2)+(R345^2)*(AE345^2)/(Q345^4)</f>
        <v>1.3417921206919252E-2</v>
      </c>
      <c r="AX345" s="45">
        <f t="shared" si="129"/>
        <v>1.3934300076386888E-2</v>
      </c>
      <c r="AY345" s="36">
        <f t="shared" si="130"/>
        <v>8.5032169543541203E-2</v>
      </c>
      <c r="AZ345">
        <f t="shared" si="137"/>
        <v>367.5</v>
      </c>
      <c r="BA345" t="s">
        <v>1</v>
      </c>
      <c r="BC345" t="s">
        <v>2</v>
      </c>
      <c r="BD345" s="10" t="s">
        <v>2</v>
      </c>
      <c r="BE345" s="10" t="s">
        <v>3</v>
      </c>
    </row>
    <row r="346" spans="1:57" x14ac:dyDescent="0.3">
      <c r="A346" s="10" t="s">
        <v>2365</v>
      </c>
      <c r="B346" s="10" t="s">
        <v>81</v>
      </c>
      <c r="C346" s="10" t="s">
        <v>688</v>
      </c>
      <c r="D346" s="10" t="s">
        <v>2381</v>
      </c>
      <c r="E346" s="10">
        <v>2022</v>
      </c>
      <c r="F346" s="4" t="s">
        <v>2312</v>
      </c>
      <c r="G346" s="10" t="s">
        <v>2312</v>
      </c>
      <c r="H346" s="10" t="s">
        <v>17</v>
      </c>
      <c r="J346" s="10" t="s">
        <v>56</v>
      </c>
      <c r="K346" s="10" t="s">
        <v>2382</v>
      </c>
      <c r="L346" s="10">
        <v>3</v>
      </c>
      <c r="M346" s="10">
        <v>3</v>
      </c>
      <c r="O346" s="10">
        <v>3.38</v>
      </c>
      <c r="P346" s="37">
        <f t="shared" si="127"/>
        <v>0.17320508075688773</v>
      </c>
      <c r="Q346">
        <v>14.19</v>
      </c>
      <c r="R346">
        <f>0.35*SQRT(L346)</f>
        <v>0.60621778264910697</v>
      </c>
      <c r="S346" s="36"/>
      <c r="V346">
        <v>18</v>
      </c>
      <c r="Y346" s="10">
        <v>2.23</v>
      </c>
      <c r="Z346">
        <f>0.02*SQRT(M346)</f>
        <v>3.4641016151377546E-2</v>
      </c>
      <c r="AA346" s="3">
        <f>Y346*(1-2.5/5)</f>
        <v>1.115</v>
      </c>
      <c r="AB346" s="3">
        <f>Z346*(1-2.5/5)</f>
        <v>1.7320508075688773E-2</v>
      </c>
      <c r="AC346">
        <v>13.87</v>
      </c>
      <c r="AD346">
        <f>0.33*SQRT(M346)</f>
        <v>0.57157676649772948</v>
      </c>
      <c r="AE346">
        <f t="shared" si="133"/>
        <v>13.87</v>
      </c>
      <c r="AF346">
        <f t="shared" si="134"/>
        <v>0.57157676649772948</v>
      </c>
      <c r="AK346">
        <f t="shared" si="124"/>
        <v>500</v>
      </c>
      <c r="AO346" s="14">
        <f t="shared" ref="AO346:AO360" si="138">AA346/O346</f>
        <v>0.32988165680473375</v>
      </c>
      <c r="AP346" s="14">
        <f>AE346/Q346</f>
        <v>0.97744890768146575</v>
      </c>
      <c r="AR346" s="3">
        <f t="shared" si="128"/>
        <v>1.3073305644861994</v>
      </c>
      <c r="AS346" s="3"/>
      <c r="AT346" s="3"/>
      <c r="AU346" s="45">
        <f t="shared" si="132"/>
        <v>3.1202139498679013E-4</v>
      </c>
      <c r="AV346" s="36">
        <f>(AF346^2)/(Q346^2)+(R346^2)*(AE346^2)/(Q346^4)</f>
        <v>3.3662344469297242E-3</v>
      </c>
      <c r="AX346" s="45">
        <f t="shared" si="129"/>
        <v>3.6782558419165144E-3</v>
      </c>
      <c r="AY346" s="36">
        <f t="shared" si="130"/>
        <v>4.6391194162270673E-2</v>
      </c>
      <c r="AZ346">
        <f t="shared" si="137"/>
        <v>367.5</v>
      </c>
      <c r="BA346" t="s">
        <v>1</v>
      </c>
      <c r="BC346" t="s">
        <v>2</v>
      </c>
      <c r="BD346" s="10" t="s">
        <v>2</v>
      </c>
      <c r="BE346" s="10" t="s">
        <v>3</v>
      </c>
    </row>
    <row r="347" spans="1:57" x14ac:dyDescent="0.3">
      <c r="A347" s="10" t="s">
        <v>2365</v>
      </c>
      <c r="B347" s="10" t="s">
        <v>81</v>
      </c>
      <c r="C347" s="10" t="s">
        <v>688</v>
      </c>
      <c r="D347" s="10" t="s">
        <v>2381</v>
      </c>
      <c r="E347" s="10">
        <v>2014</v>
      </c>
      <c r="F347" s="4" t="s">
        <v>2312</v>
      </c>
      <c r="G347" s="10" t="s">
        <v>2312</v>
      </c>
      <c r="H347" s="10" t="s">
        <v>17</v>
      </c>
      <c r="J347" s="10" t="s">
        <v>63</v>
      </c>
      <c r="K347" s="10" t="s">
        <v>2382</v>
      </c>
      <c r="L347" s="10">
        <v>3</v>
      </c>
      <c r="M347" s="10">
        <v>3</v>
      </c>
      <c r="O347" s="10">
        <v>11.71</v>
      </c>
      <c r="P347" s="37">
        <f t="shared" ref="P347:P354" si="139">0.66*SQRT(L347)</f>
        <v>1.143153532995459</v>
      </c>
      <c r="S347" s="36"/>
      <c r="V347">
        <v>10</v>
      </c>
      <c r="Y347" s="10">
        <v>11.36</v>
      </c>
      <c r="Z347">
        <f>0.55*SQRT(M347)</f>
        <v>0.95262794416288255</v>
      </c>
      <c r="AA347" s="3">
        <f>Y347*(1-0.5/5)</f>
        <v>10.224</v>
      </c>
      <c r="AB347" s="3">
        <f>Z347*(1-0.5/5)</f>
        <v>0.85736514974659428</v>
      </c>
      <c r="AE347">
        <f t="shared" si="133"/>
        <v>0</v>
      </c>
      <c r="AF347">
        <f t="shared" si="134"/>
        <v>0</v>
      </c>
      <c r="AK347">
        <f>10000/(4*5)</f>
        <v>500</v>
      </c>
      <c r="AO347" s="14">
        <f t="shared" si="138"/>
        <v>0.87309991460290348</v>
      </c>
      <c r="AP347" s="14"/>
      <c r="AR347" s="3">
        <f t="shared" si="128"/>
        <v>0.87309991460290348</v>
      </c>
      <c r="AS347" s="3"/>
      <c r="AT347" s="3"/>
      <c r="AU347" s="45">
        <f t="shared" si="132"/>
        <v>1.2625447770869287E-2</v>
      </c>
      <c r="AV347" s="36"/>
      <c r="AX347" s="45">
        <f t="shared" si="129"/>
        <v>1.2625447770869287E-2</v>
      </c>
      <c r="AY347" s="36">
        <f t="shared" si="130"/>
        <v>0.12869434062294496</v>
      </c>
      <c r="AZ347">
        <f>12*AK347*0.0085+1.2*AK347*0.15+600*0.15</f>
        <v>231</v>
      </c>
      <c r="BA347" t="s">
        <v>1</v>
      </c>
      <c r="BC347" t="s">
        <v>2</v>
      </c>
      <c r="BD347" s="10" t="s">
        <v>2</v>
      </c>
      <c r="BE347" s="10" t="s">
        <v>3</v>
      </c>
    </row>
    <row r="348" spans="1:57" x14ac:dyDescent="0.3">
      <c r="A348" s="10" t="s">
        <v>2365</v>
      </c>
      <c r="B348" s="10" t="s">
        <v>81</v>
      </c>
      <c r="C348" s="10" t="s">
        <v>688</v>
      </c>
      <c r="D348" s="10" t="s">
        <v>2381</v>
      </c>
      <c r="E348" s="10">
        <v>2015</v>
      </c>
      <c r="F348" s="4" t="s">
        <v>2312</v>
      </c>
      <c r="G348" s="10" t="s">
        <v>2312</v>
      </c>
      <c r="H348" s="10" t="s">
        <v>17</v>
      </c>
      <c r="J348" s="10" t="s">
        <v>63</v>
      </c>
      <c r="K348" s="10" t="s">
        <v>2382</v>
      </c>
      <c r="L348" s="10">
        <v>3</v>
      </c>
      <c r="M348" s="10">
        <v>3</v>
      </c>
      <c r="O348" s="10">
        <v>11.71</v>
      </c>
      <c r="P348" s="37">
        <f t="shared" si="139"/>
        <v>1.143153532995459</v>
      </c>
      <c r="S348" s="36"/>
      <c r="V348">
        <v>11</v>
      </c>
      <c r="Y348" s="10">
        <v>11.41</v>
      </c>
      <c r="Z348">
        <f>0.53*SQRT(M348)</f>
        <v>0.91798692801150494</v>
      </c>
      <c r="AA348" s="3">
        <f>Y348*(1-0.75/5)</f>
        <v>9.6984999999999992</v>
      </c>
      <c r="AB348" s="3">
        <f>Z348*(1-0.75/5)</f>
        <v>0.7802888888097792</v>
      </c>
      <c r="AE348">
        <f t="shared" si="133"/>
        <v>0</v>
      </c>
      <c r="AF348">
        <f t="shared" si="134"/>
        <v>0</v>
      </c>
      <c r="AK348">
        <f t="shared" si="124"/>
        <v>500</v>
      </c>
      <c r="AO348" s="14">
        <f t="shared" si="138"/>
        <v>0.82822374039282654</v>
      </c>
      <c r="AP348" s="14"/>
      <c r="AR348" s="3">
        <f t="shared" si="128"/>
        <v>0.82822374039282654</v>
      </c>
      <c r="AS348" s="3"/>
      <c r="AT348" s="3"/>
      <c r="AU348" s="45">
        <f t="shared" si="132"/>
        <v>1.09773276501475E-2</v>
      </c>
      <c r="AV348" s="36"/>
      <c r="AX348" s="45">
        <f t="shared" si="129"/>
        <v>1.09773276501475E-2</v>
      </c>
      <c r="AY348" s="36">
        <f t="shared" si="130"/>
        <v>0.12650294572352344</v>
      </c>
      <c r="AZ348">
        <f t="shared" ref="AZ348:AZ351" si="140">12*AK348*0.0085+1.2*AK348*0.15+600*0.15</f>
        <v>231</v>
      </c>
      <c r="BA348" t="s">
        <v>1</v>
      </c>
      <c r="BC348" t="s">
        <v>2</v>
      </c>
      <c r="BD348" s="10" t="s">
        <v>2</v>
      </c>
      <c r="BE348" s="10" t="s">
        <v>3</v>
      </c>
    </row>
    <row r="349" spans="1:57" x14ac:dyDescent="0.3">
      <c r="A349" s="10" t="s">
        <v>2365</v>
      </c>
      <c r="B349" s="10" t="s">
        <v>81</v>
      </c>
      <c r="C349" s="10" t="s">
        <v>688</v>
      </c>
      <c r="D349" s="10" t="s">
        <v>2381</v>
      </c>
      <c r="E349" s="10">
        <v>2016</v>
      </c>
      <c r="F349" s="4" t="s">
        <v>2312</v>
      </c>
      <c r="G349" s="10" t="s">
        <v>2312</v>
      </c>
      <c r="H349" s="10" t="s">
        <v>17</v>
      </c>
      <c r="J349" s="10" t="s">
        <v>63</v>
      </c>
      <c r="K349" s="10" t="s">
        <v>2382</v>
      </c>
      <c r="L349" s="10">
        <v>3</v>
      </c>
      <c r="M349" s="10">
        <v>3</v>
      </c>
      <c r="O349" s="10">
        <v>11.71</v>
      </c>
      <c r="P349" s="37">
        <f t="shared" si="139"/>
        <v>1.143153532995459</v>
      </c>
      <c r="S349" s="36"/>
      <c r="V349">
        <v>12</v>
      </c>
      <c r="Y349" s="10">
        <v>11.26</v>
      </c>
      <c r="Z349">
        <f>0.47*SQRT(M349)</f>
        <v>0.81406387955737225</v>
      </c>
      <c r="AA349" s="3">
        <f>Y349*(1-1/5)</f>
        <v>9.0080000000000009</v>
      </c>
      <c r="AB349" s="3">
        <f>Z349*(1-1/5)</f>
        <v>0.65125110364589789</v>
      </c>
      <c r="AE349">
        <f t="shared" si="133"/>
        <v>0</v>
      </c>
      <c r="AF349">
        <f t="shared" si="134"/>
        <v>0</v>
      </c>
      <c r="AK349">
        <f t="shared" si="124"/>
        <v>500</v>
      </c>
      <c r="AO349" s="14">
        <f t="shared" si="138"/>
        <v>0.76925704526046113</v>
      </c>
      <c r="AP349" s="14"/>
      <c r="AR349" s="3">
        <f t="shared" si="128"/>
        <v>0.76925704526046113</v>
      </c>
      <c r="AS349" s="3"/>
      <c r="AT349" s="3"/>
      <c r="AU349" s="45">
        <f t="shared" si="132"/>
        <v>8.7324931629024719E-3</v>
      </c>
      <c r="AV349" s="36"/>
      <c r="AX349" s="45">
        <f t="shared" si="129"/>
        <v>8.7324931629024719E-3</v>
      </c>
      <c r="AY349" s="36">
        <f t="shared" si="130"/>
        <v>0.12147800323760553</v>
      </c>
      <c r="AZ349">
        <f t="shared" si="140"/>
        <v>231</v>
      </c>
      <c r="BA349" t="s">
        <v>1</v>
      </c>
      <c r="BC349" t="s">
        <v>2</v>
      </c>
      <c r="BD349" s="10" t="s">
        <v>2</v>
      </c>
      <c r="BE349" s="10" t="s">
        <v>3</v>
      </c>
    </row>
    <row r="350" spans="1:57" x14ac:dyDescent="0.3">
      <c r="A350" s="10" t="s">
        <v>2365</v>
      </c>
      <c r="B350" s="10" t="s">
        <v>81</v>
      </c>
      <c r="C350" s="10" t="s">
        <v>688</v>
      </c>
      <c r="D350" s="10" t="s">
        <v>2381</v>
      </c>
      <c r="E350" s="10">
        <v>2017</v>
      </c>
      <c r="F350" s="4" t="s">
        <v>2312</v>
      </c>
      <c r="G350" s="10" t="s">
        <v>2312</v>
      </c>
      <c r="H350" s="10" t="s">
        <v>17</v>
      </c>
      <c r="J350" s="10" t="s">
        <v>63</v>
      </c>
      <c r="K350" s="10" t="s">
        <v>2382</v>
      </c>
      <c r="L350" s="10">
        <v>3</v>
      </c>
      <c r="M350" s="10">
        <v>3</v>
      </c>
      <c r="O350" s="10">
        <v>11.71</v>
      </c>
      <c r="P350" s="37">
        <f t="shared" si="139"/>
        <v>1.143153532995459</v>
      </c>
      <c r="S350" s="36"/>
      <c r="V350">
        <v>13</v>
      </c>
      <c r="Y350" s="10">
        <v>11.14</v>
      </c>
      <c r="Z350">
        <f>0.32*SQRT(M350)</f>
        <v>0.55425625842204074</v>
      </c>
      <c r="AA350" s="3">
        <f>Y350*(1-1.25/5)</f>
        <v>8.3550000000000004</v>
      </c>
      <c r="AB350" s="3">
        <f>Z350*(1-1.25/5)</f>
        <v>0.41569219381653055</v>
      </c>
      <c r="AE350">
        <f t="shared" si="133"/>
        <v>0</v>
      </c>
      <c r="AF350">
        <f t="shared" si="134"/>
        <v>0</v>
      </c>
      <c r="AK350">
        <f t="shared" si="124"/>
        <v>500</v>
      </c>
      <c r="AO350" s="14">
        <f t="shared" si="138"/>
        <v>0.71349274124679762</v>
      </c>
      <c r="AP350" s="14"/>
      <c r="AR350" s="3">
        <f t="shared" si="128"/>
        <v>0.71349274124679762</v>
      </c>
      <c r="AS350" s="3"/>
      <c r="AT350" s="3"/>
      <c r="AU350" s="45">
        <f t="shared" si="132"/>
        <v>6.1116546852066928E-3</v>
      </c>
      <c r="AV350" s="36"/>
      <c r="AX350" s="45">
        <f t="shared" si="129"/>
        <v>6.1116546852066928E-3</v>
      </c>
      <c r="AY350" s="36">
        <f t="shared" si="130"/>
        <v>0.10956954165326839</v>
      </c>
      <c r="AZ350">
        <f t="shared" si="140"/>
        <v>231</v>
      </c>
      <c r="BA350" t="s">
        <v>1</v>
      </c>
      <c r="BC350" t="s">
        <v>2</v>
      </c>
      <c r="BD350" s="10" t="s">
        <v>2</v>
      </c>
      <c r="BE350" s="10" t="s">
        <v>3</v>
      </c>
    </row>
    <row r="351" spans="1:57" x14ac:dyDescent="0.3">
      <c r="A351" s="10" t="s">
        <v>2365</v>
      </c>
      <c r="B351" s="10" t="s">
        <v>81</v>
      </c>
      <c r="C351" s="10" t="s">
        <v>688</v>
      </c>
      <c r="D351" s="10" t="s">
        <v>2381</v>
      </c>
      <c r="E351" s="10">
        <v>2018</v>
      </c>
      <c r="F351" s="4" t="s">
        <v>2312</v>
      </c>
      <c r="G351" s="10" t="s">
        <v>2312</v>
      </c>
      <c r="H351" s="10" t="s">
        <v>17</v>
      </c>
      <c r="J351" s="10" t="s">
        <v>63</v>
      </c>
      <c r="K351" s="10" t="s">
        <v>2382</v>
      </c>
      <c r="L351" s="10">
        <v>3</v>
      </c>
      <c r="M351" s="10">
        <v>3</v>
      </c>
      <c r="O351" s="10">
        <v>11.71</v>
      </c>
      <c r="P351" s="37">
        <f t="shared" si="139"/>
        <v>1.143153532995459</v>
      </c>
      <c r="S351" s="36"/>
      <c r="V351">
        <v>14</v>
      </c>
      <c r="Y351" s="10">
        <v>10.94</v>
      </c>
      <c r="Z351">
        <f>0.29*SQRT(M351)</f>
        <v>0.50229473419497439</v>
      </c>
      <c r="AA351" s="3">
        <f>Y351*(1-1.5/5)</f>
        <v>7.6579999999999995</v>
      </c>
      <c r="AB351" s="3">
        <f>Z351*(1-1.5/5)</f>
        <v>0.35160631393648206</v>
      </c>
      <c r="AE351">
        <f t="shared" si="133"/>
        <v>0</v>
      </c>
      <c r="AF351">
        <f t="shared" si="134"/>
        <v>0</v>
      </c>
      <c r="AK351">
        <f t="shared" si="124"/>
        <v>500</v>
      </c>
      <c r="AO351" s="14">
        <f t="shared" si="138"/>
        <v>0.65397096498719032</v>
      </c>
      <c r="AP351" s="14"/>
      <c r="AR351" s="3">
        <f t="shared" si="128"/>
        <v>0.65397096498719032</v>
      </c>
      <c r="AS351" s="3"/>
      <c r="AT351" s="3"/>
      <c r="AU351" s="45">
        <f t="shared" si="132"/>
        <v>4.9773645954057279E-3</v>
      </c>
      <c r="AV351" s="36"/>
      <c r="AX351" s="45">
        <f t="shared" si="129"/>
        <v>4.9773645954057279E-3</v>
      </c>
      <c r="AY351" s="36">
        <f t="shared" si="130"/>
        <v>0.10788008009016685</v>
      </c>
      <c r="AZ351">
        <f t="shared" si="140"/>
        <v>231</v>
      </c>
      <c r="BA351" t="s">
        <v>1</v>
      </c>
      <c r="BC351" t="s">
        <v>2</v>
      </c>
      <c r="BD351" s="10" t="s">
        <v>2</v>
      </c>
      <c r="BE351" s="10" t="s">
        <v>3</v>
      </c>
    </row>
    <row r="352" spans="1:57" x14ac:dyDescent="0.3">
      <c r="A352" s="10" t="s">
        <v>2365</v>
      </c>
      <c r="B352" s="10" t="s">
        <v>81</v>
      </c>
      <c r="C352" s="10" t="s">
        <v>688</v>
      </c>
      <c r="D352" s="10" t="s">
        <v>2381</v>
      </c>
      <c r="E352" s="10">
        <v>2019</v>
      </c>
      <c r="F352" s="4" t="s">
        <v>2312</v>
      </c>
      <c r="G352" s="10" t="s">
        <v>2312</v>
      </c>
      <c r="H352" s="10" t="s">
        <v>17</v>
      </c>
      <c r="J352" s="10" t="s">
        <v>63</v>
      </c>
      <c r="K352" s="10" t="s">
        <v>2382</v>
      </c>
      <c r="L352" s="10">
        <v>3</v>
      </c>
      <c r="M352" s="10">
        <v>3</v>
      </c>
      <c r="O352" s="10">
        <v>11.71</v>
      </c>
      <c r="P352" s="37">
        <f t="shared" si="139"/>
        <v>1.143153532995459</v>
      </c>
      <c r="Q352">
        <v>2.71</v>
      </c>
      <c r="R352">
        <f>0.15*SQRT(L352)</f>
        <v>0.25980762113533157</v>
      </c>
      <c r="S352" s="36"/>
      <c r="V352">
        <v>15</v>
      </c>
      <c r="Y352" s="10">
        <v>10.41</v>
      </c>
      <c r="Z352">
        <f>0.12*SQRT(M352)</f>
        <v>0.20784609690826525</v>
      </c>
      <c r="AA352" s="3">
        <f>Y352*(1-2/5)</f>
        <v>6.2459999999999996</v>
      </c>
      <c r="AB352" s="3">
        <f>Z352*(1-2/5)</f>
        <v>0.12470765814495914</v>
      </c>
      <c r="AC352">
        <v>2.54</v>
      </c>
      <c r="AD352">
        <f>0.18*SQRT(M352)</f>
        <v>0.31176914536239786</v>
      </c>
      <c r="AE352">
        <f t="shared" si="133"/>
        <v>2.54</v>
      </c>
      <c r="AF352">
        <f t="shared" si="134"/>
        <v>0.31176914536239786</v>
      </c>
      <c r="AK352">
        <f t="shared" si="124"/>
        <v>500</v>
      </c>
      <c r="AO352" s="14">
        <f t="shared" si="138"/>
        <v>0.53339026473099904</v>
      </c>
      <c r="AP352" s="14">
        <f t="shared" ref="AP352:AP360" si="141">AE352/Q352</f>
        <v>0.93726937269372701</v>
      </c>
      <c r="AR352" s="3">
        <f t="shared" si="128"/>
        <v>1.4706596374247261</v>
      </c>
      <c r="AS352" s="3"/>
      <c r="AT352" s="3"/>
      <c r="AU352" s="45">
        <f t="shared" si="132"/>
        <v>2.8247650270770302E-3</v>
      </c>
      <c r="AV352" s="36">
        <f>(AF352^2)/(Q352^2)+(R352^2)*(AE352^2)/(Q352^4)</f>
        <v>2.1309212387740389E-2</v>
      </c>
      <c r="AX352" s="45">
        <f t="shared" si="129"/>
        <v>2.4133977414817421E-2</v>
      </c>
      <c r="AY352" s="36">
        <f t="shared" si="130"/>
        <v>0.10563364788805962</v>
      </c>
      <c r="AZ352">
        <f>30*AK352*0.0085+2*AK352*0.15+600*0.15</f>
        <v>367.5</v>
      </c>
      <c r="BA352" t="s">
        <v>1</v>
      </c>
      <c r="BC352" t="s">
        <v>2</v>
      </c>
      <c r="BD352" s="10" t="s">
        <v>2</v>
      </c>
      <c r="BE352" s="10" t="s">
        <v>3</v>
      </c>
    </row>
    <row r="353" spans="1:57" x14ac:dyDescent="0.3">
      <c r="A353" s="10" t="s">
        <v>2365</v>
      </c>
      <c r="B353" s="10" t="s">
        <v>81</v>
      </c>
      <c r="C353" s="10" t="s">
        <v>688</v>
      </c>
      <c r="D353" s="10" t="s">
        <v>2381</v>
      </c>
      <c r="E353" s="10">
        <v>2020</v>
      </c>
      <c r="F353" s="4" t="s">
        <v>2312</v>
      </c>
      <c r="G353" s="10" t="s">
        <v>2312</v>
      </c>
      <c r="H353" s="10" t="s">
        <v>17</v>
      </c>
      <c r="J353" s="10" t="s">
        <v>63</v>
      </c>
      <c r="K353" s="10" t="s">
        <v>2382</v>
      </c>
      <c r="L353" s="10">
        <v>3</v>
      </c>
      <c r="M353" s="10">
        <v>3</v>
      </c>
      <c r="O353" s="10">
        <v>11.71</v>
      </c>
      <c r="P353" s="37">
        <f t="shared" si="139"/>
        <v>1.143153532995459</v>
      </c>
      <c r="Q353">
        <v>3.88</v>
      </c>
      <c r="R353">
        <f>0.2*SQRT(L353)</f>
        <v>0.34641016151377546</v>
      </c>
      <c r="S353" s="36"/>
      <c r="V353">
        <v>16</v>
      </c>
      <c r="Y353" s="10">
        <v>9.24</v>
      </c>
      <c r="Z353">
        <f>0.07*SQRT(M353)</f>
        <v>0.12124355652982141</v>
      </c>
      <c r="AA353" s="3">
        <f>Y353*(1-2.25/5)</f>
        <v>5.0820000000000007</v>
      </c>
      <c r="AB353" s="3">
        <f>Z353*(1-2.25/5)</f>
        <v>6.6683956091401778E-2</v>
      </c>
      <c r="AC353">
        <v>3.64</v>
      </c>
      <c r="AD353">
        <f>0.21*SQRT(M353)</f>
        <v>0.36373066958946421</v>
      </c>
      <c r="AE353">
        <f t="shared" si="133"/>
        <v>3.64</v>
      </c>
      <c r="AF353">
        <f t="shared" si="134"/>
        <v>0.36373066958946421</v>
      </c>
      <c r="AK353">
        <f t="shared" si="124"/>
        <v>500</v>
      </c>
      <c r="AO353" s="14">
        <f t="shared" si="138"/>
        <v>0.43398804440649019</v>
      </c>
      <c r="AP353" s="14">
        <f t="shared" si="141"/>
        <v>0.93814432989690733</v>
      </c>
      <c r="AR353" s="3">
        <f t="shared" si="128"/>
        <v>1.3721323743033975</v>
      </c>
      <c r="AS353" s="3"/>
      <c r="AT353" s="3"/>
      <c r="AU353" s="45">
        <f t="shared" si="132"/>
        <v>1.8273725021960207E-3</v>
      </c>
      <c r="AV353" s="36">
        <f>(AF353^2)/(Q353^2)+(R353^2)*(AE353^2)/(Q353^4)</f>
        <v>1.5803603866386309E-2</v>
      </c>
      <c r="AX353" s="45">
        <f t="shared" si="129"/>
        <v>1.7630976368582331E-2</v>
      </c>
      <c r="AY353" s="36">
        <f t="shared" si="130"/>
        <v>9.6770318490183818E-2</v>
      </c>
      <c r="AZ353">
        <f t="shared" ref="AZ353:AZ354" si="142">30*AK353*0.0085+2*AK353*0.15+600*0.15</f>
        <v>367.5</v>
      </c>
      <c r="BA353" t="s">
        <v>1</v>
      </c>
      <c r="BC353" t="s">
        <v>2</v>
      </c>
      <c r="BD353" s="10" t="s">
        <v>2</v>
      </c>
      <c r="BE353" s="10" t="s">
        <v>3</v>
      </c>
    </row>
    <row r="354" spans="1:57" x14ac:dyDescent="0.3">
      <c r="A354" s="10" t="s">
        <v>2365</v>
      </c>
      <c r="B354" s="10" t="s">
        <v>81</v>
      </c>
      <c r="C354" s="10" t="s">
        <v>688</v>
      </c>
      <c r="D354" s="10" t="s">
        <v>2381</v>
      </c>
      <c r="E354" s="10">
        <v>2021</v>
      </c>
      <c r="F354" s="4" t="s">
        <v>2312</v>
      </c>
      <c r="G354" s="10" t="s">
        <v>2312</v>
      </c>
      <c r="H354" s="10" t="s">
        <v>17</v>
      </c>
      <c r="J354" s="10" t="s">
        <v>63</v>
      </c>
      <c r="K354" s="10" t="s">
        <v>2382</v>
      </c>
      <c r="L354" s="10">
        <v>3</v>
      </c>
      <c r="M354" s="10">
        <v>3</v>
      </c>
      <c r="O354" s="10">
        <v>11.71</v>
      </c>
      <c r="P354" s="37">
        <f t="shared" si="139"/>
        <v>1.143153532995459</v>
      </c>
      <c r="Q354">
        <v>8.2200000000000006</v>
      </c>
      <c r="R354">
        <f>0.37*SQRT(L354)</f>
        <v>0.64085879880048457</v>
      </c>
      <c r="S354" s="36"/>
      <c r="V354">
        <v>17</v>
      </c>
      <c r="Y354" s="10">
        <v>6.57</v>
      </c>
      <c r="Z354">
        <f>0.06*SQRT(M354)</f>
        <v>0.10392304845413262</v>
      </c>
      <c r="AA354" s="3">
        <f>Y354*(1-2.5/5)</f>
        <v>3.2850000000000001</v>
      </c>
      <c r="AB354" s="3">
        <f>Z354*(1-2.5/5)</f>
        <v>5.1961524227066312E-2</v>
      </c>
      <c r="AC354">
        <v>7.85</v>
      </c>
      <c r="AD354">
        <f>0.47*SQRT(M354)</f>
        <v>0.81406387955737225</v>
      </c>
      <c r="AE354">
        <f t="shared" si="133"/>
        <v>7.85</v>
      </c>
      <c r="AF354">
        <f t="shared" si="134"/>
        <v>0.81406387955737225</v>
      </c>
      <c r="AK354">
        <f t="shared" si="124"/>
        <v>500</v>
      </c>
      <c r="AO354" s="14">
        <f t="shared" si="138"/>
        <v>0.28052946199829204</v>
      </c>
      <c r="AP354" s="14">
        <f t="shared" si="141"/>
        <v>0.95498783454987823</v>
      </c>
      <c r="AR354" s="3">
        <f t="shared" si="128"/>
        <v>1.2355172965481702</v>
      </c>
      <c r="AS354" s="3"/>
      <c r="AT354" s="3"/>
      <c r="AU354" s="45">
        <f t="shared" si="132"/>
        <v>7.6967470241409101E-4</v>
      </c>
      <c r="AV354" s="36">
        <f>(AF354^2)/(Q354^2)+(R354^2)*(AE354^2)/(Q354^4)</f>
        <v>1.5351245915717782E-2</v>
      </c>
      <c r="AX354" s="45">
        <f t="shared" si="129"/>
        <v>1.6120920618131872E-2</v>
      </c>
      <c r="AY354" s="36">
        <f t="shared" si="130"/>
        <v>0.10276520432395968</v>
      </c>
      <c r="AZ354">
        <f t="shared" si="142"/>
        <v>367.5</v>
      </c>
      <c r="BA354" t="s">
        <v>1</v>
      </c>
      <c r="BC354" t="s">
        <v>2</v>
      </c>
      <c r="BD354" s="10" t="s">
        <v>2</v>
      </c>
      <c r="BE354" s="10" t="s">
        <v>3</v>
      </c>
    </row>
    <row r="355" spans="1:57" x14ac:dyDescent="0.3">
      <c r="A355" s="6" t="s">
        <v>2367</v>
      </c>
      <c r="B355" s="10" t="s">
        <v>81</v>
      </c>
      <c r="C355" s="10" t="s">
        <v>2385</v>
      </c>
      <c r="D355" s="10" t="s">
        <v>2384</v>
      </c>
      <c r="E355" s="10">
        <v>2014</v>
      </c>
      <c r="F355" s="4" t="s">
        <v>2312</v>
      </c>
      <c r="G355" s="10" t="s">
        <v>2312</v>
      </c>
      <c r="H355" s="10" t="s">
        <v>217</v>
      </c>
      <c r="I355" s="10" t="s">
        <v>2386</v>
      </c>
      <c r="J355" s="10" t="s">
        <v>2383</v>
      </c>
      <c r="K355" s="10" t="s">
        <v>516</v>
      </c>
      <c r="L355" s="10">
        <v>3</v>
      </c>
      <c r="M355" s="10">
        <v>3</v>
      </c>
      <c r="O355" s="10">
        <v>4753</v>
      </c>
      <c r="P355" s="37"/>
      <c r="Q355">
        <v>7129</v>
      </c>
      <c r="S355" s="36"/>
      <c r="V355">
        <v>5</v>
      </c>
      <c r="Y355" s="10">
        <v>3601</v>
      </c>
      <c r="AA355" s="5">
        <v>1891</v>
      </c>
      <c r="AB355" s="3"/>
      <c r="AC355">
        <v>5703</v>
      </c>
      <c r="AE355">
        <f t="shared" si="133"/>
        <v>5703</v>
      </c>
      <c r="AK355" s="5">
        <f>10000/(2*1.1)</f>
        <v>4545.454545454545</v>
      </c>
      <c r="AO355" s="14">
        <f t="shared" si="138"/>
        <v>0.39785398695560698</v>
      </c>
      <c r="AP355" s="14">
        <f t="shared" si="141"/>
        <v>0.79997194557441431</v>
      </c>
      <c r="AR355" s="3">
        <f t="shared" si="128"/>
        <v>1.1978259325300213</v>
      </c>
      <c r="AS355" s="3"/>
      <c r="AT355" s="3"/>
      <c r="AU355" s="45"/>
      <c r="AV355" s="36"/>
      <c r="AX355" s="45"/>
      <c r="AY355" s="36"/>
      <c r="AZ355">
        <v>450</v>
      </c>
      <c r="BA355" t="s">
        <v>14</v>
      </c>
      <c r="BC355" t="s">
        <v>3</v>
      </c>
      <c r="BD355" s="10" t="s">
        <v>2</v>
      </c>
      <c r="BE355" s="10" t="s">
        <v>3</v>
      </c>
    </row>
    <row r="356" spans="1:57" x14ac:dyDescent="0.3">
      <c r="A356" s="6" t="s">
        <v>2367</v>
      </c>
      <c r="B356" s="10" t="s">
        <v>81</v>
      </c>
      <c r="C356" s="10" t="s">
        <v>2385</v>
      </c>
      <c r="D356" s="10" t="s">
        <v>2384</v>
      </c>
      <c r="E356" s="10">
        <v>2014</v>
      </c>
      <c r="F356" s="4" t="s">
        <v>2312</v>
      </c>
      <c r="G356" s="10" t="s">
        <v>2312</v>
      </c>
      <c r="H356" s="10" t="s">
        <v>217</v>
      </c>
      <c r="I356" t="s">
        <v>2387</v>
      </c>
      <c r="J356" s="10" t="s">
        <v>2383</v>
      </c>
      <c r="K356" s="10" t="s">
        <v>516</v>
      </c>
      <c r="L356" s="10">
        <v>3</v>
      </c>
      <c r="M356" s="10">
        <v>3</v>
      </c>
      <c r="O356" s="10">
        <v>4753</v>
      </c>
      <c r="P356" s="37"/>
      <c r="Q356">
        <v>11081</v>
      </c>
      <c r="V356">
        <v>7</v>
      </c>
      <c r="Y356" s="10">
        <v>2922</v>
      </c>
      <c r="AA356" s="5">
        <v>2294</v>
      </c>
      <c r="AC356">
        <v>8868</v>
      </c>
      <c r="AE356">
        <f t="shared" si="133"/>
        <v>8868</v>
      </c>
      <c r="AK356" s="5">
        <f>10000/(6*1)</f>
        <v>1666.6666666666667</v>
      </c>
      <c r="AO356" s="14">
        <f t="shared" si="138"/>
        <v>0.48264254155270353</v>
      </c>
      <c r="AP356" s="14">
        <f t="shared" si="141"/>
        <v>0.80028878260084835</v>
      </c>
      <c r="AR356" s="3">
        <f t="shared" si="128"/>
        <v>1.2829313241535518</v>
      </c>
      <c r="AS356" s="3"/>
      <c r="AT356" s="3"/>
      <c r="AZ356">
        <v>450</v>
      </c>
      <c r="BA356" t="s">
        <v>14</v>
      </c>
      <c r="BC356" t="s">
        <v>3</v>
      </c>
      <c r="BD356" s="10" t="s">
        <v>2</v>
      </c>
      <c r="BE356" s="10" t="s">
        <v>3</v>
      </c>
    </row>
    <row r="357" spans="1:57" x14ac:dyDescent="0.3">
      <c r="A357" s="6" t="s">
        <v>2367</v>
      </c>
      <c r="B357" s="10" t="s">
        <v>81</v>
      </c>
      <c r="C357" s="10" t="s">
        <v>2385</v>
      </c>
      <c r="D357" s="10" t="s">
        <v>2384</v>
      </c>
      <c r="E357" s="10">
        <v>2014</v>
      </c>
      <c r="F357" s="4" t="s">
        <v>2312</v>
      </c>
      <c r="G357" s="10" t="s">
        <v>2312</v>
      </c>
      <c r="H357" s="10" t="s">
        <v>217</v>
      </c>
      <c r="I357" t="s">
        <v>2388</v>
      </c>
      <c r="J357" s="10" t="s">
        <v>2383</v>
      </c>
      <c r="K357" s="10" t="s">
        <v>516</v>
      </c>
      <c r="L357" s="10">
        <v>3</v>
      </c>
      <c r="M357" s="10">
        <v>3</v>
      </c>
      <c r="O357" s="10">
        <v>4753</v>
      </c>
      <c r="P357" s="37"/>
      <c r="Q357">
        <v>13698</v>
      </c>
      <c r="V357">
        <v>9</v>
      </c>
      <c r="Y357" s="10">
        <v>2168</v>
      </c>
      <c r="AA357" s="5">
        <v>1409</v>
      </c>
      <c r="AC357">
        <v>11689</v>
      </c>
      <c r="AE357">
        <f t="shared" si="133"/>
        <v>11689</v>
      </c>
      <c r="AK357" s="5">
        <f>10000/(3*2)</f>
        <v>1666.6666666666667</v>
      </c>
      <c r="AO357" s="14">
        <f t="shared" si="138"/>
        <v>0.29644435093625077</v>
      </c>
      <c r="AP357" s="14">
        <f t="shared" si="141"/>
        <v>0.85333625346765951</v>
      </c>
      <c r="AR357" s="3">
        <f t="shared" si="128"/>
        <v>1.1497806044039103</v>
      </c>
      <c r="AS357" s="3"/>
      <c r="AT357" s="3"/>
      <c r="AZ357">
        <v>450</v>
      </c>
      <c r="BA357" t="s">
        <v>14</v>
      </c>
      <c r="BC357" t="s">
        <v>3</v>
      </c>
      <c r="BD357" s="10" t="s">
        <v>2</v>
      </c>
      <c r="BE357" s="10" t="s">
        <v>3</v>
      </c>
    </row>
    <row r="358" spans="1:57" x14ac:dyDescent="0.3">
      <c r="A358" s="6" t="s">
        <v>2366</v>
      </c>
      <c r="B358" s="10" t="s">
        <v>81</v>
      </c>
      <c r="C358" s="10" t="s">
        <v>2385</v>
      </c>
      <c r="D358" s="10" t="s">
        <v>2384</v>
      </c>
      <c r="E358" s="10">
        <v>2015</v>
      </c>
      <c r="F358" s="4" t="s">
        <v>2312</v>
      </c>
      <c r="G358" s="10" t="s">
        <v>2312</v>
      </c>
      <c r="H358" s="10" t="s">
        <v>217</v>
      </c>
      <c r="I358" t="s">
        <v>2389</v>
      </c>
      <c r="J358" s="10" t="s">
        <v>2383</v>
      </c>
      <c r="K358" s="10" t="s">
        <v>516</v>
      </c>
      <c r="L358" s="10">
        <v>3</v>
      </c>
      <c r="M358" s="10">
        <v>3</v>
      </c>
      <c r="O358" s="10">
        <v>4676</v>
      </c>
      <c r="Q358">
        <v>8968</v>
      </c>
      <c r="V358">
        <v>6</v>
      </c>
      <c r="Y358" s="10">
        <v>3215</v>
      </c>
      <c r="AA358" s="5">
        <v>1703</v>
      </c>
      <c r="AC358">
        <v>7170</v>
      </c>
      <c r="AE358">
        <f t="shared" si="133"/>
        <v>7170</v>
      </c>
      <c r="AK358" s="5">
        <f>10000/(2*1.1)</f>
        <v>4545.454545454545</v>
      </c>
      <c r="AO358" s="14">
        <f t="shared" si="138"/>
        <v>0.36420017108639863</v>
      </c>
      <c r="AP358" s="14">
        <f t="shared" si="141"/>
        <v>0.79950936663693128</v>
      </c>
      <c r="AR358" s="3">
        <f t="shared" si="128"/>
        <v>1.16370953772333</v>
      </c>
      <c r="AS358" s="3"/>
      <c r="AT358" s="3"/>
      <c r="AZ358">
        <v>450</v>
      </c>
      <c r="BA358" t="s">
        <v>14</v>
      </c>
      <c r="BC358" t="s">
        <v>3</v>
      </c>
      <c r="BD358" s="10" t="s">
        <v>2</v>
      </c>
      <c r="BE358" s="10" t="s">
        <v>3</v>
      </c>
    </row>
    <row r="359" spans="1:57" x14ac:dyDescent="0.3">
      <c r="A359" s="6" t="s">
        <v>2366</v>
      </c>
      <c r="B359" s="10" t="s">
        <v>81</v>
      </c>
      <c r="C359" s="10" t="s">
        <v>2385</v>
      </c>
      <c r="D359" s="10" t="s">
        <v>2384</v>
      </c>
      <c r="E359" s="10">
        <v>2015</v>
      </c>
      <c r="F359" s="4" t="s">
        <v>2312</v>
      </c>
      <c r="G359" s="10" t="s">
        <v>2312</v>
      </c>
      <c r="H359" s="10" t="s">
        <v>217</v>
      </c>
      <c r="I359" t="s">
        <v>2390</v>
      </c>
      <c r="J359" s="10" t="s">
        <v>2383</v>
      </c>
      <c r="K359" s="10" t="s">
        <v>516</v>
      </c>
      <c r="L359" s="10">
        <v>3</v>
      </c>
      <c r="M359" s="10">
        <v>3</v>
      </c>
      <c r="O359" s="10">
        <v>4676</v>
      </c>
      <c r="Q359">
        <v>12564</v>
      </c>
      <c r="V359">
        <v>8</v>
      </c>
      <c r="Y359" s="10">
        <v>2639</v>
      </c>
      <c r="AA359" s="5">
        <v>2058</v>
      </c>
      <c r="AC359">
        <v>10851</v>
      </c>
      <c r="AE359">
        <f t="shared" si="133"/>
        <v>10851</v>
      </c>
      <c r="AK359" s="5">
        <f>10000/(6*1)</f>
        <v>1666.6666666666667</v>
      </c>
      <c r="AO359" s="14">
        <f t="shared" si="138"/>
        <v>0.44011976047904194</v>
      </c>
      <c r="AP359" s="14">
        <f t="shared" si="141"/>
        <v>0.86365807067812794</v>
      </c>
      <c r="AR359" s="3">
        <f t="shared" si="128"/>
        <v>1.3037778311571699</v>
      </c>
      <c r="AS359" s="3"/>
      <c r="AT359" s="3"/>
      <c r="AZ359">
        <v>450</v>
      </c>
      <c r="BA359" t="s">
        <v>14</v>
      </c>
      <c r="BC359" t="s">
        <v>3</v>
      </c>
      <c r="BD359" s="10" t="s">
        <v>2</v>
      </c>
      <c r="BE359" s="10" t="s">
        <v>3</v>
      </c>
    </row>
    <row r="360" spans="1:57" x14ac:dyDescent="0.3">
      <c r="A360" s="6" t="s">
        <v>2366</v>
      </c>
      <c r="B360" s="10" t="s">
        <v>81</v>
      </c>
      <c r="C360" s="10" t="s">
        <v>2385</v>
      </c>
      <c r="D360" s="10" t="s">
        <v>2384</v>
      </c>
      <c r="E360" s="10">
        <v>2015</v>
      </c>
      <c r="F360" s="4" t="s">
        <v>2312</v>
      </c>
      <c r="G360" s="10" t="s">
        <v>2312</v>
      </c>
      <c r="H360" s="10" t="s">
        <v>217</v>
      </c>
      <c r="I360" t="s">
        <v>2391</v>
      </c>
      <c r="J360" s="10" t="s">
        <v>2383</v>
      </c>
      <c r="K360" s="10" t="s">
        <v>516</v>
      </c>
      <c r="L360" s="10">
        <v>3</v>
      </c>
      <c r="M360" s="10">
        <v>3</v>
      </c>
      <c r="O360" s="10">
        <v>4676</v>
      </c>
      <c r="Q360">
        <v>14193</v>
      </c>
      <c r="V360">
        <v>10</v>
      </c>
      <c r="Y360" s="10">
        <v>1963</v>
      </c>
      <c r="AA360" s="5">
        <v>1276</v>
      </c>
      <c r="AC360">
        <v>12126</v>
      </c>
      <c r="AE360">
        <f t="shared" si="133"/>
        <v>12126</v>
      </c>
      <c r="AK360" s="5">
        <f>10000/(3*2)</f>
        <v>1666.6666666666667</v>
      </c>
      <c r="AO360" s="14">
        <f t="shared" si="138"/>
        <v>0.27288280581693758</v>
      </c>
      <c r="AP360" s="14">
        <f t="shared" si="141"/>
        <v>0.85436482773198053</v>
      </c>
      <c r="AR360" s="3">
        <f t="shared" si="128"/>
        <v>1.1272476335489181</v>
      </c>
      <c r="AS360" s="3"/>
      <c r="AT360" s="3"/>
      <c r="AZ360">
        <v>450</v>
      </c>
      <c r="BA360" t="s">
        <v>14</v>
      </c>
      <c r="BC360" t="s">
        <v>3</v>
      </c>
      <c r="BD360" s="10" t="s">
        <v>2</v>
      </c>
      <c r="BE360" s="10" t="s">
        <v>3</v>
      </c>
    </row>
    <row r="377" spans="1:1" x14ac:dyDescent="0.3">
      <c r="A377" s="6"/>
    </row>
  </sheetData>
  <phoneticPr fontId="2" type="noConversion"/>
  <pageMargins left="0.7" right="0.7" top="0.75" bottom="0.75" header="0.3" footer="0.3"/>
  <pageSetup paperSize="9" orientation="portrait" r:id="rId1"/>
  <ignoredErrors>
    <ignoredError sqref="AK204"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6B87-4E7E-40CC-B3AB-8F98A7DDD415}">
  <dimension ref="A1:AN84"/>
  <sheetViews>
    <sheetView zoomScaleNormal="100" workbookViewId="0">
      <pane ySplit="1" topLeftCell="A66" activePane="bottomLeft" state="frozen"/>
      <selection pane="bottomLeft" activeCell="C86" sqref="C86"/>
    </sheetView>
  </sheetViews>
  <sheetFormatPr defaultRowHeight="14.4" x14ac:dyDescent="0.3"/>
  <cols>
    <col min="11" max="11" width="20.88671875" bestFit="1" customWidth="1"/>
    <col min="22" max="22" width="9.5546875" bestFit="1" customWidth="1"/>
    <col min="39" max="39" width="169.88671875" bestFit="1" customWidth="1"/>
  </cols>
  <sheetData>
    <row r="1" spans="1:40" x14ac:dyDescent="0.3">
      <c r="A1" s="77" t="s">
        <v>9</v>
      </c>
      <c r="B1" s="77" t="s">
        <v>26</v>
      </c>
      <c r="C1" s="77" t="s">
        <v>25</v>
      </c>
      <c r="D1" s="77" t="s">
        <v>27</v>
      </c>
      <c r="E1" s="77" t="s">
        <v>832</v>
      </c>
      <c r="F1" s="77" t="s">
        <v>2659</v>
      </c>
      <c r="G1" s="77" t="s">
        <v>15</v>
      </c>
      <c r="H1" s="77" t="s">
        <v>16</v>
      </c>
      <c r="I1" s="77" t="s">
        <v>2629</v>
      </c>
      <c r="J1" s="77" t="s">
        <v>10</v>
      </c>
      <c r="K1" s="77" t="s">
        <v>48</v>
      </c>
      <c r="L1" s="77" t="s">
        <v>1671</v>
      </c>
      <c r="M1" s="77" t="s">
        <v>1672</v>
      </c>
      <c r="N1" s="77" t="s">
        <v>2672</v>
      </c>
      <c r="O1" s="77" t="s">
        <v>737</v>
      </c>
      <c r="P1" s="77" t="s">
        <v>2673</v>
      </c>
      <c r="Q1" s="77" t="s">
        <v>2559</v>
      </c>
      <c r="R1" s="77" t="s">
        <v>2689</v>
      </c>
      <c r="S1" s="77" t="s">
        <v>2700</v>
      </c>
      <c r="T1" s="77" t="s">
        <v>2691</v>
      </c>
      <c r="U1" s="77" t="s">
        <v>2704</v>
      </c>
      <c r="V1" s="77" t="s">
        <v>2762</v>
      </c>
      <c r="W1" s="77" t="s">
        <v>951</v>
      </c>
      <c r="X1" s="77" t="s">
        <v>2782</v>
      </c>
      <c r="Y1" s="77" t="s">
        <v>2781</v>
      </c>
      <c r="Z1" s="77" t="s">
        <v>19</v>
      </c>
      <c r="AA1" s="77" t="s">
        <v>20</v>
      </c>
      <c r="AB1" s="77" t="s">
        <v>2787</v>
      </c>
      <c r="AC1" s="77" t="s">
        <v>21</v>
      </c>
      <c r="AD1" s="77" t="s">
        <v>1999</v>
      </c>
      <c r="AE1" s="77" t="s">
        <v>2002</v>
      </c>
      <c r="AF1" s="77" t="s">
        <v>2004</v>
      </c>
      <c r="AG1" s="77" t="s">
        <v>2033</v>
      </c>
      <c r="AH1" s="77" t="s">
        <v>2032</v>
      </c>
      <c r="AI1" s="77" t="s">
        <v>2034</v>
      </c>
      <c r="AJ1" s="77" t="s">
        <v>12</v>
      </c>
      <c r="AK1" s="77" t="s">
        <v>1991</v>
      </c>
      <c r="AL1" s="77" t="s">
        <v>2414</v>
      </c>
      <c r="AM1" s="77" t="s">
        <v>2392</v>
      </c>
    </row>
    <row r="2" spans="1:40" s="10" customFormat="1" ht="28.8" x14ac:dyDescent="0.3">
      <c r="A2" s="10" t="s">
        <v>354</v>
      </c>
      <c r="B2" s="10" t="s">
        <v>355</v>
      </c>
      <c r="C2" s="10" t="s">
        <v>357</v>
      </c>
      <c r="D2" s="10" t="s">
        <v>356</v>
      </c>
      <c r="F2" s="10" t="s">
        <v>2664</v>
      </c>
      <c r="G2" s="10" t="s">
        <v>371</v>
      </c>
      <c r="H2" s="10" t="s">
        <v>368</v>
      </c>
      <c r="J2" s="38" t="s">
        <v>358</v>
      </c>
      <c r="K2" s="38" t="s">
        <v>359</v>
      </c>
      <c r="L2" s="10">
        <v>4</v>
      </c>
      <c r="M2" s="10">
        <v>4</v>
      </c>
      <c r="N2" s="10">
        <f t="shared" ref="N2:N10" si="0">(284+503+439+978)/4</f>
        <v>551</v>
      </c>
      <c r="P2" s="10">
        <v>5.67</v>
      </c>
      <c r="R2" s="10">
        <f>(388+524+426+889)/4</f>
        <v>556.75</v>
      </c>
      <c r="T2" s="10">
        <v>5.53</v>
      </c>
      <c r="V2" s="10">
        <v>13.7</v>
      </c>
      <c r="W2" s="10" t="s">
        <v>2330</v>
      </c>
      <c r="X2" s="10">
        <v>312</v>
      </c>
      <c r="Y2" s="10">
        <v>8.9</v>
      </c>
      <c r="Z2" s="14">
        <f t="shared" ref="Z2:Z33" si="1">R2/N2</f>
        <v>1.0104355716878404</v>
      </c>
      <c r="AA2" s="14">
        <f t="shared" ref="AA2:AA10" si="2">T2/P2</f>
        <v>0.97530864197530864</v>
      </c>
      <c r="AB2" s="14"/>
      <c r="AC2" s="14">
        <f>Z2+AA2+AB2</f>
        <v>1.9857442136631489</v>
      </c>
      <c r="AD2" s="14"/>
      <c r="AE2" s="14"/>
      <c r="AF2" s="14"/>
      <c r="AH2" s="10" t="s">
        <v>1</v>
      </c>
      <c r="AI2" s="10" t="s">
        <v>3</v>
      </c>
      <c r="AL2" s="10" t="s">
        <v>2</v>
      </c>
      <c r="AM2" s="10" t="s">
        <v>370</v>
      </c>
    </row>
    <row r="3" spans="1:40" s="10" customFormat="1" ht="28.8" x14ac:dyDescent="0.3">
      <c r="A3" s="10" t="s">
        <v>354</v>
      </c>
      <c r="B3" s="10" t="s">
        <v>355</v>
      </c>
      <c r="C3" s="10" t="s">
        <v>357</v>
      </c>
      <c r="D3" s="10" t="s">
        <v>356</v>
      </c>
      <c r="F3" s="10" t="s">
        <v>2664</v>
      </c>
      <c r="G3" s="10" t="s">
        <v>371</v>
      </c>
      <c r="H3" s="10" t="s">
        <v>368</v>
      </c>
      <c r="J3" s="38" t="s">
        <v>358</v>
      </c>
      <c r="K3" s="38" t="s">
        <v>360</v>
      </c>
      <c r="L3" s="10">
        <v>4</v>
      </c>
      <c r="M3" s="10">
        <v>4</v>
      </c>
      <c r="N3" s="10">
        <f t="shared" si="0"/>
        <v>551</v>
      </c>
      <c r="P3" s="10">
        <v>5.67</v>
      </c>
      <c r="R3" s="10">
        <f>(359+498+569+972)/4</f>
        <v>599.5</v>
      </c>
      <c r="T3" s="10">
        <v>5.0599999999999996</v>
      </c>
      <c r="V3" s="10">
        <v>6.7</v>
      </c>
      <c r="W3" s="10" t="s">
        <v>2330</v>
      </c>
      <c r="X3" s="10">
        <v>312</v>
      </c>
      <c r="Y3" s="10">
        <v>6.9</v>
      </c>
      <c r="Z3" s="14">
        <f t="shared" si="1"/>
        <v>1.088021778584392</v>
      </c>
      <c r="AA3" s="14">
        <f t="shared" si="2"/>
        <v>0.89241622574955903</v>
      </c>
      <c r="AB3" s="14"/>
      <c r="AC3" s="14">
        <f t="shared" ref="AC3:AC65" si="3">Z3+AA3+AB3</f>
        <v>1.9804380043339509</v>
      </c>
      <c r="AD3" s="14"/>
      <c r="AE3" s="14"/>
      <c r="AF3" s="14"/>
      <c r="AH3" s="10" t="s">
        <v>1</v>
      </c>
      <c r="AI3" s="10" t="s">
        <v>3</v>
      </c>
      <c r="AK3" s="10" t="s">
        <v>2</v>
      </c>
      <c r="AL3" s="10" t="s">
        <v>2</v>
      </c>
      <c r="AM3" s="10" t="s">
        <v>370</v>
      </c>
    </row>
    <row r="4" spans="1:40" s="10" customFormat="1" ht="28.8" x14ac:dyDescent="0.3">
      <c r="A4" s="10" t="s">
        <v>354</v>
      </c>
      <c r="B4" s="10" t="s">
        <v>355</v>
      </c>
      <c r="C4" s="10" t="s">
        <v>357</v>
      </c>
      <c r="D4" s="10" t="s">
        <v>356</v>
      </c>
      <c r="F4" s="10" t="s">
        <v>2664</v>
      </c>
      <c r="G4" s="10" t="s">
        <v>371</v>
      </c>
      <c r="H4" s="10" t="s">
        <v>368</v>
      </c>
      <c r="J4" s="38" t="s">
        <v>358</v>
      </c>
      <c r="K4" s="38" t="s">
        <v>361</v>
      </c>
      <c r="L4" s="10">
        <v>4</v>
      </c>
      <c r="M4" s="10">
        <v>4</v>
      </c>
      <c r="N4" s="10">
        <f t="shared" si="0"/>
        <v>551</v>
      </c>
      <c r="P4" s="10">
        <v>5.67</v>
      </c>
      <c r="R4" s="10">
        <f>(364+484+656+858)/4</f>
        <v>590.5</v>
      </c>
      <c r="T4" s="10">
        <v>4.74</v>
      </c>
      <c r="V4" s="10">
        <v>6</v>
      </c>
      <c r="W4" s="10" t="s">
        <v>2330</v>
      </c>
      <c r="X4" s="10">
        <v>312</v>
      </c>
      <c r="Y4" s="10">
        <v>6.8</v>
      </c>
      <c r="Z4" s="14">
        <f t="shared" si="1"/>
        <v>1.0716878402903811</v>
      </c>
      <c r="AA4" s="14">
        <f t="shared" si="2"/>
        <v>0.83597883597883604</v>
      </c>
      <c r="AB4" s="14"/>
      <c r="AC4" s="14">
        <f t="shared" si="3"/>
        <v>1.9076666762692172</v>
      </c>
      <c r="AD4" s="14"/>
      <c r="AE4" s="14"/>
      <c r="AF4" s="14"/>
      <c r="AH4" s="10" t="s">
        <v>1</v>
      </c>
      <c r="AI4" s="10" t="s">
        <v>3</v>
      </c>
      <c r="AK4" s="10" t="s">
        <v>2</v>
      </c>
      <c r="AL4" s="10" t="s">
        <v>2</v>
      </c>
      <c r="AM4" s="10" t="s">
        <v>370</v>
      </c>
    </row>
    <row r="5" spans="1:40" s="10" customFormat="1" ht="28.8" x14ac:dyDescent="0.3">
      <c r="A5" s="10" t="s">
        <v>354</v>
      </c>
      <c r="B5" s="10" t="s">
        <v>355</v>
      </c>
      <c r="C5" s="10" t="s">
        <v>357</v>
      </c>
      <c r="D5" s="10" t="s">
        <v>356</v>
      </c>
      <c r="F5" s="10" t="s">
        <v>2664</v>
      </c>
      <c r="G5" s="10" t="s">
        <v>371</v>
      </c>
      <c r="H5" s="10" t="s">
        <v>368</v>
      </c>
      <c r="J5" s="38" t="s">
        <v>358</v>
      </c>
      <c r="K5" s="38" t="s">
        <v>362</v>
      </c>
      <c r="L5" s="10">
        <v>4</v>
      </c>
      <c r="M5" s="10">
        <v>4</v>
      </c>
      <c r="N5" s="10">
        <f t="shared" si="0"/>
        <v>551</v>
      </c>
      <c r="P5" s="10">
        <v>5.67</v>
      </c>
      <c r="R5" s="10">
        <f>(324+475+520+933)/4</f>
        <v>563</v>
      </c>
      <c r="T5" s="10">
        <v>5.71</v>
      </c>
      <c r="V5" s="10">
        <v>2.4</v>
      </c>
      <c r="W5" s="10" t="s">
        <v>2330</v>
      </c>
      <c r="X5" s="10">
        <v>312</v>
      </c>
      <c r="Y5" s="10">
        <v>5.4</v>
      </c>
      <c r="Z5" s="14">
        <f t="shared" si="1"/>
        <v>1.0217785843920144</v>
      </c>
      <c r="AA5" s="14">
        <f t="shared" si="2"/>
        <v>1.0070546737213404</v>
      </c>
      <c r="AB5" s="14"/>
      <c r="AC5" s="14">
        <f t="shared" si="3"/>
        <v>2.0288332581133548</v>
      </c>
      <c r="AD5" s="14"/>
      <c r="AE5" s="14"/>
      <c r="AF5" s="14"/>
      <c r="AH5" s="10" t="s">
        <v>1</v>
      </c>
      <c r="AI5" s="10" t="s">
        <v>3</v>
      </c>
      <c r="AK5" s="10" t="s">
        <v>2</v>
      </c>
      <c r="AL5" s="10" t="s">
        <v>2</v>
      </c>
      <c r="AM5" s="10" t="s">
        <v>370</v>
      </c>
    </row>
    <row r="6" spans="1:40" s="10" customFormat="1" ht="28.8" x14ac:dyDescent="0.3">
      <c r="A6" s="10" t="s">
        <v>354</v>
      </c>
      <c r="B6" s="10" t="s">
        <v>355</v>
      </c>
      <c r="C6" s="10" t="s">
        <v>357</v>
      </c>
      <c r="D6" s="10" t="s">
        <v>356</v>
      </c>
      <c r="F6" s="10" t="s">
        <v>2664</v>
      </c>
      <c r="G6" s="10" t="s">
        <v>371</v>
      </c>
      <c r="H6" s="10" t="s">
        <v>368</v>
      </c>
      <c r="J6" s="38" t="s">
        <v>358</v>
      </c>
      <c r="K6" s="38" t="s">
        <v>363</v>
      </c>
      <c r="L6" s="10">
        <v>4</v>
      </c>
      <c r="M6" s="10">
        <v>4</v>
      </c>
      <c r="N6" s="10">
        <f t="shared" si="0"/>
        <v>551</v>
      </c>
      <c r="P6" s="10">
        <v>5.67</v>
      </c>
      <c r="R6" s="10">
        <f>(312+478+731+820)/4</f>
        <v>585.25</v>
      </c>
      <c r="T6" s="10">
        <v>5.68</v>
      </c>
      <c r="V6" s="10">
        <v>2.7</v>
      </c>
      <c r="W6" s="10" t="s">
        <v>2330</v>
      </c>
      <c r="X6" s="10">
        <v>312</v>
      </c>
      <c r="Y6" s="10">
        <v>5.7</v>
      </c>
      <c r="Z6" s="14">
        <f t="shared" si="1"/>
        <v>1.0621597096188748</v>
      </c>
      <c r="AA6" s="14">
        <f t="shared" si="2"/>
        <v>1.001763668430335</v>
      </c>
      <c r="AB6" s="14"/>
      <c r="AC6" s="14">
        <f t="shared" si="3"/>
        <v>2.0639233780492097</v>
      </c>
      <c r="AD6" s="14"/>
      <c r="AE6" s="14"/>
      <c r="AF6" s="14"/>
      <c r="AH6" s="10" t="s">
        <v>1</v>
      </c>
      <c r="AI6" s="10" t="s">
        <v>3</v>
      </c>
      <c r="AK6" s="10" t="s">
        <v>2</v>
      </c>
      <c r="AL6" s="10" t="s">
        <v>2</v>
      </c>
      <c r="AM6" s="10" t="s">
        <v>370</v>
      </c>
    </row>
    <row r="7" spans="1:40" s="10" customFormat="1" ht="28.8" x14ac:dyDescent="0.3">
      <c r="A7" s="10" t="s">
        <v>354</v>
      </c>
      <c r="B7" s="10" t="s">
        <v>355</v>
      </c>
      <c r="C7" s="10" t="s">
        <v>357</v>
      </c>
      <c r="D7" s="10" t="s">
        <v>356</v>
      </c>
      <c r="F7" s="10" t="s">
        <v>2664</v>
      </c>
      <c r="G7" s="10" t="s">
        <v>371</v>
      </c>
      <c r="H7" s="10" t="s">
        <v>368</v>
      </c>
      <c r="J7" s="38" t="s">
        <v>358</v>
      </c>
      <c r="K7" s="38" t="s">
        <v>364</v>
      </c>
      <c r="L7" s="10">
        <v>4</v>
      </c>
      <c r="M7" s="10">
        <v>4</v>
      </c>
      <c r="N7" s="10">
        <f t="shared" si="0"/>
        <v>551</v>
      </c>
      <c r="P7" s="10">
        <v>5.67</v>
      </c>
      <c r="R7" s="10">
        <f>(318+290+535+692)/4</f>
        <v>458.75</v>
      </c>
      <c r="T7" s="10">
        <v>5.41</v>
      </c>
      <c r="V7" s="10">
        <v>18.100000000000001</v>
      </c>
      <c r="W7" s="10" t="s">
        <v>2330</v>
      </c>
      <c r="X7" s="10">
        <v>312</v>
      </c>
      <c r="Y7" s="10">
        <v>10.1</v>
      </c>
      <c r="Z7" s="14">
        <f t="shared" si="1"/>
        <v>0.83257713248638843</v>
      </c>
      <c r="AA7" s="14">
        <f t="shared" si="2"/>
        <v>0.95414462081128748</v>
      </c>
      <c r="AB7" s="14"/>
      <c r="AC7" s="14">
        <f t="shared" si="3"/>
        <v>1.7867217532976758</v>
      </c>
      <c r="AD7" s="14"/>
      <c r="AE7" s="14"/>
      <c r="AF7" s="14"/>
      <c r="AH7" s="10" t="s">
        <v>1</v>
      </c>
      <c r="AI7" s="10" t="s">
        <v>3</v>
      </c>
      <c r="AK7" s="10" t="s">
        <v>2</v>
      </c>
      <c r="AL7" s="10" t="s">
        <v>2</v>
      </c>
      <c r="AM7" s="10" t="s">
        <v>370</v>
      </c>
    </row>
    <row r="8" spans="1:40" s="10" customFormat="1" ht="28.8" x14ac:dyDescent="0.3">
      <c r="A8" s="10" t="s">
        <v>354</v>
      </c>
      <c r="B8" s="10" t="s">
        <v>355</v>
      </c>
      <c r="C8" s="10" t="s">
        <v>357</v>
      </c>
      <c r="D8" s="10" t="s">
        <v>356</v>
      </c>
      <c r="F8" s="10" t="s">
        <v>2664</v>
      </c>
      <c r="G8" s="10" t="s">
        <v>371</v>
      </c>
      <c r="H8" s="10" t="s">
        <v>368</v>
      </c>
      <c r="J8" s="38" t="s">
        <v>358</v>
      </c>
      <c r="K8" s="38" t="s">
        <v>365</v>
      </c>
      <c r="L8" s="10">
        <v>4</v>
      </c>
      <c r="M8" s="10">
        <v>4</v>
      </c>
      <c r="N8" s="10">
        <f t="shared" si="0"/>
        <v>551</v>
      </c>
      <c r="P8" s="10">
        <v>5.67</v>
      </c>
      <c r="R8" s="10">
        <f>(396+558+566+647)/4</f>
        <v>541.75</v>
      </c>
      <c r="T8" s="10">
        <v>4.54</v>
      </c>
      <c r="V8" s="10">
        <v>12.8</v>
      </c>
      <c r="W8" s="10" t="s">
        <v>2330</v>
      </c>
      <c r="X8" s="10">
        <v>312</v>
      </c>
      <c r="Y8" s="10">
        <v>9.6999999999999993</v>
      </c>
      <c r="Z8" s="14">
        <f t="shared" si="1"/>
        <v>0.98321234119782219</v>
      </c>
      <c r="AA8" s="14">
        <f t="shared" si="2"/>
        <v>0.80070546737213411</v>
      </c>
      <c r="AB8" s="14"/>
      <c r="AC8" s="14">
        <f t="shared" si="3"/>
        <v>1.7839178085699563</v>
      </c>
      <c r="AD8" s="14"/>
      <c r="AE8" s="14"/>
      <c r="AF8" s="14"/>
      <c r="AH8" s="10" t="s">
        <v>1</v>
      </c>
      <c r="AI8" s="10" t="s">
        <v>3</v>
      </c>
      <c r="AK8" s="10" t="s">
        <v>2</v>
      </c>
      <c r="AL8" s="10" t="s">
        <v>2</v>
      </c>
      <c r="AM8" s="10" t="s">
        <v>370</v>
      </c>
    </row>
    <row r="9" spans="1:40" s="10" customFormat="1" ht="28.8" x14ac:dyDescent="0.3">
      <c r="A9" s="10" t="s">
        <v>354</v>
      </c>
      <c r="B9" s="10" t="s">
        <v>355</v>
      </c>
      <c r="C9" s="10" t="s">
        <v>357</v>
      </c>
      <c r="D9" s="10" t="s">
        <v>356</v>
      </c>
      <c r="F9" s="10" t="s">
        <v>2664</v>
      </c>
      <c r="G9" s="10" t="s">
        <v>371</v>
      </c>
      <c r="H9" s="10" t="s">
        <v>368</v>
      </c>
      <c r="J9" s="38" t="s">
        <v>358</v>
      </c>
      <c r="K9" s="38" t="s">
        <v>366</v>
      </c>
      <c r="L9" s="10">
        <v>4</v>
      </c>
      <c r="M9" s="10">
        <v>4</v>
      </c>
      <c r="N9" s="10">
        <f t="shared" si="0"/>
        <v>551</v>
      </c>
      <c r="P9" s="10">
        <v>5.67</v>
      </c>
      <c r="R9" s="10">
        <f>(357+329+553+910)/4</f>
        <v>537.25</v>
      </c>
      <c r="T9" s="10">
        <v>4.8099999999999996</v>
      </c>
      <c r="V9" s="10">
        <v>0.8</v>
      </c>
      <c r="W9" s="10" t="s">
        <v>2330</v>
      </c>
      <c r="X9" s="10">
        <v>312</v>
      </c>
      <c r="Y9" s="10">
        <v>3.1</v>
      </c>
      <c r="Z9" s="14">
        <f t="shared" si="1"/>
        <v>0.97504537205081665</v>
      </c>
      <c r="AA9" s="14">
        <f t="shared" si="2"/>
        <v>0.84832451499118156</v>
      </c>
      <c r="AB9" s="14"/>
      <c r="AC9" s="14">
        <f t="shared" si="3"/>
        <v>1.8233698870419981</v>
      </c>
      <c r="AD9" s="14"/>
      <c r="AE9" s="14"/>
      <c r="AF9" s="14"/>
      <c r="AH9" s="10" t="s">
        <v>1</v>
      </c>
      <c r="AI9" s="10" t="s">
        <v>3</v>
      </c>
      <c r="AK9" s="10" t="s">
        <v>2</v>
      </c>
      <c r="AL9" s="10" t="s">
        <v>2</v>
      </c>
      <c r="AM9" s="10" t="s">
        <v>370</v>
      </c>
    </row>
    <row r="10" spans="1:40" s="10" customFormat="1" ht="28.8" x14ac:dyDescent="0.3">
      <c r="A10" s="10" t="s">
        <v>354</v>
      </c>
      <c r="B10" s="10" t="s">
        <v>355</v>
      </c>
      <c r="C10" s="10" t="s">
        <v>357</v>
      </c>
      <c r="D10" s="10" t="s">
        <v>356</v>
      </c>
      <c r="F10" s="10" t="s">
        <v>2664</v>
      </c>
      <c r="G10" s="10" t="s">
        <v>371</v>
      </c>
      <c r="H10" s="10" t="s">
        <v>368</v>
      </c>
      <c r="J10" s="38" t="s">
        <v>358</v>
      </c>
      <c r="K10" s="38" t="s">
        <v>367</v>
      </c>
      <c r="L10" s="10">
        <v>4</v>
      </c>
      <c r="M10" s="10">
        <v>4</v>
      </c>
      <c r="N10" s="10">
        <f t="shared" si="0"/>
        <v>551</v>
      </c>
      <c r="P10" s="10">
        <v>5.67</v>
      </c>
      <c r="R10" s="10">
        <f>(289+515+366+624)/4</f>
        <v>448.5</v>
      </c>
      <c r="T10" s="10">
        <v>5.16</v>
      </c>
      <c r="V10" s="10">
        <v>6.8</v>
      </c>
      <c r="W10" s="10" t="s">
        <v>2330</v>
      </c>
      <c r="X10" s="10">
        <v>312</v>
      </c>
      <c r="Y10" s="10">
        <v>7</v>
      </c>
      <c r="Z10" s="14">
        <f t="shared" si="1"/>
        <v>0.81397459165154262</v>
      </c>
      <c r="AA10" s="14">
        <f t="shared" si="2"/>
        <v>0.91005291005291011</v>
      </c>
      <c r="AB10" s="14"/>
      <c r="AC10" s="14">
        <f t="shared" si="3"/>
        <v>1.7240275017044526</v>
      </c>
      <c r="AD10" s="14"/>
      <c r="AE10" s="14"/>
      <c r="AF10" s="14"/>
      <c r="AH10" s="10" t="s">
        <v>1</v>
      </c>
      <c r="AI10" s="10" t="s">
        <v>3</v>
      </c>
      <c r="AK10" s="10" t="s">
        <v>2</v>
      </c>
      <c r="AL10" s="10" t="s">
        <v>2</v>
      </c>
      <c r="AM10" s="10" t="s">
        <v>370</v>
      </c>
    </row>
    <row r="11" spans="1:40" s="23" customFormat="1" ht="360" x14ac:dyDescent="0.3">
      <c r="A11" s="70" t="s">
        <v>751</v>
      </c>
      <c r="B11" s="70" t="s">
        <v>637</v>
      </c>
      <c r="C11" s="70" t="s">
        <v>752</v>
      </c>
      <c r="D11" s="70" t="s">
        <v>753</v>
      </c>
      <c r="E11" s="70"/>
      <c r="F11" s="10" t="s">
        <v>2664</v>
      </c>
      <c r="G11" s="70" t="s">
        <v>754</v>
      </c>
      <c r="H11" s="70" t="s">
        <v>755</v>
      </c>
      <c r="I11" s="70"/>
      <c r="J11" s="71" t="s">
        <v>756</v>
      </c>
      <c r="K11" s="72" t="s">
        <v>757</v>
      </c>
      <c r="L11" s="70">
        <v>6</v>
      </c>
      <c r="M11" s="70">
        <v>15</v>
      </c>
      <c r="N11" s="70">
        <f>197.62*5</f>
        <v>988.1</v>
      </c>
      <c r="O11" s="70">
        <f>30.95*5</f>
        <v>154.75</v>
      </c>
      <c r="P11" s="70"/>
      <c r="Q11" s="70"/>
      <c r="R11" s="70">
        <f>53.96*4</f>
        <v>215.84</v>
      </c>
      <c r="S11" s="70">
        <f>18.5*4</f>
        <v>74</v>
      </c>
      <c r="T11" s="70"/>
      <c r="U11" s="70"/>
      <c r="V11" s="70"/>
      <c r="W11" s="70"/>
      <c r="X11" s="70"/>
      <c r="Y11" s="70"/>
      <c r="Z11" s="73">
        <f t="shared" si="1"/>
        <v>0.21843942920757009</v>
      </c>
      <c r="AA11" s="11"/>
      <c r="AB11" s="11"/>
      <c r="AC11" s="11">
        <f t="shared" si="3"/>
        <v>0.21843942920757009</v>
      </c>
      <c r="AD11" s="11">
        <f>((S11*SQRT(M11))^2)/(N11^2)+((O11*SQRT(L11))^2)*(R11^2)/(N11^4)</f>
        <v>9.1152583726171424E-2</v>
      </c>
      <c r="AE11" s="11">
        <f>AD11</f>
        <v>9.1152583726171424E-2</v>
      </c>
      <c r="AF11" s="11">
        <f>SQRT(AE11)/AC11</f>
        <v>1.3821445277219726</v>
      </c>
      <c r="AG11" s="70">
        <v>150</v>
      </c>
      <c r="AH11" s="70" t="s">
        <v>14</v>
      </c>
      <c r="AI11" s="70" t="s">
        <v>2</v>
      </c>
      <c r="AJ11" s="70"/>
      <c r="AK11" s="10" t="s">
        <v>2</v>
      </c>
      <c r="AL11" s="23" t="s">
        <v>2</v>
      </c>
      <c r="AM11" s="71" t="s">
        <v>2599</v>
      </c>
      <c r="AN11" s="70"/>
    </row>
    <row r="12" spans="1:40" s="10" customFormat="1" x14ac:dyDescent="0.3">
      <c r="A12" s="10" t="s">
        <v>758</v>
      </c>
      <c r="B12" s="10" t="s">
        <v>759</v>
      </c>
      <c r="C12" s="10" t="s">
        <v>762</v>
      </c>
      <c r="F12" s="10" t="s">
        <v>2664</v>
      </c>
      <c r="G12" s="10" t="s">
        <v>763</v>
      </c>
      <c r="H12" s="10" t="s">
        <v>761</v>
      </c>
      <c r="J12" s="10" t="s">
        <v>760</v>
      </c>
      <c r="K12" s="10" t="s">
        <v>764</v>
      </c>
      <c r="L12" s="10">
        <v>4</v>
      </c>
      <c r="M12" s="10">
        <v>4</v>
      </c>
      <c r="N12" s="10">
        <v>1240</v>
      </c>
      <c r="Q12" s="10">
        <f>56/21</f>
        <v>2.6666666666666665</v>
      </c>
      <c r="R12" s="10">
        <v>965</v>
      </c>
      <c r="V12" s="10">
        <f>56/21</f>
        <v>2.6666666666666665</v>
      </c>
      <c r="W12" s="10" t="s">
        <v>958</v>
      </c>
      <c r="Z12" s="10">
        <f t="shared" si="1"/>
        <v>0.77822580645161288</v>
      </c>
      <c r="AA12" s="14"/>
      <c r="AB12" s="14">
        <f>V12/Q12</f>
        <v>1</v>
      </c>
      <c r="AC12" s="14">
        <f t="shared" si="3"/>
        <v>1.778225806451613</v>
      </c>
      <c r="AD12" s="14"/>
      <c r="AE12" s="14"/>
      <c r="AF12" s="14"/>
      <c r="AH12" s="10" t="s">
        <v>14</v>
      </c>
      <c r="AK12" s="10" t="s">
        <v>2</v>
      </c>
      <c r="AL12" s="10" t="s">
        <v>2</v>
      </c>
      <c r="AM12" s="10" t="s">
        <v>2600</v>
      </c>
    </row>
    <row r="13" spans="1:40" s="26" customFormat="1" x14ac:dyDescent="0.3">
      <c r="A13" s="26" t="s">
        <v>758</v>
      </c>
      <c r="B13" s="26" t="s">
        <v>759</v>
      </c>
      <c r="C13" s="26" t="s">
        <v>762</v>
      </c>
      <c r="F13" s="10" t="s">
        <v>2664</v>
      </c>
      <c r="G13" s="26" t="s">
        <v>765</v>
      </c>
      <c r="H13" s="26" t="s">
        <v>761</v>
      </c>
      <c r="J13" s="26" t="s">
        <v>760</v>
      </c>
      <c r="L13" s="26">
        <v>4</v>
      </c>
      <c r="M13" s="26">
        <v>4</v>
      </c>
      <c r="N13" s="26">
        <v>1240</v>
      </c>
      <c r="R13" s="26">
        <v>275</v>
      </c>
      <c r="V13" s="69"/>
      <c r="Z13" s="67">
        <f t="shared" si="1"/>
        <v>0.22177419354838709</v>
      </c>
      <c r="AA13" s="20"/>
      <c r="AB13" s="20"/>
      <c r="AC13" s="20">
        <f t="shared" si="3"/>
        <v>0.22177419354838709</v>
      </c>
      <c r="AD13" s="20"/>
      <c r="AE13" s="20"/>
      <c r="AF13" s="20"/>
      <c r="AG13" s="26">
        <v>0</v>
      </c>
      <c r="AH13" s="26" t="s">
        <v>308</v>
      </c>
      <c r="AK13" s="10" t="s">
        <v>2</v>
      </c>
      <c r="AL13" s="26" t="s">
        <v>2</v>
      </c>
      <c r="AM13" s="26" t="s">
        <v>2601</v>
      </c>
    </row>
    <row r="14" spans="1:40" s="26" customFormat="1" x14ac:dyDescent="0.3">
      <c r="A14" s="26" t="s">
        <v>766</v>
      </c>
      <c r="B14" s="26" t="s">
        <v>767</v>
      </c>
      <c r="C14" s="26" t="s">
        <v>768</v>
      </c>
      <c r="D14" s="26" t="s">
        <v>2087</v>
      </c>
      <c r="F14" s="10" t="s">
        <v>2664</v>
      </c>
      <c r="G14" s="26" t="s">
        <v>769</v>
      </c>
      <c r="H14" s="26" t="s">
        <v>770</v>
      </c>
      <c r="J14" s="26" t="s">
        <v>756</v>
      </c>
      <c r="K14" s="26" t="s">
        <v>772</v>
      </c>
      <c r="L14" s="26">
        <v>1</v>
      </c>
      <c r="M14" s="26">
        <v>1</v>
      </c>
      <c r="N14" s="26">
        <v>7350</v>
      </c>
      <c r="R14" s="26">
        <v>4900</v>
      </c>
      <c r="Z14" s="67">
        <f t="shared" si="1"/>
        <v>0.66666666666666663</v>
      </c>
      <c r="AA14" s="20"/>
      <c r="AB14" s="20"/>
      <c r="AC14" s="20">
        <f t="shared" si="3"/>
        <v>0.66666666666666663</v>
      </c>
      <c r="AD14" s="20"/>
      <c r="AE14" s="20"/>
      <c r="AF14" s="20"/>
      <c r="AH14" s="26" t="s">
        <v>14</v>
      </c>
      <c r="AI14" s="26" t="s">
        <v>2</v>
      </c>
      <c r="AK14" s="10" t="s">
        <v>2</v>
      </c>
      <c r="AL14" s="26" t="s">
        <v>2</v>
      </c>
      <c r="AM14" s="26" t="s">
        <v>962</v>
      </c>
    </row>
    <row r="15" spans="1:40" s="26" customFormat="1" x14ac:dyDescent="0.3">
      <c r="A15" s="26" t="s">
        <v>766</v>
      </c>
      <c r="B15" s="26" t="s">
        <v>767</v>
      </c>
      <c r="C15" s="26" t="s">
        <v>768</v>
      </c>
      <c r="D15" s="26" t="s">
        <v>771</v>
      </c>
      <c r="F15" s="10" t="s">
        <v>2664</v>
      </c>
      <c r="G15" s="26" t="s">
        <v>769</v>
      </c>
      <c r="H15" s="26" t="s">
        <v>770</v>
      </c>
      <c r="J15" s="26" t="s">
        <v>756</v>
      </c>
      <c r="K15" s="26" t="s">
        <v>772</v>
      </c>
      <c r="L15" s="26">
        <v>1</v>
      </c>
      <c r="M15" s="26">
        <v>1</v>
      </c>
      <c r="N15" s="26">
        <v>7350</v>
      </c>
      <c r="R15" s="26">
        <v>5743</v>
      </c>
      <c r="Z15" s="67">
        <f t="shared" si="1"/>
        <v>0.78136054421768708</v>
      </c>
      <c r="AA15" s="20"/>
      <c r="AB15" s="20"/>
      <c r="AC15" s="20">
        <f t="shared" si="3"/>
        <v>0.78136054421768708</v>
      </c>
      <c r="AD15" s="20"/>
      <c r="AE15" s="20"/>
      <c r="AF15" s="20"/>
      <c r="AI15" s="26" t="s">
        <v>2</v>
      </c>
      <c r="AK15" s="10" t="s">
        <v>2</v>
      </c>
      <c r="AL15" s="26" t="s">
        <v>2</v>
      </c>
      <c r="AM15" s="26" t="s">
        <v>2602</v>
      </c>
    </row>
    <row r="16" spans="1:40" s="26" customFormat="1" x14ac:dyDescent="0.3">
      <c r="A16" s="26" t="s">
        <v>766</v>
      </c>
      <c r="B16" s="26" t="s">
        <v>767</v>
      </c>
      <c r="C16" s="26" t="s">
        <v>768</v>
      </c>
      <c r="D16" s="26" t="s">
        <v>2088</v>
      </c>
      <c r="F16" s="10" t="s">
        <v>2664</v>
      </c>
      <c r="G16" s="26" t="s">
        <v>773</v>
      </c>
      <c r="H16" s="26" t="s">
        <v>770</v>
      </c>
      <c r="J16" s="26" t="s">
        <v>756</v>
      </c>
      <c r="K16" s="26" t="s">
        <v>774</v>
      </c>
      <c r="L16" s="26">
        <v>1</v>
      </c>
      <c r="M16" s="26">
        <v>1</v>
      </c>
      <c r="N16" s="26">
        <v>7350</v>
      </c>
      <c r="R16" s="26">
        <v>3648</v>
      </c>
      <c r="Z16" s="67">
        <f t="shared" si="1"/>
        <v>0.49632653061224491</v>
      </c>
      <c r="AA16" s="20"/>
      <c r="AB16" s="20"/>
      <c r="AC16" s="20">
        <f t="shared" si="3"/>
        <v>0.49632653061224491</v>
      </c>
      <c r="AD16" s="20"/>
      <c r="AE16" s="20"/>
      <c r="AF16" s="20"/>
      <c r="AH16" s="26" t="s">
        <v>14</v>
      </c>
      <c r="AI16" s="26" t="s">
        <v>3</v>
      </c>
      <c r="AK16" s="10" t="s">
        <v>2</v>
      </c>
      <c r="AL16" s="26" t="s">
        <v>2</v>
      </c>
      <c r="AM16" s="26" t="s">
        <v>962</v>
      </c>
    </row>
    <row r="17" spans="1:39" s="26" customFormat="1" x14ac:dyDescent="0.3">
      <c r="A17" s="26" t="s">
        <v>766</v>
      </c>
      <c r="B17" s="26" t="s">
        <v>767</v>
      </c>
      <c r="C17" s="26" t="s">
        <v>768</v>
      </c>
      <c r="D17" s="26" t="s">
        <v>2089</v>
      </c>
      <c r="F17" s="10" t="s">
        <v>2664</v>
      </c>
      <c r="G17" s="26" t="s">
        <v>773</v>
      </c>
      <c r="H17" s="26" t="s">
        <v>770</v>
      </c>
      <c r="J17" s="26" t="s">
        <v>756</v>
      </c>
      <c r="K17" s="26" t="s">
        <v>775</v>
      </c>
      <c r="L17" s="26">
        <v>1</v>
      </c>
      <c r="M17" s="26">
        <v>1</v>
      </c>
      <c r="N17" s="26">
        <v>7350</v>
      </c>
      <c r="R17" s="26">
        <v>2940</v>
      </c>
      <c r="Z17" s="67">
        <f t="shared" si="1"/>
        <v>0.4</v>
      </c>
      <c r="AA17" s="20"/>
      <c r="AB17" s="20"/>
      <c r="AC17" s="20">
        <f t="shared" si="3"/>
        <v>0.4</v>
      </c>
      <c r="AD17" s="20"/>
      <c r="AE17" s="20"/>
      <c r="AF17" s="20"/>
      <c r="AH17" s="26" t="s">
        <v>14</v>
      </c>
      <c r="AI17" s="26" t="s">
        <v>3</v>
      </c>
      <c r="AK17" s="10" t="s">
        <v>2</v>
      </c>
      <c r="AL17" s="26" t="s">
        <v>2</v>
      </c>
      <c r="AM17" s="26" t="s">
        <v>962</v>
      </c>
    </row>
    <row r="18" spans="1:39" s="26" customFormat="1" x14ac:dyDescent="0.3">
      <c r="A18" s="26" t="s">
        <v>766</v>
      </c>
      <c r="B18" s="26" t="s">
        <v>767</v>
      </c>
      <c r="C18" s="26" t="s">
        <v>768</v>
      </c>
      <c r="D18" s="26" t="s">
        <v>2090</v>
      </c>
      <c r="F18" s="10" t="s">
        <v>2664</v>
      </c>
      <c r="G18" s="26" t="s">
        <v>773</v>
      </c>
      <c r="H18" s="26" t="s">
        <v>770</v>
      </c>
      <c r="J18" s="26" t="s">
        <v>756</v>
      </c>
      <c r="K18" s="26" t="s">
        <v>775</v>
      </c>
      <c r="L18" s="26">
        <v>1</v>
      </c>
      <c r="M18" s="26">
        <v>1</v>
      </c>
      <c r="N18" s="26">
        <v>7350</v>
      </c>
      <c r="R18" s="26">
        <v>2940</v>
      </c>
      <c r="Z18" s="67">
        <f t="shared" si="1"/>
        <v>0.4</v>
      </c>
      <c r="AA18" s="20"/>
      <c r="AB18" s="20"/>
      <c r="AC18" s="20">
        <f t="shared" si="3"/>
        <v>0.4</v>
      </c>
      <c r="AD18" s="20"/>
      <c r="AE18" s="20"/>
      <c r="AF18" s="20"/>
      <c r="AH18" s="26" t="s">
        <v>14</v>
      </c>
      <c r="AI18" s="26" t="s">
        <v>3</v>
      </c>
      <c r="AK18" s="10" t="s">
        <v>2</v>
      </c>
      <c r="AL18" s="26" t="s">
        <v>2</v>
      </c>
      <c r="AM18" s="26" t="s">
        <v>962</v>
      </c>
    </row>
    <row r="19" spans="1:39" s="26" customFormat="1" x14ac:dyDescent="0.3">
      <c r="A19" s="26" t="s">
        <v>766</v>
      </c>
      <c r="B19" s="26" t="s">
        <v>767</v>
      </c>
      <c r="C19" s="26" t="s">
        <v>768</v>
      </c>
      <c r="D19" s="26" t="s">
        <v>2091</v>
      </c>
      <c r="F19" s="10" t="s">
        <v>2664</v>
      </c>
      <c r="G19" s="26" t="s">
        <v>773</v>
      </c>
      <c r="H19" s="26" t="s">
        <v>770</v>
      </c>
      <c r="J19" s="26" t="s">
        <v>756</v>
      </c>
      <c r="K19" s="26" t="s">
        <v>775</v>
      </c>
      <c r="L19" s="26">
        <v>1</v>
      </c>
      <c r="M19" s="26">
        <v>1</v>
      </c>
      <c r="N19" s="26">
        <v>7350</v>
      </c>
      <c r="R19" s="26">
        <v>5250</v>
      </c>
      <c r="Z19" s="67">
        <f t="shared" si="1"/>
        <v>0.7142857142857143</v>
      </c>
      <c r="AA19" s="20"/>
      <c r="AB19" s="20"/>
      <c r="AC19" s="20">
        <f t="shared" si="3"/>
        <v>0.7142857142857143</v>
      </c>
      <c r="AD19" s="20"/>
      <c r="AE19" s="20"/>
      <c r="AF19" s="20"/>
      <c r="AH19" s="26" t="s">
        <v>1</v>
      </c>
      <c r="AI19" s="26" t="s">
        <v>2</v>
      </c>
      <c r="AK19" s="10" t="s">
        <v>2</v>
      </c>
      <c r="AL19" s="26" t="s">
        <v>2</v>
      </c>
      <c r="AM19" s="26" t="s">
        <v>962</v>
      </c>
    </row>
    <row r="20" spans="1:39" s="26" customFormat="1" x14ac:dyDescent="0.3">
      <c r="A20" s="26" t="s">
        <v>766</v>
      </c>
      <c r="B20" s="26" t="s">
        <v>767</v>
      </c>
      <c r="C20" s="26" t="s">
        <v>768</v>
      </c>
      <c r="D20" s="26" t="s">
        <v>2092</v>
      </c>
      <c r="F20" s="10" t="s">
        <v>2664</v>
      </c>
      <c r="G20" s="26" t="s">
        <v>773</v>
      </c>
      <c r="H20" s="26" t="s">
        <v>770</v>
      </c>
      <c r="J20" s="26" t="s">
        <v>756</v>
      </c>
      <c r="K20" s="26" t="s">
        <v>774</v>
      </c>
      <c r="L20" s="26">
        <v>1</v>
      </c>
      <c r="M20" s="26">
        <v>1</v>
      </c>
      <c r="N20" s="26">
        <v>7350</v>
      </c>
      <c r="R20" s="26">
        <v>2548</v>
      </c>
      <c r="Z20" s="67">
        <f t="shared" si="1"/>
        <v>0.34666666666666668</v>
      </c>
      <c r="AA20" s="20"/>
      <c r="AB20" s="20"/>
      <c r="AC20" s="20">
        <f t="shared" si="3"/>
        <v>0.34666666666666668</v>
      </c>
      <c r="AD20" s="20"/>
      <c r="AE20" s="20"/>
      <c r="AF20" s="20"/>
      <c r="AI20" s="26" t="s">
        <v>3</v>
      </c>
      <c r="AK20" s="10" t="s">
        <v>2</v>
      </c>
      <c r="AL20" s="26" t="s">
        <v>2</v>
      </c>
      <c r="AM20" s="26" t="s">
        <v>962</v>
      </c>
    </row>
    <row r="21" spans="1:39" s="26" customFormat="1" x14ac:dyDescent="0.3">
      <c r="A21" s="26" t="s">
        <v>766</v>
      </c>
      <c r="B21" s="26" t="s">
        <v>767</v>
      </c>
      <c r="C21" s="26" t="s">
        <v>768</v>
      </c>
      <c r="D21" s="26" t="s">
        <v>2093</v>
      </c>
      <c r="F21" s="10" t="s">
        <v>2664</v>
      </c>
      <c r="G21" s="26" t="s">
        <v>773</v>
      </c>
      <c r="H21" s="26" t="s">
        <v>770</v>
      </c>
      <c r="J21" s="26" t="s">
        <v>756</v>
      </c>
      <c r="K21" s="26" t="s">
        <v>775</v>
      </c>
      <c r="L21" s="26">
        <v>1</v>
      </c>
      <c r="M21" s="26">
        <v>1</v>
      </c>
      <c r="N21" s="26">
        <v>7350</v>
      </c>
      <c r="R21" s="26">
        <v>4900</v>
      </c>
      <c r="Z21" s="67">
        <f t="shared" si="1"/>
        <v>0.66666666666666663</v>
      </c>
      <c r="AA21" s="20"/>
      <c r="AB21" s="20"/>
      <c r="AC21" s="20">
        <f t="shared" si="3"/>
        <v>0.66666666666666663</v>
      </c>
      <c r="AD21" s="20"/>
      <c r="AE21" s="20"/>
      <c r="AF21" s="20"/>
      <c r="AH21" s="26" t="s">
        <v>14</v>
      </c>
      <c r="AI21" s="26" t="s">
        <v>2</v>
      </c>
      <c r="AK21" s="10" t="s">
        <v>2</v>
      </c>
      <c r="AL21" s="26" t="s">
        <v>2</v>
      </c>
      <c r="AM21" s="26" t="s">
        <v>962</v>
      </c>
    </row>
    <row r="22" spans="1:39" s="26" customFormat="1" x14ac:dyDescent="0.3">
      <c r="A22" s="26" t="s">
        <v>766</v>
      </c>
      <c r="B22" s="26" t="s">
        <v>767</v>
      </c>
      <c r="C22" s="26" t="s">
        <v>768</v>
      </c>
      <c r="D22" s="26" t="s">
        <v>2094</v>
      </c>
      <c r="F22" s="10" t="s">
        <v>2664</v>
      </c>
      <c r="G22" s="26" t="s">
        <v>773</v>
      </c>
      <c r="H22" s="26" t="s">
        <v>770</v>
      </c>
      <c r="J22" s="26" t="s">
        <v>756</v>
      </c>
      <c r="K22" s="26" t="s">
        <v>775</v>
      </c>
      <c r="L22" s="26">
        <v>1</v>
      </c>
      <c r="M22" s="26">
        <v>1</v>
      </c>
      <c r="N22" s="26">
        <v>7350</v>
      </c>
      <c r="R22" s="26">
        <v>3065</v>
      </c>
      <c r="Z22" s="67">
        <f t="shared" si="1"/>
        <v>0.41700680272108842</v>
      </c>
      <c r="AA22" s="20"/>
      <c r="AB22" s="20"/>
      <c r="AC22" s="20">
        <f t="shared" si="3"/>
        <v>0.41700680272108842</v>
      </c>
      <c r="AD22" s="20"/>
      <c r="AE22" s="20"/>
      <c r="AF22" s="20"/>
      <c r="AH22" s="26" t="s">
        <v>1</v>
      </c>
      <c r="AI22" s="26" t="s">
        <v>3</v>
      </c>
      <c r="AK22" s="10" t="s">
        <v>2</v>
      </c>
      <c r="AL22" s="26" t="s">
        <v>2</v>
      </c>
      <c r="AM22" s="26" t="s">
        <v>962</v>
      </c>
    </row>
    <row r="23" spans="1:39" s="10" customFormat="1" x14ac:dyDescent="0.3">
      <c r="A23" s="10" t="s">
        <v>778</v>
      </c>
      <c r="B23" s="10" t="s">
        <v>779</v>
      </c>
      <c r="C23" s="10" t="s">
        <v>780</v>
      </c>
      <c r="E23" s="10">
        <v>1992</v>
      </c>
      <c r="F23" s="10" t="s">
        <v>2664</v>
      </c>
      <c r="G23" s="10" t="s">
        <v>784</v>
      </c>
      <c r="H23" s="10" t="s">
        <v>781</v>
      </c>
      <c r="J23" s="10" t="s">
        <v>782</v>
      </c>
      <c r="K23" s="10" t="s">
        <v>783</v>
      </c>
      <c r="L23" s="10">
        <v>1</v>
      </c>
      <c r="M23" s="10">
        <v>1</v>
      </c>
      <c r="N23" s="10">
        <v>251</v>
      </c>
      <c r="P23" s="10">
        <f>1150*16</f>
        <v>18400</v>
      </c>
      <c r="R23" s="10">
        <v>128</v>
      </c>
      <c r="T23" s="10">
        <f>16*780</f>
        <v>12480</v>
      </c>
      <c r="V23" s="31">
        <v>0</v>
      </c>
      <c r="W23" s="10" t="s">
        <v>2330</v>
      </c>
      <c r="Z23" s="32">
        <f t="shared" si="1"/>
        <v>0.50996015936254979</v>
      </c>
      <c r="AA23" s="14">
        <f t="shared" ref="AA23:AA64" si="4">T23/P23</f>
        <v>0.67826086956521736</v>
      </c>
      <c r="AB23" s="13"/>
      <c r="AC23" s="14">
        <f t="shared" si="3"/>
        <v>1.1882210289277673</v>
      </c>
      <c r="AD23" s="14"/>
      <c r="AE23" s="14"/>
      <c r="AF23" s="14"/>
      <c r="AK23" s="10" t="s">
        <v>2</v>
      </c>
      <c r="AL23" s="10" t="s">
        <v>2</v>
      </c>
      <c r="AM23" s="10" t="s">
        <v>2603</v>
      </c>
    </row>
    <row r="24" spans="1:39" s="10" customFormat="1" x14ac:dyDescent="0.3">
      <c r="A24" s="10" t="s">
        <v>778</v>
      </c>
      <c r="B24" s="10" t="s">
        <v>779</v>
      </c>
      <c r="C24" s="10" t="s">
        <v>780</v>
      </c>
      <c r="E24" s="10">
        <v>1993</v>
      </c>
      <c r="F24" s="10" t="s">
        <v>2664</v>
      </c>
      <c r="G24" s="10" t="s">
        <v>785</v>
      </c>
      <c r="H24" s="10" t="s">
        <v>781</v>
      </c>
      <c r="J24" s="10" t="s">
        <v>782</v>
      </c>
      <c r="K24" s="10" t="s">
        <v>783</v>
      </c>
      <c r="L24" s="10">
        <v>1</v>
      </c>
      <c r="M24" s="10">
        <v>1</v>
      </c>
      <c r="N24" s="10">
        <v>910</v>
      </c>
      <c r="P24" s="10">
        <f t="shared" ref="P24:P64" si="5">1150*16</f>
        <v>18400</v>
      </c>
      <c r="R24" s="10">
        <v>150</v>
      </c>
      <c r="T24" s="10">
        <f>16*950</f>
        <v>15200</v>
      </c>
      <c r="V24" s="31">
        <v>0</v>
      </c>
      <c r="W24" s="10" t="s">
        <v>2330</v>
      </c>
      <c r="Z24" s="32">
        <f t="shared" si="1"/>
        <v>0.16483516483516483</v>
      </c>
      <c r="AA24" s="14">
        <f t="shared" si="4"/>
        <v>0.82608695652173914</v>
      </c>
      <c r="AB24" s="13"/>
      <c r="AC24" s="14">
        <f t="shared" si="3"/>
        <v>0.99092212135690394</v>
      </c>
      <c r="AD24" s="14"/>
      <c r="AE24" s="14"/>
      <c r="AF24" s="14"/>
      <c r="AK24" s="10" t="s">
        <v>2</v>
      </c>
      <c r="AL24" s="10" t="s">
        <v>2</v>
      </c>
      <c r="AM24" s="10" t="s">
        <v>2603</v>
      </c>
    </row>
    <row r="25" spans="1:39" s="10" customFormat="1" x14ac:dyDescent="0.3">
      <c r="A25" s="10" t="s">
        <v>778</v>
      </c>
      <c r="B25" s="10" t="s">
        <v>779</v>
      </c>
      <c r="C25" s="10" t="s">
        <v>780</v>
      </c>
      <c r="E25" s="10">
        <v>1994</v>
      </c>
      <c r="F25" s="10" t="s">
        <v>2664</v>
      </c>
      <c r="G25" s="10" t="s">
        <v>786</v>
      </c>
      <c r="H25" s="10" t="s">
        <v>781</v>
      </c>
      <c r="J25" s="10" t="s">
        <v>782</v>
      </c>
      <c r="K25" s="10" t="s">
        <v>783</v>
      </c>
      <c r="L25" s="10">
        <v>1</v>
      </c>
      <c r="M25" s="10">
        <v>1</v>
      </c>
      <c r="N25" s="10">
        <v>898</v>
      </c>
      <c r="P25" s="10">
        <f t="shared" si="5"/>
        <v>18400</v>
      </c>
      <c r="R25" s="10">
        <v>217</v>
      </c>
      <c r="T25" s="10">
        <f>16*800</f>
        <v>12800</v>
      </c>
      <c r="V25" s="31">
        <v>0</v>
      </c>
      <c r="W25" s="10" t="s">
        <v>2330</v>
      </c>
      <c r="Z25" s="32">
        <f t="shared" si="1"/>
        <v>0.24164810690423164</v>
      </c>
      <c r="AA25" s="14">
        <f t="shared" si="4"/>
        <v>0.69565217391304346</v>
      </c>
      <c r="AB25" s="13"/>
      <c r="AC25" s="14">
        <f t="shared" si="3"/>
        <v>0.93730028081727512</v>
      </c>
      <c r="AD25" s="14"/>
      <c r="AE25" s="14"/>
      <c r="AF25" s="14"/>
      <c r="AK25" s="10" t="s">
        <v>2</v>
      </c>
      <c r="AL25" s="10" t="s">
        <v>2</v>
      </c>
      <c r="AM25" s="10" t="s">
        <v>2603</v>
      </c>
    </row>
    <row r="26" spans="1:39" s="10" customFormat="1" x14ac:dyDescent="0.3">
      <c r="A26" s="10" t="s">
        <v>778</v>
      </c>
      <c r="B26" s="10" t="s">
        <v>779</v>
      </c>
      <c r="C26" s="10" t="s">
        <v>780</v>
      </c>
      <c r="E26" s="10">
        <v>1995</v>
      </c>
      <c r="F26" s="10" t="s">
        <v>2664</v>
      </c>
      <c r="G26" s="10" t="s">
        <v>787</v>
      </c>
      <c r="H26" s="10" t="s">
        <v>781</v>
      </c>
      <c r="J26" s="10" t="s">
        <v>782</v>
      </c>
      <c r="K26" s="10" t="s">
        <v>783</v>
      </c>
      <c r="L26" s="10">
        <v>1</v>
      </c>
      <c r="M26" s="10">
        <v>1</v>
      </c>
      <c r="N26" s="10">
        <v>906</v>
      </c>
      <c r="P26" s="10">
        <f t="shared" si="5"/>
        <v>18400</v>
      </c>
      <c r="R26" s="10">
        <v>578</v>
      </c>
      <c r="T26" s="10">
        <f>16*780</f>
        <v>12480</v>
      </c>
      <c r="V26" s="31">
        <v>0</v>
      </c>
      <c r="W26" s="10" t="s">
        <v>2330</v>
      </c>
      <c r="Z26" s="32">
        <f t="shared" si="1"/>
        <v>0.63796909492273735</v>
      </c>
      <c r="AA26" s="14">
        <f t="shared" si="4"/>
        <v>0.67826086956521736</v>
      </c>
      <c r="AB26" s="13"/>
      <c r="AC26" s="14">
        <f t="shared" si="3"/>
        <v>1.3162299644879547</v>
      </c>
      <c r="AD26" s="14"/>
      <c r="AE26" s="14"/>
      <c r="AF26" s="14"/>
      <c r="AK26" s="10" t="s">
        <v>2</v>
      </c>
      <c r="AL26" s="10" t="s">
        <v>2</v>
      </c>
      <c r="AM26" s="10" t="s">
        <v>2603</v>
      </c>
    </row>
    <row r="27" spans="1:39" s="10" customFormat="1" x14ac:dyDescent="0.3">
      <c r="A27" s="10" t="s">
        <v>778</v>
      </c>
      <c r="B27" s="10" t="s">
        <v>779</v>
      </c>
      <c r="C27" s="10" t="s">
        <v>780</v>
      </c>
      <c r="E27" s="10">
        <v>1996</v>
      </c>
      <c r="F27" s="10" t="s">
        <v>2664</v>
      </c>
      <c r="G27" s="10" t="s">
        <v>788</v>
      </c>
      <c r="H27" s="10" t="s">
        <v>781</v>
      </c>
      <c r="J27" s="10" t="s">
        <v>782</v>
      </c>
      <c r="K27" s="10" t="s">
        <v>783</v>
      </c>
      <c r="L27" s="10">
        <v>1</v>
      </c>
      <c r="M27" s="10">
        <v>1</v>
      </c>
      <c r="N27" s="10">
        <v>882</v>
      </c>
      <c r="P27" s="10">
        <f t="shared" si="5"/>
        <v>18400</v>
      </c>
      <c r="R27" s="10">
        <v>756</v>
      </c>
      <c r="T27" s="10">
        <f>16*700</f>
        <v>11200</v>
      </c>
      <c r="V27" s="31">
        <v>2.6</v>
      </c>
      <c r="W27" s="10" t="s">
        <v>2330</v>
      </c>
      <c r="Z27" s="32">
        <f t="shared" si="1"/>
        <v>0.8571428571428571</v>
      </c>
      <c r="AA27" s="14">
        <f t="shared" si="4"/>
        <v>0.60869565217391308</v>
      </c>
      <c r="AB27" s="13"/>
      <c r="AC27" s="14">
        <f t="shared" si="3"/>
        <v>1.4658385093167703</v>
      </c>
      <c r="AD27" s="14"/>
      <c r="AE27" s="14"/>
      <c r="AF27" s="14"/>
      <c r="AK27" s="10" t="s">
        <v>2</v>
      </c>
      <c r="AL27" s="10" t="s">
        <v>2</v>
      </c>
      <c r="AM27" s="10" t="s">
        <v>2603</v>
      </c>
    </row>
    <row r="28" spans="1:39" s="10" customFormat="1" x14ac:dyDescent="0.3">
      <c r="A28" s="10" t="s">
        <v>778</v>
      </c>
      <c r="B28" s="10" t="s">
        <v>779</v>
      </c>
      <c r="C28" s="10" t="s">
        <v>780</v>
      </c>
      <c r="E28" s="10">
        <v>1997</v>
      </c>
      <c r="F28" s="10" t="s">
        <v>2664</v>
      </c>
      <c r="G28" s="10" t="s">
        <v>789</v>
      </c>
      <c r="H28" s="10" t="s">
        <v>781</v>
      </c>
      <c r="J28" s="10" t="s">
        <v>782</v>
      </c>
      <c r="K28" s="10" t="s">
        <v>783</v>
      </c>
      <c r="L28" s="10">
        <v>1</v>
      </c>
      <c r="M28" s="10">
        <v>1</v>
      </c>
      <c r="N28" s="10">
        <v>1191</v>
      </c>
      <c r="P28" s="10">
        <f t="shared" si="5"/>
        <v>18400</v>
      </c>
      <c r="R28" s="10">
        <v>795</v>
      </c>
      <c r="T28" s="10">
        <f>16*770</f>
        <v>12320</v>
      </c>
      <c r="V28" s="31">
        <v>8.8000000000000007</v>
      </c>
      <c r="W28" s="10" t="s">
        <v>2330</v>
      </c>
      <c r="Z28" s="32">
        <f t="shared" si="1"/>
        <v>0.66750629722921917</v>
      </c>
      <c r="AA28" s="14">
        <f t="shared" si="4"/>
        <v>0.66956521739130437</v>
      </c>
      <c r="AB28" s="13"/>
      <c r="AC28" s="14">
        <f t="shared" si="3"/>
        <v>1.3370715146205234</v>
      </c>
      <c r="AD28" s="14"/>
      <c r="AE28" s="14"/>
      <c r="AF28" s="14"/>
      <c r="AK28" s="10" t="s">
        <v>2</v>
      </c>
      <c r="AL28" s="10" t="s">
        <v>2</v>
      </c>
      <c r="AM28" s="10" t="s">
        <v>2603</v>
      </c>
    </row>
    <row r="29" spans="1:39" s="10" customFormat="1" x14ac:dyDescent="0.3">
      <c r="A29" s="10" t="s">
        <v>778</v>
      </c>
      <c r="B29" s="10" t="s">
        <v>779</v>
      </c>
      <c r="C29" s="10" t="s">
        <v>780</v>
      </c>
      <c r="E29" s="10">
        <v>1998</v>
      </c>
      <c r="F29" s="10" t="s">
        <v>2664</v>
      </c>
      <c r="G29" s="10" t="s">
        <v>790</v>
      </c>
      <c r="H29" s="10" t="s">
        <v>781</v>
      </c>
      <c r="J29" s="10" t="s">
        <v>782</v>
      </c>
      <c r="K29" s="10" t="s">
        <v>783</v>
      </c>
      <c r="L29" s="10">
        <v>1</v>
      </c>
      <c r="M29" s="10">
        <v>1</v>
      </c>
      <c r="N29" s="10">
        <v>845</v>
      </c>
      <c r="P29" s="10">
        <f t="shared" si="5"/>
        <v>18400</v>
      </c>
      <c r="R29" s="10">
        <v>801</v>
      </c>
      <c r="T29" s="10">
        <f>16*770</f>
        <v>12320</v>
      </c>
      <c r="V29" s="31">
        <v>11.7</v>
      </c>
      <c r="W29" s="10" t="s">
        <v>2330</v>
      </c>
      <c r="Z29" s="32">
        <f t="shared" si="1"/>
        <v>0.94792899408284026</v>
      </c>
      <c r="AA29" s="14">
        <f t="shared" si="4"/>
        <v>0.66956521739130437</v>
      </c>
      <c r="AB29" s="13"/>
      <c r="AC29" s="14">
        <f t="shared" si="3"/>
        <v>1.6174942114741446</v>
      </c>
      <c r="AD29" s="14"/>
      <c r="AE29" s="14"/>
      <c r="AF29" s="14"/>
      <c r="AK29" s="10" t="s">
        <v>2</v>
      </c>
      <c r="AL29" s="10" t="s">
        <v>2</v>
      </c>
      <c r="AM29" s="10" t="s">
        <v>2603</v>
      </c>
    </row>
    <row r="30" spans="1:39" s="10" customFormat="1" x14ac:dyDescent="0.3">
      <c r="A30" s="10" t="s">
        <v>778</v>
      </c>
      <c r="B30" s="10" t="s">
        <v>779</v>
      </c>
      <c r="C30" s="10" t="s">
        <v>780</v>
      </c>
      <c r="E30" s="10">
        <v>1992</v>
      </c>
      <c r="F30" s="10" t="s">
        <v>2664</v>
      </c>
      <c r="G30" s="10" t="s">
        <v>791</v>
      </c>
      <c r="H30" s="10" t="s">
        <v>781</v>
      </c>
      <c r="J30" s="10" t="s">
        <v>782</v>
      </c>
      <c r="K30" s="10" t="s">
        <v>783</v>
      </c>
      <c r="L30" s="10">
        <v>1</v>
      </c>
      <c r="M30" s="10">
        <v>1</v>
      </c>
      <c r="N30" s="10">
        <v>251</v>
      </c>
      <c r="P30" s="10">
        <f>1150*16</f>
        <v>18400</v>
      </c>
      <c r="R30" s="10">
        <v>170</v>
      </c>
      <c r="T30" s="10">
        <f>16*780</f>
        <v>12480</v>
      </c>
      <c r="V30" s="31">
        <v>0</v>
      </c>
      <c r="W30" s="10" t="s">
        <v>2330</v>
      </c>
      <c r="Z30" s="32">
        <f t="shared" si="1"/>
        <v>0.67729083665338641</v>
      </c>
      <c r="AA30" s="14">
        <f t="shared" si="4"/>
        <v>0.67826086956521736</v>
      </c>
      <c r="AB30" s="13"/>
      <c r="AC30" s="14">
        <f t="shared" si="3"/>
        <v>1.3555517062186038</v>
      </c>
      <c r="AD30" s="14"/>
      <c r="AE30" s="14"/>
      <c r="AF30" s="14"/>
      <c r="AK30" s="10" t="s">
        <v>2</v>
      </c>
      <c r="AL30" s="10" t="s">
        <v>2</v>
      </c>
      <c r="AM30" s="10" t="s">
        <v>2603</v>
      </c>
    </row>
    <row r="31" spans="1:39" s="10" customFormat="1" x14ac:dyDescent="0.3">
      <c r="A31" s="10" t="s">
        <v>778</v>
      </c>
      <c r="B31" s="10" t="s">
        <v>779</v>
      </c>
      <c r="C31" s="10" t="s">
        <v>780</v>
      </c>
      <c r="E31" s="10">
        <v>1993</v>
      </c>
      <c r="F31" s="10" t="s">
        <v>2664</v>
      </c>
      <c r="G31" s="10" t="s">
        <v>792</v>
      </c>
      <c r="H31" s="10" t="s">
        <v>781</v>
      </c>
      <c r="J31" s="10" t="s">
        <v>782</v>
      </c>
      <c r="K31" s="10" t="s">
        <v>783</v>
      </c>
      <c r="L31" s="10">
        <v>1</v>
      </c>
      <c r="M31" s="10">
        <v>1</v>
      </c>
      <c r="N31" s="10">
        <v>910</v>
      </c>
      <c r="P31" s="10">
        <f t="shared" si="5"/>
        <v>18400</v>
      </c>
      <c r="R31" s="10">
        <v>204</v>
      </c>
      <c r="T31" s="10">
        <f>16*950</f>
        <v>15200</v>
      </c>
      <c r="V31" s="31">
        <v>0</v>
      </c>
      <c r="W31" s="10" t="s">
        <v>2330</v>
      </c>
      <c r="Z31" s="32">
        <f t="shared" si="1"/>
        <v>0.22417582417582418</v>
      </c>
      <c r="AA31" s="14">
        <f t="shared" si="4"/>
        <v>0.82608695652173914</v>
      </c>
      <c r="AB31" s="13"/>
      <c r="AC31" s="14">
        <f t="shared" si="3"/>
        <v>1.0502627806975633</v>
      </c>
      <c r="AD31" s="14"/>
      <c r="AE31" s="14"/>
      <c r="AF31" s="14"/>
      <c r="AK31" s="10" t="s">
        <v>2</v>
      </c>
      <c r="AL31" s="10" t="s">
        <v>2</v>
      </c>
      <c r="AM31" s="10" t="s">
        <v>2603</v>
      </c>
    </row>
    <row r="32" spans="1:39" s="10" customFormat="1" x14ac:dyDescent="0.3">
      <c r="A32" s="10" t="s">
        <v>778</v>
      </c>
      <c r="B32" s="10" t="s">
        <v>779</v>
      </c>
      <c r="C32" s="10" t="s">
        <v>780</v>
      </c>
      <c r="E32" s="10">
        <v>1994</v>
      </c>
      <c r="F32" s="10" t="s">
        <v>2664</v>
      </c>
      <c r="G32" s="10" t="s">
        <v>793</v>
      </c>
      <c r="H32" s="10" t="s">
        <v>781</v>
      </c>
      <c r="J32" s="10" t="s">
        <v>782</v>
      </c>
      <c r="K32" s="10" t="s">
        <v>783</v>
      </c>
      <c r="L32" s="10">
        <v>1</v>
      </c>
      <c r="M32" s="10">
        <v>1</v>
      </c>
      <c r="N32" s="10">
        <v>898</v>
      </c>
      <c r="P32" s="10">
        <f t="shared" si="5"/>
        <v>18400</v>
      </c>
      <c r="R32" s="10">
        <v>289</v>
      </c>
      <c r="T32" s="10">
        <f>16*680</f>
        <v>10880</v>
      </c>
      <c r="V32" s="31">
        <v>0</v>
      </c>
      <c r="W32" s="10" t="s">
        <v>2330</v>
      </c>
      <c r="Z32" s="32">
        <f t="shared" si="1"/>
        <v>0.32182628062360802</v>
      </c>
      <c r="AA32" s="14">
        <f t="shared" si="4"/>
        <v>0.59130434782608698</v>
      </c>
      <c r="AB32" s="13"/>
      <c r="AC32" s="14">
        <f t="shared" si="3"/>
        <v>0.91313062844969495</v>
      </c>
      <c r="AD32" s="14"/>
      <c r="AE32" s="14"/>
      <c r="AF32" s="14"/>
      <c r="AK32" s="10" t="s">
        <v>2</v>
      </c>
      <c r="AL32" s="10" t="s">
        <v>2</v>
      </c>
      <c r="AM32" s="10" t="s">
        <v>2603</v>
      </c>
    </row>
    <row r="33" spans="1:39" s="10" customFormat="1" x14ac:dyDescent="0.3">
      <c r="A33" s="10" t="s">
        <v>778</v>
      </c>
      <c r="B33" s="10" t="s">
        <v>779</v>
      </c>
      <c r="C33" s="10" t="s">
        <v>780</v>
      </c>
      <c r="E33" s="10">
        <v>1995</v>
      </c>
      <c r="F33" s="10" t="s">
        <v>2664</v>
      </c>
      <c r="G33" s="10" t="s">
        <v>794</v>
      </c>
      <c r="H33" s="10" t="s">
        <v>781</v>
      </c>
      <c r="J33" s="10" t="s">
        <v>782</v>
      </c>
      <c r="K33" s="10" t="s">
        <v>783</v>
      </c>
      <c r="L33" s="10">
        <v>1</v>
      </c>
      <c r="M33" s="10">
        <v>1</v>
      </c>
      <c r="N33" s="10">
        <v>906</v>
      </c>
      <c r="P33" s="10">
        <f t="shared" si="5"/>
        <v>18400</v>
      </c>
      <c r="R33" s="10">
        <v>770</v>
      </c>
      <c r="T33" s="10">
        <f>16*510</f>
        <v>8160</v>
      </c>
      <c r="V33" s="31">
        <v>0</v>
      </c>
      <c r="W33" s="10" t="s">
        <v>2330</v>
      </c>
      <c r="Z33" s="32">
        <f t="shared" si="1"/>
        <v>0.84988962472406182</v>
      </c>
      <c r="AA33" s="14">
        <f t="shared" si="4"/>
        <v>0.44347826086956521</v>
      </c>
      <c r="AB33" s="13"/>
      <c r="AC33" s="14">
        <f t="shared" si="3"/>
        <v>1.293367885593627</v>
      </c>
      <c r="AD33" s="14"/>
      <c r="AE33" s="14"/>
      <c r="AF33" s="14"/>
      <c r="AK33" s="10" t="s">
        <v>2</v>
      </c>
      <c r="AL33" s="10" t="s">
        <v>2</v>
      </c>
      <c r="AM33" s="10" t="s">
        <v>2603</v>
      </c>
    </row>
    <row r="34" spans="1:39" s="10" customFormat="1" x14ac:dyDescent="0.3">
      <c r="A34" s="10" t="s">
        <v>778</v>
      </c>
      <c r="B34" s="10" t="s">
        <v>779</v>
      </c>
      <c r="C34" s="10" t="s">
        <v>780</v>
      </c>
      <c r="E34" s="10">
        <v>1996</v>
      </c>
      <c r="F34" s="10" t="s">
        <v>2664</v>
      </c>
      <c r="G34" s="10" t="s">
        <v>795</v>
      </c>
      <c r="H34" s="10" t="s">
        <v>781</v>
      </c>
      <c r="J34" s="10" t="s">
        <v>782</v>
      </c>
      <c r="K34" s="10" t="s">
        <v>783</v>
      </c>
      <c r="L34" s="10">
        <v>1</v>
      </c>
      <c r="M34" s="10">
        <v>1</v>
      </c>
      <c r="N34" s="10">
        <v>882</v>
      </c>
      <c r="P34" s="10">
        <f t="shared" si="5"/>
        <v>18400</v>
      </c>
      <c r="R34" s="10">
        <v>1006</v>
      </c>
      <c r="T34" s="10">
        <f>16*480</f>
        <v>7680</v>
      </c>
      <c r="V34" s="31">
        <v>2.6</v>
      </c>
      <c r="W34" s="10" t="s">
        <v>2330</v>
      </c>
      <c r="Z34" s="32">
        <f t="shared" ref="Z34:Z65" si="6">R34/N34</f>
        <v>1.1405895691609977</v>
      </c>
      <c r="AA34" s="14">
        <f t="shared" si="4"/>
        <v>0.41739130434782606</v>
      </c>
      <c r="AB34" s="13"/>
      <c r="AC34" s="14">
        <f t="shared" si="3"/>
        <v>1.5579808735088239</v>
      </c>
      <c r="AD34" s="14"/>
      <c r="AE34" s="14"/>
      <c r="AF34" s="14"/>
      <c r="AK34" s="10" t="s">
        <v>2</v>
      </c>
      <c r="AL34" s="10" t="s">
        <v>2</v>
      </c>
      <c r="AM34" s="10" t="s">
        <v>2603</v>
      </c>
    </row>
    <row r="35" spans="1:39" s="10" customFormat="1" x14ac:dyDescent="0.3">
      <c r="A35" s="10" t="s">
        <v>778</v>
      </c>
      <c r="B35" s="10" t="s">
        <v>779</v>
      </c>
      <c r="C35" s="10" t="s">
        <v>780</v>
      </c>
      <c r="E35" s="10">
        <v>1997</v>
      </c>
      <c r="F35" s="10" t="s">
        <v>2664</v>
      </c>
      <c r="G35" s="10" t="s">
        <v>796</v>
      </c>
      <c r="H35" s="10" t="s">
        <v>781</v>
      </c>
      <c r="J35" s="10" t="s">
        <v>782</v>
      </c>
      <c r="K35" s="10" t="s">
        <v>783</v>
      </c>
      <c r="L35" s="10">
        <v>1</v>
      </c>
      <c r="M35" s="10">
        <v>1</v>
      </c>
      <c r="N35" s="10">
        <v>1191</v>
      </c>
      <c r="P35" s="10">
        <f t="shared" si="5"/>
        <v>18400</v>
      </c>
      <c r="R35" s="10">
        <v>1058</v>
      </c>
      <c r="T35" s="10">
        <f>16*500</f>
        <v>8000</v>
      </c>
      <c r="V35" s="31">
        <v>8.8000000000000007</v>
      </c>
      <c r="W35" s="10" t="s">
        <v>2330</v>
      </c>
      <c r="Z35" s="32">
        <f t="shared" si="6"/>
        <v>0.88832913518052059</v>
      </c>
      <c r="AA35" s="14">
        <f t="shared" si="4"/>
        <v>0.43478260869565216</v>
      </c>
      <c r="AB35" s="13"/>
      <c r="AC35" s="14">
        <f t="shared" si="3"/>
        <v>1.3231117438761728</v>
      </c>
      <c r="AD35" s="14"/>
      <c r="AE35" s="14"/>
      <c r="AF35" s="14"/>
      <c r="AK35" s="10" t="s">
        <v>2</v>
      </c>
      <c r="AL35" s="10" t="s">
        <v>2</v>
      </c>
      <c r="AM35" s="10" t="s">
        <v>2603</v>
      </c>
    </row>
    <row r="36" spans="1:39" s="10" customFormat="1" x14ac:dyDescent="0.3">
      <c r="A36" s="10" t="s">
        <v>778</v>
      </c>
      <c r="B36" s="10" t="s">
        <v>779</v>
      </c>
      <c r="C36" s="10" t="s">
        <v>780</v>
      </c>
      <c r="E36" s="10">
        <v>1998</v>
      </c>
      <c r="F36" s="10" t="s">
        <v>2664</v>
      </c>
      <c r="G36" s="10" t="s">
        <v>797</v>
      </c>
      <c r="H36" s="10" t="s">
        <v>781</v>
      </c>
      <c r="J36" s="10" t="s">
        <v>782</v>
      </c>
      <c r="K36" s="10" t="s">
        <v>783</v>
      </c>
      <c r="L36" s="10">
        <v>1</v>
      </c>
      <c r="M36" s="10">
        <v>1</v>
      </c>
      <c r="N36" s="10">
        <v>845</v>
      </c>
      <c r="P36" s="10">
        <f t="shared" si="5"/>
        <v>18400</v>
      </c>
      <c r="R36" s="10">
        <v>1066</v>
      </c>
      <c r="T36" s="10">
        <f>16*500</f>
        <v>8000</v>
      </c>
      <c r="V36" s="31">
        <v>11.7</v>
      </c>
      <c r="W36" s="10" t="s">
        <v>2330</v>
      </c>
      <c r="Z36" s="32">
        <f t="shared" si="6"/>
        <v>1.2615384615384615</v>
      </c>
      <c r="AA36" s="14">
        <f t="shared" si="4"/>
        <v>0.43478260869565216</v>
      </c>
      <c r="AB36" s="13"/>
      <c r="AC36" s="14">
        <f t="shared" si="3"/>
        <v>1.6963210702341136</v>
      </c>
      <c r="AD36" s="14"/>
      <c r="AE36" s="14"/>
      <c r="AF36" s="14"/>
      <c r="AK36" s="10" t="s">
        <v>2</v>
      </c>
      <c r="AL36" s="10" t="s">
        <v>2</v>
      </c>
      <c r="AM36" s="10" t="s">
        <v>2603</v>
      </c>
    </row>
    <row r="37" spans="1:39" s="10" customFormat="1" x14ac:dyDescent="0.3">
      <c r="A37" s="10" t="s">
        <v>778</v>
      </c>
      <c r="B37" s="10" t="s">
        <v>779</v>
      </c>
      <c r="C37" s="10" t="s">
        <v>780</v>
      </c>
      <c r="E37" s="10">
        <v>1992</v>
      </c>
      <c r="F37" s="10" t="s">
        <v>2664</v>
      </c>
      <c r="G37" s="10" t="s">
        <v>798</v>
      </c>
      <c r="H37" s="10" t="s">
        <v>781</v>
      </c>
      <c r="J37" s="10" t="s">
        <v>782</v>
      </c>
      <c r="K37" s="10" t="s">
        <v>783</v>
      </c>
      <c r="L37" s="10">
        <v>1</v>
      </c>
      <c r="M37" s="10">
        <v>1</v>
      </c>
      <c r="N37" s="10">
        <v>251</v>
      </c>
      <c r="P37" s="10">
        <f>1150*16</f>
        <v>18400</v>
      </c>
      <c r="R37" s="10">
        <v>192</v>
      </c>
      <c r="T37" s="10">
        <f>16*780</f>
        <v>12480</v>
      </c>
      <c r="V37" s="31">
        <v>0</v>
      </c>
      <c r="W37" s="10" t="s">
        <v>2330</v>
      </c>
      <c r="Z37" s="32">
        <f t="shared" si="6"/>
        <v>0.76494023904382469</v>
      </c>
      <c r="AA37" s="14">
        <f t="shared" si="4"/>
        <v>0.67826086956521736</v>
      </c>
      <c r="AB37" s="13"/>
      <c r="AC37" s="14">
        <f t="shared" si="3"/>
        <v>1.4432011086090419</v>
      </c>
      <c r="AD37" s="14"/>
      <c r="AE37" s="14"/>
      <c r="AF37" s="14"/>
      <c r="AK37" s="10" t="s">
        <v>2</v>
      </c>
      <c r="AL37" s="10" t="s">
        <v>2</v>
      </c>
      <c r="AM37" s="10" t="s">
        <v>2603</v>
      </c>
    </row>
    <row r="38" spans="1:39" s="10" customFormat="1" x14ac:dyDescent="0.3">
      <c r="A38" s="10" t="s">
        <v>778</v>
      </c>
      <c r="B38" s="10" t="s">
        <v>779</v>
      </c>
      <c r="C38" s="10" t="s">
        <v>780</v>
      </c>
      <c r="E38" s="10">
        <v>1993</v>
      </c>
      <c r="F38" s="10" t="s">
        <v>2664</v>
      </c>
      <c r="G38" s="10" t="s">
        <v>799</v>
      </c>
      <c r="H38" s="10" t="s">
        <v>781</v>
      </c>
      <c r="J38" s="10" t="s">
        <v>782</v>
      </c>
      <c r="K38" s="10" t="s">
        <v>783</v>
      </c>
      <c r="L38" s="10">
        <v>1</v>
      </c>
      <c r="M38" s="10">
        <v>1</v>
      </c>
      <c r="N38" s="10">
        <v>910</v>
      </c>
      <c r="P38" s="10">
        <f t="shared" si="5"/>
        <v>18400</v>
      </c>
      <c r="R38" s="10">
        <v>225</v>
      </c>
      <c r="T38" s="10">
        <f>16*950</f>
        <v>15200</v>
      </c>
      <c r="V38" s="31">
        <v>0</v>
      </c>
      <c r="W38" s="10" t="s">
        <v>2330</v>
      </c>
      <c r="Z38" s="32">
        <f t="shared" si="6"/>
        <v>0.24725274725274726</v>
      </c>
      <c r="AA38" s="14">
        <f t="shared" si="4"/>
        <v>0.82608695652173914</v>
      </c>
      <c r="AB38" s="13"/>
      <c r="AC38" s="14">
        <f t="shared" si="3"/>
        <v>1.0733397037744865</v>
      </c>
      <c r="AD38" s="14"/>
      <c r="AE38" s="14"/>
      <c r="AF38" s="14"/>
      <c r="AK38" s="10" t="s">
        <v>2</v>
      </c>
      <c r="AL38" s="10" t="s">
        <v>2</v>
      </c>
      <c r="AM38" s="10" t="s">
        <v>2603</v>
      </c>
    </row>
    <row r="39" spans="1:39" s="10" customFormat="1" x14ac:dyDescent="0.3">
      <c r="A39" s="10" t="s">
        <v>778</v>
      </c>
      <c r="B39" s="10" t="s">
        <v>779</v>
      </c>
      <c r="C39" s="10" t="s">
        <v>780</v>
      </c>
      <c r="E39" s="10">
        <v>1994</v>
      </c>
      <c r="F39" s="10" t="s">
        <v>2664</v>
      </c>
      <c r="G39" s="10" t="s">
        <v>800</v>
      </c>
      <c r="H39" s="10" t="s">
        <v>781</v>
      </c>
      <c r="J39" s="10" t="s">
        <v>782</v>
      </c>
      <c r="K39" s="10" t="s">
        <v>783</v>
      </c>
      <c r="L39" s="10">
        <v>1</v>
      </c>
      <c r="M39" s="10">
        <v>1</v>
      </c>
      <c r="N39" s="10">
        <v>898</v>
      </c>
      <c r="P39" s="10">
        <f t="shared" si="5"/>
        <v>18400</v>
      </c>
      <c r="R39" s="10">
        <v>325</v>
      </c>
      <c r="T39" s="10">
        <f>16*600</f>
        <v>9600</v>
      </c>
      <c r="V39" s="31">
        <v>0</v>
      </c>
      <c r="W39" s="10" t="s">
        <v>2330</v>
      </c>
      <c r="Z39" s="32">
        <f t="shared" si="6"/>
        <v>0.36191536748329622</v>
      </c>
      <c r="AA39" s="14">
        <f t="shared" si="4"/>
        <v>0.52173913043478259</v>
      </c>
      <c r="AB39" s="13"/>
      <c r="AC39" s="14">
        <f t="shared" si="3"/>
        <v>0.88365449791807882</v>
      </c>
      <c r="AD39" s="14"/>
      <c r="AE39" s="14"/>
      <c r="AF39" s="14"/>
      <c r="AK39" s="10" t="s">
        <v>2</v>
      </c>
      <c r="AL39" s="10" t="s">
        <v>2</v>
      </c>
      <c r="AM39" s="10" t="s">
        <v>2603</v>
      </c>
    </row>
    <row r="40" spans="1:39" s="10" customFormat="1" x14ac:dyDescent="0.3">
      <c r="A40" s="10" t="s">
        <v>778</v>
      </c>
      <c r="B40" s="10" t="s">
        <v>779</v>
      </c>
      <c r="C40" s="10" t="s">
        <v>780</v>
      </c>
      <c r="E40" s="10">
        <v>1995</v>
      </c>
      <c r="F40" s="10" t="s">
        <v>2664</v>
      </c>
      <c r="G40" s="10" t="s">
        <v>801</v>
      </c>
      <c r="H40" s="10" t="s">
        <v>781</v>
      </c>
      <c r="J40" s="10" t="s">
        <v>782</v>
      </c>
      <c r="K40" s="10" t="s">
        <v>783</v>
      </c>
      <c r="L40" s="10">
        <v>1</v>
      </c>
      <c r="M40" s="10">
        <v>1</v>
      </c>
      <c r="N40" s="10">
        <v>906</v>
      </c>
      <c r="P40" s="10">
        <f t="shared" si="5"/>
        <v>18400</v>
      </c>
      <c r="R40" s="10">
        <v>866</v>
      </c>
      <c r="T40" s="10">
        <f>16*400</f>
        <v>6400</v>
      </c>
      <c r="V40" s="31">
        <v>0</v>
      </c>
      <c r="W40" s="10" t="s">
        <v>2330</v>
      </c>
      <c r="Z40" s="32">
        <f t="shared" si="6"/>
        <v>0.95584988962472406</v>
      </c>
      <c r="AA40" s="14">
        <f t="shared" si="4"/>
        <v>0.34782608695652173</v>
      </c>
      <c r="AB40" s="13"/>
      <c r="AC40" s="14">
        <f t="shared" si="3"/>
        <v>1.3036759765812458</v>
      </c>
      <c r="AD40" s="14"/>
      <c r="AE40" s="14"/>
      <c r="AF40" s="14"/>
      <c r="AK40" s="10" t="s">
        <v>2</v>
      </c>
      <c r="AL40" s="10" t="s">
        <v>2</v>
      </c>
      <c r="AM40" s="10" t="s">
        <v>2603</v>
      </c>
    </row>
    <row r="41" spans="1:39" s="10" customFormat="1" x14ac:dyDescent="0.3">
      <c r="A41" s="10" t="s">
        <v>778</v>
      </c>
      <c r="B41" s="10" t="s">
        <v>779</v>
      </c>
      <c r="C41" s="10" t="s">
        <v>780</v>
      </c>
      <c r="E41" s="10">
        <v>1996</v>
      </c>
      <c r="F41" s="10" t="s">
        <v>2664</v>
      </c>
      <c r="G41" s="10" t="s">
        <v>802</v>
      </c>
      <c r="H41" s="10" t="s">
        <v>781</v>
      </c>
      <c r="J41" s="10" t="s">
        <v>782</v>
      </c>
      <c r="K41" s="10" t="s">
        <v>783</v>
      </c>
      <c r="L41" s="10">
        <v>1</v>
      </c>
      <c r="M41" s="10">
        <v>1</v>
      </c>
      <c r="N41" s="10">
        <v>882</v>
      </c>
      <c r="P41" s="10">
        <f t="shared" si="5"/>
        <v>18400</v>
      </c>
      <c r="R41" s="10">
        <v>1133</v>
      </c>
      <c r="T41" s="10">
        <f>16*380</f>
        <v>6080</v>
      </c>
      <c r="V41" s="31">
        <v>2.6</v>
      </c>
      <c r="W41" s="10" t="s">
        <v>2330</v>
      </c>
      <c r="Z41" s="32">
        <f t="shared" si="6"/>
        <v>1.2845804988662131</v>
      </c>
      <c r="AA41" s="14">
        <f t="shared" si="4"/>
        <v>0.33043478260869563</v>
      </c>
      <c r="AB41" s="13"/>
      <c r="AC41" s="14">
        <f t="shared" si="3"/>
        <v>1.6150152814749088</v>
      </c>
      <c r="AD41" s="14"/>
      <c r="AE41" s="14"/>
      <c r="AF41" s="14"/>
      <c r="AK41" s="10" t="s">
        <v>2</v>
      </c>
      <c r="AL41" s="10" t="s">
        <v>2</v>
      </c>
      <c r="AM41" s="10" t="s">
        <v>2603</v>
      </c>
    </row>
    <row r="42" spans="1:39" s="10" customFormat="1" x14ac:dyDescent="0.3">
      <c r="A42" s="10" t="s">
        <v>778</v>
      </c>
      <c r="B42" s="10" t="s">
        <v>779</v>
      </c>
      <c r="C42" s="10" t="s">
        <v>780</v>
      </c>
      <c r="E42" s="10">
        <v>1997</v>
      </c>
      <c r="F42" s="10" t="s">
        <v>2664</v>
      </c>
      <c r="G42" s="10" t="s">
        <v>803</v>
      </c>
      <c r="H42" s="10" t="s">
        <v>781</v>
      </c>
      <c r="J42" s="10" t="s">
        <v>782</v>
      </c>
      <c r="K42" s="10" t="s">
        <v>783</v>
      </c>
      <c r="L42" s="10">
        <v>1</v>
      </c>
      <c r="M42" s="10">
        <v>1</v>
      </c>
      <c r="N42" s="10">
        <v>1191</v>
      </c>
      <c r="P42" s="10">
        <f t="shared" si="5"/>
        <v>18400</v>
      </c>
      <c r="R42" s="10">
        <v>1191</v>
      </c>
      <c r="T42" s="10">
        <f>16*400</f>
        <v>6400</v>
      </c>
      <c r="V42" s="31">
        <v>8.8000000000000007</v>
      </c>
      <c r="W42" s="10" t="s">
        <v>2330</v>
      </c>
      <c r="Z42" s="32">
        <f t="shared" si="6"/>
        <v>1</v>
      </c>
      <c r="AA42" s="14">
        <f t="shared" si="4"/>
        <v>0.34782608695652173</v>
      </c>
      <c r="AB42" s="13"/>
      <c r="AC42" s="14">
        <f t="shared" si="3"/>
        <v>1.3478260869565217</v>
      </c>
      <c r="AD42" s="14"/>
      <c r="AE42" s="14"/>
      <c r="AF42" s="14"/>
      <c r="AK42" s="10" t="s">
        <v>2</v>
      </c>
      <c r="AL42" s="10" t="s">
        <v>2</v>
      </c>
      <c r="AM42" s="10" t="s">
        <v>2603</v>
      </c>
    </row>
    <row r="43" spans="1:39" s="10" customFormat="1" x14ac:dyDescent="0.3">
      <c r="A43" s="10" t="s">
        <v>778</v>
      </c>
      <c r="B43" s="10" t="s">
        <v>779</v>
      </c>
      <c r="C43" s="10" t="s">
        <v>780</v>
      </c>
      <c r="E43" s="10">
        <v>1998</v>
      </c>
      <c r="F43" s="10" t="s">
        <v>2664</v>
      </c>
      <c r="G43" s="10" t="s">
        <v>804</v>
      </c>
      <c r="H43" s="10" t="s">
        <v>781</v>
      </c>
      <c r="J43" s="10" t="s">
        <v>782</v>
      </c>
      <c r="K43" s="10" t="s">
        <v>783</v>
      </c>
      <c r="L43" s="10">
        <v>1</v>
      </c>
      <c r="M43" s="10">
        <v>1</v>
      </c>
      <c r="N43" s="10">
        <v>845</v>
      </c>
      <c r="P43" s="10">
        <f t="shared" si="5"/>
        <v>18400</v>
      </c>
      <c r="R43" s="10">
        <v>1200</v>
      </c>
      <c r="T43" s="10">
        <f>16*400</f>
        <v>6400</v>
      </c>
      <c r="V43" s="31">
        <v>11.7</v>
      </c>
      <c r="W43" s="10" t="s">
        <v>2330</v>
      </c>
      <c r="Z43" s="32">
        <f t="shared" si="6"/>
        <v>1.4201183431952662</v>
      </c>
      <c r="AA43" s="14">
        <f t="shared" si="4"/>
        <v>0.34782608695652173</v>
      </c>
      <c r="AB43" s="13"/>
      <c r="AC43" s="14">
        <f t="shared" si="3"/>
        <v>1.7679444301517879</v>
      </c>
      <c r="AD43" s="14"/>
      <c r="AE43" s="14"/>
      <c r="AF43" s="14"/>
      <c r="AK43" s="10" t="s">
        <v>2</v>
      </c>
      <c r="AL43" s="10" t="s">
        <v>2</v>
      </c>
      <c r="AM43" s="10" t="s">
        <v>2603</v>
      </c>
    </row>
    <row r="44" spans="1:39" s="10" customFormat="1" x14ac:dyDescent="0.3">
      <c r="A44" s="10" t="s">
        <v>778</v>
      </c>
      <c r="B44" s="10" t="s">
        <v>779</v>
      </c>
      <c r="C44" s="10" t="s">
        <v>780</v>
      </c>
      <c r="E44" s="10">
        <v>1992</v>
      </c>
      <c r="F44" s="10" t="s">
        <v>2664</v>
      </c>
      <c r="G44" s="10" t="s">
        <v>805</v>
      </c>
      <c r="H44" s="10" t="s">
        <v>781</v>
      </c>
      <c r="J44" s="10" t="s">
        <v>782</v>
      </c>
      <c r="K44" s="10" t="s">
        <v>783</v>
      </c>
      <c r="L44" s="10">
        <v>1</v>
      </c>
      <c r="M44" s="10">
        <v>1</v>
      </c>
      <c r="N44" s="10">
        <v>251</v>
      </c>
      <c r="P44" s="10">
        <f>1150*16</f>
        <v>18400</v>
      </c>
      <c r="R44" s="10">
        <v>85</v>
      </c>
      <c r="T44" s="10">
        <f>16*1050</f>
        <v>16800</v>
      </c>
      <c r="V44" s="31">
        <v>0</v>
      </c>
      <c r="W44" s="10" t="s">
        <v>2330</v>
      </c>
      <c r="Z44" s="32">
        <f t="shared" si="6"/>
        <v>0.3386454183266932</v>
      </c>
      <c r="AA44" s="14">
        <f t="shared" si="4"/>
        <v>0.91304347826086951</v>
      </c>
      <c r="AB44" s="13"/>
      <c r="AC44" s="14">
        <f t="shared" si="3"/>
        <v>1.2516888965875628</v>
      </c>
      <c r="AD44" s="14"/>
      <c r="AE44" s="14"/>
      <c r="AF44" s="14"/>
      <c r="AK44" s="10" t="s">
        <v>2</v>
      </c>
      <c r="AL44" s="10" t="s">
        <v>2</v>
      </c>
      <c r="AM44" s="10" t="s">
        <v>2603</v>
      </c>
    </row>
    <row r="45" spans="1:39" s="10" customFormat="1" x14ac:dyDescent="0.3">
      <c r="A45" s="10" t="s">
        <v>778</v>
      </c>
      <c r="B45" s="10" t="s">
        <v>779</v>
      </c>
      <c r="C45" s="10" t="s">
        <v>780</v>
      </c>
      <c r="E45" s="10">
        <v>1993</v>
      </c>
      <c r="F45" s="10" t="s">
        <v>2664</v>
      </c>
      <c r="G45" s="10" t="s">
        <v>806</v>
      </c>
      <c r="H45" s="10" t="s">
        <v>781</v>
      </c>
      <c r="J45" s="10" t="s">
        <v>782</v>
      </c>
      <c r="K45" s="10" t="s">
        <v>783</v>
      </c>
      <c r="L45" s="10">
        <v>1</v>
      </c>
      <c r="M45" s="10">
        <v>1</v>
      </c>
      <c r="N45" s="10">
        <v>910</v>
      </c>
      <c r="P45" s="10">
        <f t="shared" si="5"/>
        <v>18400</v>
      </c>
      <c r="R45" s="10">
        <v>100</v>
      </c>
      <c r="T45" s="10">
        <f>16*1280</f>
        <v>20480</v>
      </c>
      <c r="V45" s="31">
        <v>0</v>
      </c>
      <c r="W45" s="10" t="s">
        <v>2330</v>
      </c>
      <c r="Z45" s="32">
        <f t="shared" si="6"/>
        <v>0.10989010989010989</v>
      </c>
      <c r="AA45" s="14">
        <f t="shared" si="4"/>
        <v>1.1130434782608696</v>
      </c>
      <c r="AB45" s="13"/>
      <c r="AC45" s="14">
        <f t="shared" si="3"/>
        <v>1.2229335881509795</v>
      </c>
      <c r="AD45" s="14"/>
      <c r="AE45" s="14"/>
      <c r="AF45" s="14"/>
      <c r="AK45" s="10" t="s">
        <v>2</v>
      </c>
      <c r="AL45" s="10" t="s">
        <v>2</v>
      </c>
      <c r="AM45" s="10" t="s">
        <v>2603</v>
      </c>
    </row>
    <row r="46" spans="1:39" s="10" customFormat="1" x14ac:dyDescent="0.3">
      <c r="A46" s="10" t="s">
        <v>778</v>
      </c>
      <c r="B46" s="10" t="s">
        <v>779</v>
      </c>
      <c r="C46" s="10" t="s">
        <v>780</v>
      </c>
      <c r="E46" s="10">
        <v>1994</v>
      </c>
      <c r="F46" s="10" t="s">
        <v>2664</v>
      </c>
      <c r="G46" s="10" t="s">
        <v>807</v>
      </c>
      <c r="H46" s="10" t="s">
        <v>781</v>
      </c>
      <c r="J46" s="10" t="s">
        <v>782</v>
      </c>
      <c r="K46" s="10" t="s">
        <v>783</v>
      </c>
      <c r="L46" s="10">
        <v>1</v>
      </c>
      <c r="M46" s="10">
        <v>1</v>
      </c>
      <c r="N46" s="10">
        <v>898</v>
      </c>
      <c r="P46" s="10">
        <f t="shared" si="5"/>
        <v>18400</v>
      </c>
      <c r="R46" s="10">
        <v>144</v>
      </c>
      <c r="T46" s="10">
        <f>16*1080</f>
        <v>17280</v>
      </c>
      <c r="V46" s="31">
        <v>0</v>
      </c>
      <c r="W46" s="10" t="s">
        <v>2330</v>
      </c>
      <c r="Z46" s="32">
        <f t="shared" si="6"/>
        <v>0.16035634743875279</v>
      </c>
      <c r="AA46" s="14">
        <f t="shared" si="4"/>
        <v>0.93913043478260871</v>
      </c>
      <c r="AB46" s="13"/>
      <c r="AC46" s="14">
        <f t="shared" si="3"/>
        <v>1.0994867822213614</v>
      </c>
      <c r="AD46" s="14"/>
      <c r="AE46" s="14"/>
      <c r="AF46" s="14"/>
      <c r="AK46" s="10" t="s">
        <v>2</v>
      </c>
      <c r="AL46" s="10" t="s">
        <v>2</v>
      </c>
      <c r="AM46" s="10" t="s">
        <v>2603</v>
      </c>
    </row>
    <row r="47" spans="1:39" s="10" customFormat="1" x14ac:dyDescent="0.3">
      <c r="A47" s="10" t="s">
        <v>778</v>
      </c>
      <c r="B47" s="10" t="s">
        <v>779</v>
      </c>
      <c r="C47" s="10" t="s">
        <v>780</v>
      </c>
      <c r="E47" s="10">
        <v>1995</v>
      </c>
      <c r="F47" s="10" t="s">
        <v>2664</v>
      </c>
      <c r="G47" s="10" t="s">
        <v>808</v>
      </c>
      <c r="H47" s="10" t="s">
        <v>781</v>
      </c>
      <c r="J47" s="10" t="s">
        <v>782</v>
      </c>
      <c r="K47" s="10" t="s">
        <v>783</v>
      </c>
      <c r="L47" s="10">
        <v>1</v>
      </c>
      <c r="M47" s="10">
        <v>1</v>
      </c>
      <c r="N47" s="10">
        <v>906</v>
      </c>
      <c r="P47" s="10">
        <f t="shared" si="5"/>
        <v>18400</v>
      </c>
      <c r="R47" s="10">
        <v>385</v>
      </c>
      <c r="T47" s="10">
        <f>16*1020</f>
        <v>16320</v>
      </c>
      <c r="V47" s="31">
        <v>0</v>
      </c>
      <c r="W47" s="10" t="s">
        <v>2330</v>
      </c>
      <c r="Z47" s="32">
        <f t="shared" si="6"/>
        <v>0.42494481236203091</v>
      </c>
      <c r="AA47" s="14">
        <f t="shared" si="4"/>
        <v>0.88695652173913042</v>
      </c>
      <c r="AB47" s="13"/>
      <c r="AC47" s="14">
        <f t="shared" si="3"/>
        <v>1.3119013341011614</v>
      </c>
      <c r="AD47" s="14"/>
      <c r="AE47" s="14"/>
      <c r="AF47" s="14"/>
      <c r="AK47" s="10" t="s">
        <v>2</v>
      </c>
      <c r="AL47" s="10" t="s">
        <v>2</v>
      </c>
      <c r="AM47" s="10" t="s">
        <v>2603</v>
      </c>
    </row>
    <row r="48" spans="1:39" s="10" customFormat="1" x14ac:dyDescent="0.3">
      <c r="A48" s="10" t="s">
        <v>778</v>
      </c>
      <c r="B48" s="10" t="s">
        <v>779</v>
      </c>
      <c r="C48" s="10" t="s">
        <v>780</v>
      </c>
      <c r="E48" s="10">
        <v>1996</v>
      </c>
      <c r="F48" s="10" t="s">
        <v>2664</v>
      </c>
      <c r="G48" s="10" t="s">
        <v>809</v>
      </c>
      <c r="H48" s="10" t="s">
        <v>781</v>
      </c>
      <c r="J48" s="10" t="s">
        <v>782</v>
      </c>
      <c r="K48" s="10" t="s">
        <v>783</v>
      </c>
      <c r="L48" s="10">
        <v>1</v>
      </c>
      <c r="M48" s="10">
        <v>1</v>
      </c>
      <c r="N48" s="10">
        <v>882</v>
      </c>
      <c r="P48" s="10">
        <f t="shared" si="5"/>
        <v>18400</v>
      </c>
      <c r="R48" s="10">
        <v>503</v>
      </c>
      <c r="T48" s="10">
        <f>16*930</f>
        <v>14880</v>
      </c>
      <c r="V48" s="31">
        <v>2.6</v>
      </c>
      <c r="W48" s="10" t="s">
        <v>2330</v>
      </c>
      <c r="Z48" s="32">
        <f t="shared" si="6"/>
        <v>0.57029478458049887</v>
      </c>
      <c r="AA48" s="14">
        <f t="shared" si="4"/>
        <v>0.80869565217391304</v>
      </c>
      <c r="AB48" s="13"/>
      <c r="AC48" s="14">
        <f t="shared" si="3"/>
        <v>1.3789904367544119</v>
      </c>
      <c r="AD48" s="14"/>
      <c r="AE48" s="14"/>
      <c r="AF48" s="14"/>
      <c r="AK48" s="10" t="s">
        <v>2</v>
      </c>
      <c r="AL48" s="10" t="s">
        <v>2</v>
      </c>
      <c r="AM48" s="10" t="s">
        <v>2603</v>
      </c>
    </row>
    <row r="49" spans="1:39" s="10" customFormat="1" x14ac:dyDescent="0.3">
      <c r="A49" s="10" t="s">
        <v>778</v>
      </c>
      <c r="B49" s="10" t="s">
        <v>779</v>
      </c>
      <c r="C49" s="10" t="s">
        <v>780</v>
      </c>
      <c r="E49" s="10">
        <v>1997</v>
      </c>
      <c r="F49" s="10" t="s">
        <v>2664</v>
      </c>
      <c r="G49" s="10" t="s">
        <v>810</v>
      </c>
      <c r="H49" s="10" t="s">
        <v>781</v>
      </c>
      <c r="J49" s="10" t="s">
        <v>782</v>
      </c>
      <c r="K49" s="10" t="s">
        <v>783</v>
      </c>
      <c r="L49" s="10">
        <v>1</v>
      </c>
      <c r="M49" s="10">
        <v>1</v>
      </c>
      <c r="N49" s="10">
        <v>1191</v>
      </c>
      <c r="P49" s="10">
        <f t="shared" si="5"/>
        <v>18400</v>
      </c>
      <c r="R49" s="10">
        <v>529</v>
      </c>
      <c r="T49" s="10">
        <f>16*1000</f>
        <v>16000</v>
      </c>
      <c r="V49" s="31">
        <v>8.8000000000000007</v>
      </c>
      <c r="W49" s="10" t="s">
        <v>2330</v>
      </c>
      <c r="Z49" s="32">
        <f t="shared" si="6"/>
        <v>0.4441645675902603</v>
      </c>
      <c r="AA49" s="14">
        <f t="shared" si="4"/>
        <v>0.86956521739130432</v>
      </c>
      <c r="AB49" s="13"/>
      <c r="AC49" s="14">
        <f t="shared" si="3"/>
        <v>1.3137297849815646</v>
      </c>
      <c r="AD49" s="14"/>
      <c r="AE49" s="14"/>
      <c r="AF49" s="14"/>
      <c r="AK49" s="10" t="s">
        <v>2</v>
      </c>
      <c r="AL49" s="10" t="s">
        <v>2</v>
      </c>
      <c r="AM49" s="10" t="s">
        <v>2603</v>
      </c>
    </row>
    <row r="50" spans="1:39" s="10" customFormat="1" x14ac:dyDescent="0.3">
      <c r="A50" s="10" t="s">
        <v>778</v>
      </c>
      <c r="B50" s="10" t="s">
        <v>779</v>
      </c>
      <c r="C50" s="10" t="s">
        <v>780</v>
      </c>
      <c r="E50" s="10">
        <v>1998</v>
      </c>
      <c r="F50" s="10" t="s">
        <v>2664</v>
      </c>
      <c r="G50" s="10" t="s">
        <v>811</v>
      </c>
      <c r="H50" s="10" t="s">
        <v>781</v>
      </c>
      <c r="J50" s="10" t="s">
        <v>782</v>
      </c>
      <c r="K50" s="10" t="s">
        <v>783</v>
      </c>
      <c r="L50" s="10">
        <v>1</v>
      </c>
      <c r="M50" s="10">
        <v>1</v>
      </c>
      <c r="N50" s="10">
        <v>845</v>
      </c>
      <c r="P50" s="10">
        <f t="shared" si="5"/>
        <v>18400</v>
      </c>
      <c r="R50" s="10">
        <v>533</v>
      </c>
      <c r="T50" s="10">
        <f>16*1000</f>
        <v>16000</v>
      </c>
      <c r="V50" s="31">
        <v>11.7</v>
      </c>
      <c r="W50" s="10" t="s">
        <v>2330</v>
      </c>
      <c r="Z50" s="32">
        <f t="shared" si="6"/>
        <v>0.63076923076923075</v>
      </c>
      <c r="AA50" s="14">
        <f t="shared" si="4"/>
        <v>0.86956521739130432</v>
      </c>
      <c r="AB50" s="13"/>
      <c r="AC50" s="14">
        <f t="shared" si="3"/>
        <v>1.500334448160535</v>
      </c>
      <c r="AD50" s="14"/>
      <c r="AE50" s="14"/>
      <c r="AF50" s="14"/>
      <c r="AK50" s="10" t="s">
        <v>2</v>
      </c>
      <c r="AL50" s="10" t="s">
        <v>2</v>
      </c>
      <c r="AM50" s="10" t="s">
        <v>2603</v>
      </c>
    </row>
    <row r="51" spans="1:39" s="10" customFormat="1" x14ac:dyDescent="0.3">
      <c r="A51" s="10" t="s">
        <v>778</v>
      </c>
      <c r="B51" s="10" t="s">
        <v>779</v>
      </c>
      <c r="C51" s="10" t="s">
        <v>780</v>
      </c>
      <c r="E51" s="10">
        <v>1992</v>
      </c>
      <c r="F51" s="10" t="s">
        <v>2664</v>
      </c>
      <c r="G51" s="10" t="s">
        <v>812</v>
      </c>
      <c r="H51" s="10" t="s">
        <v>781</v>
      </c>
      <c r="J51" s="10" t="s">
        <v>782</v>
      </c>
      <c r="K51" s="10" t="s">
        <v>783</v>
      </c>
      <c r="L51" s="10">
        <v>1</v>
      </c>
      <c r="M51" s="10">
        <v>1</v>
      </c>
      <c r="N51" s="10">
        <v>251</v>
      </c>
      <c r="P51" s="10">
        <f>1150*16</f>
        <v>18400</v>
      </c>
      <c r="R51" s="10">
        <v>64</v>
      </c>
      <c r="T51" s="10">
        <f>16*1150</f>
        <v>18400</v>
      </c>
      <c r="V51" s="31">
        <v>0</v>
      </c>
      <c r="W51" s="10" t="s">
        <v>2330</v>
      </c>
      <c r="Z51" s="32">
        <f t="shared" si="6"/>
        <v>0.2549800796812749</v>
      </c>
      <c r="AA51" s="14">
        <f t="shared" si="4"/>
        <v>1</v>
      </c>
      <c r="AB51" s="13"/>
      <c r="AC51" s="14">
        <f t="shared" si="3"/>
        <v>1.2549800796812749</v>
      </c>
      <c r="AD51" s="14"/>
      <c r="AE51" s="14"/>
      <c r="AF51" s="14"/>
      <c r="AK51" s="10" t="s">
        <v>2</v>
      </c>
      <c r="AL51" s="10" t="s">
        <v>2</v>
      </c>
      <c r="AM51" s="10" t="s">
        <v>2603</v>
      </c>
    </row>
    <row r="52" spans="1:39" s="10" customFormat="1" x14ac:dyDescent="0.3">
      <c r="A52" s="10" t="s">
        <v>778</v>
      </c>
      <c r="B52" s="10" t="s">
        <v>779</v>
      </c>
      <c r="C52" s="10" t="s">
        <v>780</v>
      </c>
      <c r="E52" s="10">
        <v>1993</v>
      </c>
      <c r="F52" s="10" t="s">
        <v>2664</v>
      </c>
      <c r="G52" s="10" t="s">
        <v>813</v>
      </c>
      <c r="H52" s="10" t="s">
        <v>781</v>
      </c>
      <c r="J52" s="10" t="s">
        <v>782</v>
      </c>
      <c r="K52" s="10" t="s">
        <v>783</v>
      </c>
      <c r="L52" s="10">
        <v>1</v>
      </c>
      <c r="M52" s="10">
        <v>1</v>
      </c>
      <c r="N52" s="10">
        <v>910</v>
      </c>
      <c r="P52" s="10">
        <f t="shared" si="5"/>
        <v>18400</v>
      </c>
      <c r="R52" s="10">
        <v>75</v>
      </c>
      <c r="T52" s="10">
        <f>16*1420</f>
        <v>22720</v>
      </c>
      <c r="V52" s="31">
        <v>0</v>
      </c>
      <c r="W52" s="10" t="s">
        <v>2330</v>
      </c>
      <c r="Z52" s="32">
        <f t="shared" si="6"/>
        <v>8.2417582417582416E-2</v>
      </c>
      <c r="AA52" s="14">
        <f t="shared" si="4"/>
        <v>1.2347826086956522</v>
      </c>
      <c r="AB52" s="13"/>
      <c r="AC52" s="14">
        <f t="shared" si="3"/>
        <v>1.3172001911132345</v>
      </c>
      <c r="AD52" s="14"/>
      <c r="AE52" s="14"/>
      <c r="AF52" s="14"/>
      <c r="AK52" s="10" t="s">
        <v>2</v>
      </c>
      <c r="AL52" s="10" t="s">
        <v>2</v>
      </c>
      <c r="AM52" s="10" t="s">
        <v>2603</v>
      </c>
    </row>
    <row r="53" spans="1:39" s="10" customFormat="1" x14ac:dyDescent="0.3">
      <c r="A53" s="10" t="s">
        <v>778</v>
      </c>
      <c r="B53" s="10" t="s">
        <v>779</v>
      </c>
      <c r="C53" s="10" t="s">
        <v>780</v>
      </c>
      <c r="E53" s="10">
        <v>1994</v>
      </c>
      <c r="F53" s="10" t="s">
        <v>2664</v>
      </c>
      <c r="G53" s="10" t="s">
        <v>814</v>
      </c>
      <c r="H53" s="10" t="s">
        <v>781</v>
      </c>
      <c r="J53" s="10" t="s">
        <v>782</v>
      </c>
      <c r="K53" s="10" t="s">
        <v>783</v>
      </c>
      <c r="L53" s="10">
        <v>1</v>
      </c>
      <c r="M53" s="10">
        <v>1</v>
      </c>
      <c r="N53" s="10">
        <v>898</v>
      </c>
      <c r="P53" s="10">
        <f t="shared" si="5"/>
        <v>18400</v>
      </c>
      <c r="R53" s="10">
        <v>108</v>
      </c>
      <c r="T53" s="10">
        <f>16*1200</f>
        <v>19200</v>
      </c>
      <c r="V53" s="31">
        <v>0</v>
      </c>
      <c r="W53" s="10" t="s">
        <v>2330</v>
      </c>
      <c r="Z53" s="32">
        <f t="shared" si="6"/>
        <v>0.12026726057906459</v>
      </c>
      <c r="AA53" s="14">
        <f t="shared" si="4"/>
        <v>1.0434782608695652</v>
      </c>
      <c r="AB53" s="13"/>
      <c r="AC53" s="14">
        <f t="shared" si="3"/>
        <v>1.1637455214486299</v>
      </c>
      <c r="AD53" s="14"/>
      <c r="AE53" s="14"/>
      <c r="AF53" s="14"/>
      <c r="AK53" s="10" t="s">
        <v>2</v>
      </c>
      <c r="AL53" s="10" t="s">
        <v>2</v>
      </c>
      <c r="AM53" s="10" t="s">
        <v>2603</v>
      </c>
    </row>
    <row r="54" spans="1:39" s="10" customFormat="1" x14ac:dyDescent="0.3">
      <c r="A54" s="10" t="s">
        <v>778</v>
      </c>
      <c r="B54" s="10" t="s">
        <v>779</v>
      </c>
      <c r="C54" s="10" t="s">
        <v>780</v>
      </c>
      <c r="E54" s="10">
        <v>1995</v>
      </c>
      <c r="F54" s="10" t="s">
        <v>2664</v>
      </c>
      <c r="G54" s="10" t="s">
        <v>815</v>
      </c>
      <c r="H54" s="10" t="s">
        <v>781</v>
      </c>
      <c r="J54" s="10" t="s">
        <v>782</v>
      </c>
      <c r="K54" s="10" t="s">
        <v>783</v>
      </c>
      <c r="L54" s="10">
        <v>1</v>
      </c>
      <c r="M54" s="10">
        <v>1</v>
      </c>
      <c r="N54" s="10">
        <v>906</v>
      </c>
      <c r="P54" s="10">
        <f t="shared" si="5"/>
        <v>18400</v>
      </c>
      <c r="R54" s="10">
        <v>289</v>
      </c>
      <c r="T54" s="10">
        <f>16*1150</f>
        <v>18400</v>
      </c>
      <c r="V54" s="31">
        <v>0</v>
      </c>
      <c r="W54" s="10" t="s">
        <v>2330</v>
      </c>
      <c r="Z54" s="32">
        <f t="shared" si="6"/>
        <v>0.31898454746136867</v>
      </c>
      <c r="AA54" s="14">
        <f t="shared" si="4"/>
        <v>1</v>
      </c>
      <c r="AB54" s="13"/>
      <c r="AC54" s="14">
        <f t="shared" si="3"/>
        <v>1.3189845474613686</v>
      </c>
      <c r="AD54" s="14"/>
      <c r="AE54" s="14"/>
      <c r="AF54" s="14"/>
      <c r="AK54" s="10" t="s">
        <v>2</v>
      </c>
      <c r="AL54" s="10" t="s">
        <v>2</v>
      </c>
      <c r="AM54" s="10" t="s">
        <v>2603</v>
      </c>
    </row>
    <row r="55" spans="1:39" s="10" customFormat="1" x14ac:dyDescent="0.3">
      <c r="A55" s="10" t="s">
        <v>778</v>
      </c>
      <c r="B55" s="10" t="s">
        <v>779</v>
      </c>
      <c r="C55" s="10" t="s">
        <v>780</v>
      </c>
      <c r="E55" s="10">
        <v>1996</v>
      </c>
      <c r="F55" s="10" t="s">
        <v>2664</v>
      </c>
      <c r="G55" s="10" t="s">
        <v>816</v>
      </c>
      <c r="H55" s="10" t="s">
        <v>781</v>
      </c>
      <c r="J55" s="10" t="s">
        <v>782</v>
      </c>
      <c r="K55" s="10" t="s">
        <v>783</v>
      </c>
      <c r="L55" s="10">
        <v>1</v>
      </c>
      <c r="M55" s="10">
        <v>1</v>
      </c>
      <c r="N55" s="10">
        <v>882</v>
      </c>
      <c r="P55" s="10">
        <f t="shared" si="5"/>
        <v>18400</v>
      </c>
      <c r="R55" s="10">
        <v>378</v>
      </c>
      <c r="T55" s="10">
        <f>16*1050</f>
        <v>16800</v>
      </c>
      <c r="V55" s="31">
        <v>2.6</v>
      </c>
      <c r="W55" s="10" t="s">
        <v>2330</v>
      </c>
      <c r="Z55" s="32">
        <f t="shared" si="6"/>
        <v>0.42857142857142855</v>
      </c>
      <c r="AA55" s="14">
        <f t="shared" si="4"/>
        <v>0.91304347826086951</v>
      </c>
      <c r="AB55" s="13"/>
      <c r="AC55" s="14">
        <f t="shared" si="3"/>
        <v>1.341614906832298</v>
      </c>
      <c r="AD55" s="14"/>
      <c r="AE55" s="14"/>
      <c r="AF55" s="14"/>
      <c r="AK55" s="10" t="s">
        <v>2</v>
      </c>
      <c r="AL55" s="10" t="s">
        <v>2</v>
      </c>
      <c r="AM55" s="10" t="s">
        <v>2603</v>
      </c>
    </row>
    <row r="56" spans="1:39" s="10" customFormat="1" x14ac:dyDescent="0.3">
      <c r="A56" s="10" t="s">
        <v>778</v>
      </c>
      <c r="B56" s="10" t="s">
        <v>779</v>
      </c>
      <c r="C56" s="10" t="s">
        <v>780</v>
      </c>
      <c r="E56" s="10">
        <v>1997</v>
      </c>
      <c r="F56" s="10" t="s">
        <v>2664</v>
      </c>
      <c r="G56" s="10" t="s">
        <v>817</v>
      </c>
      <c r="H56" s="10" t="s">
        <v>781</v>
      </c>
      <c r="J56" s="10" t="s">
        <v>782</v>
      </c>
      <c r="K56" s="10" t="s">
        <v>783</v>
      </c>
      <c r="L56" s="10">
        <v>1</v>
      </c>
      <c r="M56" s="10">
        <v>1</v>
      </c>
      <c r="N56" s="10">
        <v>1191</v>
      </c>
      <c r="P56" s="10">
        <f t="shared" si="5"/>
        <v>18400</v>
      </c>
      <c r="R56" s="10">
        <v>398</v>
      </c>
      <c r="T56" s="10">
        <f>16*1120</f>
        <v>17920</v>
      </c>
      <c r="V56" s="31">
        <v>8.8000000000000007</v>
      </c>
      <c r="W56" s="10" t="s">
        <v>2330</v>
      </c>
      <c r="Z56" s="32">
        <f t="shared" si="6"/>
        <v>0.3341729638958858</v>
      </c>
      <c r="AA56" s="14">
        <f t="shared" si="4"/>
        <v>0.97391304347826091</v>
      </c>
      <c r="AB56" s="13"/>
      <c r="AC56" s="14">
        <f t="shared" si="3"/>
        <v>1.3080860073741467</v>
      </c>
      <c r="AD56" s="14"/>
      <c r="AE56" s="14"/>
      <c r="AF56" s="14"/>
      <c r="AK56" s="10" t="s">
        <v>2</v>
      </c>
      <c r="AL56" s="10" t="s">
        <v>2</v>
      </c>
      <c r="AM56" s="10" t="s">
        <v>2603</v>
      </c>
    </row>
    <row r="57" spans="1:39" s="10" customFormat="1" x14ac:dyDescent="0.3">
      <c r="A57" s="10" t="s">
        <v>778</v>
      </c>
      <c r="B57" s="10" t="s">
        <v>779</v>
      </c>
      <c r="C57" s="10" t="s">
        <v>780</v>
      </c>
      <c r="E57" s="10">
        <v>1998</v>
      </c>
      <c r="F57" s="10" t="s">
        <v>2664</v>
      </c>
      <c r="G57" s="10" t="s">
        <v>818</v>
      </c>
      <c r="H57" s="10" t="s">
        <v>781</v>
      </c>
      <c r="J57" s="10" t="s">
        <v>782</v>
      </c>
      <c r="K57" s="10" t="s">
        <v>783</v>
      </c>
      <c r="L57" s="10">
        <v>1</v>
      </c>
      <c r="M57" s="10">
        <v>1</v>
      </c>
      <c r="N57" s="10">
        <v>845</v>
      </c>
      <c r="P57" s="10">
        <f t="shared" si="5"/>
        <v>18400</v>
      </c>
      <c r="R57" s="10">
        <v>400</v>
      </c>
      <c r="T57" s="10">
        <f>16*1120</f>
        <v>17920</v>
      </c>
      <c r="V57" s="31">
        <v>11.7</v>
      </c>
      <c r="W57" s="10" t="s">
        <v>2330</v>
      </c>
      <c r="Z57" s="32">
        <f t="shared" si="6"/>
        <v>0.47337278106508873</v>
      </c>
      <c r="AA57" s="14">
        <f t="shared" si="4"/>
        <v>0.97391304347826091</v>
      </c>
      <c r="AB57" s="13"/>
      <c r="AC57" s="14">
        <f t="shared" si="3"/>
        <v>1.4472858245433495</v>
      </c>
      <c r="AD57" s="14"/>
      <c r="AE57" s="14"/>
      <c r="AF57" s="14"/>
      <c r="AK57" s="10" t="s">
        <v>2</v>
      </c>
      <c r="AL57" s="10" t="s">
        <v>2</v>
      </c>
      <c r="AM57" s="10" t="s">
        <v>2603</v>
      </c>
    </row>
    <row r="58" spans="1:39" s="10" customFormat="1" x14ac:dyDescent="0.3">
      <c r="A58" s="10" t="s">
        <v>778</v>
      </c>
      <c r="B58" s="10" t="s">
        <v>779</v>
      </c>
      <c r="C58" s="10" t="s">
        <v>780</v>
      </c>
      <c r="E58" s="10">
        <v>1992</v>
      </c>
      <c r="F58" s="10" t="s">
        <v>2664</v>
      </c>
      <c r="G58" s="10" t="s">
        <v>819</v>
      </c>
      <c r="H58" s="10" t="s">
        <v>781</v>
      </c>
      <c r="J58" s="10" t="s">
        <v>782</v>
      </c>
      <c r="K58" s="10" t="s">
        <v>783</v>
      </c>
      <c r="L58" s="10">
        <v>1</v>
      </c>
      <c r="M58" s="10">
        <v>1</v>
      </c>
      <c r="N58" s="10">
        <v>251</v>
      </c>
      <c r="P58" s="10">
        <f>1150*16</f>
        <v>18400</v>
      </c>
      <c r="R58" s="10">
        <v>123</v>
      </c>
      <c r="T58" s="10">
        <f>16*1520</f>
        <v>24320</v>
      </c>
      <c r="V58" s="31">
        <v>0</v>
      </c>
      <c r="W58" s="10" t="s">
        <v>2330</v>
      </c>
      <c r="Z58" s="32">
        <f t="shared" si="6"/>
        <v>0.49003984063745021</v>
      </c>
      <c r="AA58" s="14">
        <f t="shared" si="4"/>
        <v>1.3217391304347825</v>
      </c>
      <c r="AB58" s="13"/>
      <c r="AC58" s="14">
        <f t="shared" si="3"/>
        <v>1.8117789710722327</v>
      </c>
      <c r="AD58" s="14"/>
      <c r="AE58" s="14"/>
      <c r="AF58" s="14"/>
      <c r="AK58" s="10" t="s">
        <v>2</v>
      </c>
      <c r="AL58" s="10" t="s">
        <v>2</v>
      </c>
      <c r="AM58" s="10" t="s">
        <v>2603</v>
      </c>
    </row>
    <row r="59" spans="1:39" s="10" customFormat="1" x14ac:dyDescent="0.3">
      <c r="A59" s="10" t="s">
        <v>778</v>
      </c>
      <c r="B59" s="10" t="s">
        <v>779</v>
      </c>
      <c r="C59" s="10" t="s">
        <v>780</v>
      </c>
      <c r="E59" s="10">
        <v>1993</v>
      </c>
      <c r="F59" s="10" t="s">
        <v>2664</v>
      </c>
      <c r="G59" s="10" t="s">
        <v>820</v>
      </c>
      <c r="H59" s="10" t="s">
        <v>781</v>
      </c>
      <c r="J59" s="10" t="s">
        <v>782</v>
      </c>
      <c r="K59" s="10" t="s">
        <v>783</v>
      </c>
      <c r="L59" s="10">
        <v>1</v>
      </c>
      <c r="M59" s="10">
        <v>1</v>
      </c>
      <c r="N59" s="10">
        <v>910</v>
      </c>
      <c r="P59" s="10">
        <f t="shared" si="5"/>
        <v>18400</v>
      </c>
      <c r="R59" s="10">
        <v>230</v>
      </c>
      <c r="T59" s="10">
        <f>16*750</f>
        <v>12000</v>
      </c>
      <c r="V59" s="31">
        <v>0</v>
      </c>
      <c r="W59" s="10" t="s">
        <v>2330</v>
      </c>
      <c r="Z59" s="32">
        <f t="shared" si="6"/>
        <v>0.25274725274725274</v>
      </c>
      <c r="AA59" s="14">
        <f t="shared" si="4"/>
        <v>0.65217391304347827</v>
      </c>
      <c r="AB59" s="13"/>
      <c r="AC59" s="14">
        <f t="shared" si="3"/>
        <v>0.90492116579073101</v>
      </c>
      <c r="AD59" s="14"/>
      <c r="AE59" s="14"/>
      <c r="AF59" s="14"/>
      <c r="AK59" s="10" t="s">
        <v>2</v>
      </c>
      <c r="AL59" s="10" t="s">
        <v>2</v>
      </c>
      <c r="AM59" s="10" t="s">
        <v>2603</v>
      </c>
    </row>
    <row r="60" spans="1:39" s="10" customFormat="1" x14ac:dyDescent="0.3">
      <c r="A60" s="10" t="s">
        <v>778</v>
      </c>
      <c r="B60" s="10" t="s">
        <v>779</v>
      </c>
      <c r="C60" s="10" t="s">
        <v>780</v>
      </c>
      <c r="E60" s="10">
        <v>1994</v>
      </c>
      <c r="F60" s="10" t="s">
        <v>2664</v>
      </c>
      <c r="G60" s="10" t="s">
        <v>821</v>
      </c>
      <c r="H60" s="10" t="s">
        <v>781</v>
      </c>
      <c r="J60" s="10" t="s">
        <v>782</v>
      </c>
      <c r="K60" s="10" t="s">
        <v>783</v>
      </c>
      <c r="L60" s="10">
        <v>1</v>
      </c>
      <c r="M60" s="10">
        <v>1</v>
      </c>
      <c r="N60" s="10">
        <v>898</v>
      </c>
      <c r="P60" s="10">
        <f t="shared" si="5"/>
        <v>18400</v>
      </c>
      <c r="R60" s="10">
        <v>186</v>
      </c>
      <c r="T60" s="10">
        <f>16*850</f>
        <v>13600</v>
      </c>
      <c r="V60" s="31">
        <v>0</v>
      </c>
      <c r="W60" s="10" t="s">
        <v>2330</v>
      </c>
      <c r="Z60" s="32">
        <f t="shared" si="6"/>
        <v>0.20712694877505569</v>
      </c>
      <c r="AA60" s="14">
        <f t="shared" si="4"/>
        <v>0.73913043478260865</v>
      </c>
      <c r="AB60" s="13"/>
      <c r="AC60" s="14">
        <f t="shared" si="3"/>
        <v>0.94625738355766431</v>
      </c>
      <c r="AD60" s="14"/>
      <c r="AE60" s="14"/>
      <c r="AF60" s="14"/>
      <c r="AK60" s="10" t="s">
        <v>2</v>
      </c>
      <c r="AL60" s="10" t="s">
        <v>2</v>
      </c>
      <c r="AM60" s="10" t="s">
        <v>2603</v>
      </c>
    </row>
    <row r="61" spans="1:39" s="10" customFormat="1" x14ac:dyDescent="0.3">
      <c r="A61" s="10" t="s">
        <v>778</v>
      </c>
      <c r="B61" s="10" t="s">
        <v>779</v>
      </c>
      <c r="C61" s="10" t="s">
        <v>780</v>
      </c>
      <c r="E61" s="10">
        <v>1995</v>
      </c>
      <c r="F61" s="10" t="s">
        <v>2664</v>
      </c>
      <c r="G61" s="10" t="s">
        <v>822</v>
      </c>
      <c r="H61" s="10" t="s">
        <v>781</v>
      </c>
      <c r="J61" s="10" t="s">
        <v>782</v>
      </c>
      <c r="K61" s="10" t="s">
        <v>783</v>
      </c>
      <c r="L61" s="10">
        <v>1</v>
      </c>
      <c r="M61" s="10">
        <v>1</v>
      </c>
      <c r="N61" s="10">
        <v>906</v>
      </c>
      <c r="P61" s="10">
        <f t="shared" si="5"/>
        <v>18400</v>
      </c>
      <c r="R61" s="10">
        <v>510</v>
      </c>
      <c r="T61" s="10">
        <f>16*780</f>
        <v>12480</v>
      </c>
      <c r="V61" s="31">
        <v>0</v>
      </c>
      <c r="W61" s="10" t="s">
        <v>2330</v>
      </c>
      <c r="Z61" s="32">
        <f t="shared" si="6"/>
        <v>0.5629139072847682</v>
      </c>
      <c r="AA61" s="14">
        <f t="shared" si="4"/>
        <v>0.67826086956521736</v>
      </c>
      <c r="AB61" s="13"/>
      <c r="AC61" s="14">
        <f t="shared" si="3"/>
        <v>1.2411747768499857</v>
      </c>
      <c r="AD61" s="14"/>
      <c r="AE61" s="14"/>
      <c r="AF61" s="14"/>
      <c r="AK61" s="10" t="s">
        <v>2</v>
      </c>
      <c r="AL61" s="10" t="s">
        <v>2</v>
      </c>
      <c r="AM61" s="10" t="s">
        <v>2603</v>
      </c>
    </row>
    <row r="62" spans="1:39" s="10" customFormat="1" x14ac:dyDescent="0.3">
      <c r="A62" s="10" t="s">
        <v>778</v>
      </c>
      <c r="B62" s="10" t="s">
        <v>779</v>
      </c>
      <c r="C62" s="10" t="s">
        <v>780</v>
      </c>
      <c r="E62" s="10">
        <v>1996</v>
      </c>
      <c r="F62" s="10" t="s">
        <v>2664</v>
      </c>
      <c r="G62" s="10" t="s">
        <v>823</v>
      </c>
      <c r="H62" s="10" t="s">
        <v>781</v>
      </c>
      <c r="J62" s="10" t="s">
        <v>782</v>
      </c>
      <c r="K62" s="10" t="s">
        <v>783</v>
      </c>
      <c r="L62" s="10">
        <v>1</v>
      </c>
      <c r="M62" s="10">
        <v>1</v>
      </c>
      <c r="N62" s="10">
        <v>882</v>
      </c>
      <c r="P62" s="10">
        <f t="shared" si="5"/>
        <v>18400</v>
      </c>
      <c r="R62" s="10">
        <v>727</v>
      </c>
      <c r="T62" s="10">
        <f>16*880</f>
        <v>14080</v>
      </c>
      <c r="V62" s="31">
        <v>2.6</v>
      </c>
      <c r="W62" s="10" t="s">
        <v>2330</v>
      </c>
      <c r="Z62" s="32">
        <f t="shared" si="6"/>
        <v>0.82426303854875282</v>
      </c>
      <c r="AA62" s="14">
        <f t="shared" si="4"/>
        <v>0.76521739130434785</v>
      </c>
      <c r="AB62" s="13"/>
      <c r="AC62" s="14">
        <f t="shared" si="3"/>
        <v>1.5894804298531007</v>
      </c>
      <c r="AD62" s="14"/>
      <c r="AE62" s="14"/>
      <c r="AF62" s="14"/>
      <c r="AK62" s="10" t="s">
        <v>2</v>
      </c>
      <c r="AL62" s="10" t="s">
        <v>2</v>
      </c>
      <c r="AM62" s="10" t="s">
        <v>2603</v>
      </c>
    </row>
    <row r="63" spans="1:39" s="10" customFormat="1" x14ac:dyDescent="0.3">
      <c r="A63" s="10" t="s">
        <v>778</v>
      </c>
      <c r="B63" s="10" t="s">
        <v>779</v>
      </c>
      <c r="C63" s="10" t="s">
        <v>780</v>
      </c>
      <c r="E63" s="10">
        <v>1997</v>
      </c>
      <c r="F63" s="10" t="s">
        <v>2664</v>
      </c>
      <c r="G63" s="10" t="s">
        <v>824</v>
      </c>
      <c r="H63" s="10" t="s">
        <v>781</v>
      </c>
      <c r="J63" s="10" t="s">
        <v>782</v>
      </c>
      <c r="K63" s="10" t="s">
        <v>783</v>
      </c>
      <c r="L63" s="10">
        <v>1</v>
      </c>
      <c r="M63" s="10">
        <v>1</v>
      </c>
      <c r="N63" s="10">
        <v>1191</v>
      </c>
      <c r="P63" s="10">
        <f t="shared" si="5"/>
        <v>18400</v>
      </c>
      <c r="R63" s="10">
        <v>762</v>
      </c>
      <c r="T63" s="10">
        <f>16*800</f>
        <v>12800</v>
      </c>
      <c r="V63" s="31">
        <v>8.8000000000000007</v>
      </c>
      <c r="W63" s="10" t="s">
        <v>2330</v>
      </c>
      <c r="Z63" s="32">
        <f t="shared" si="6"/>
        <v>0.63979848866498745</v>
      </c>
      <c r="AA63" s="14">
        <f t="shared" si="4"/>
        <v>0.69565217391304346</v>
      </c>
      <c r="AB63" s="13"/>
      <c r="AC63" s="14">
        <f t="shared" si="3"/>
        <v>1.3354506625780309</v>
      </c>
      <c r="AD63" s="14"/>
      <c r="AE63" s="14"/>
      <c r="AF63" s="14"/>
      <c r="AK63" s="10" t="s">
        <v>2</v>
      </c>
      <c r="AL63" s="10" t="s">
        <v>2</v>
      </c>
      <c r="AM63" s="10" t="s">
        <v>2603</v>
      </c>
    </row>
    <row r="64" spans="1:39" s="10" customFormat="1" x14ac:dyDescent="0.3">
      <c r="A64" s="10" t="s">
        <v>778</v>
      </c>
      <c r="B64" s="10" t="s">
        <v>779</v>
      </c>
      <c r="C64" s="10" t="s">
        <v>780</v>
      </c>
      <c r="E64" s="10">
        <v>1998</v>
      </c>
      <c r="F64" s="10" t="s">
        <v>2664</v>
      </c>
      <c r="G64" s="10" t="s">
        <v>825</v>
      </c>
      <c r="H64" s="10" t="s">
        <v>781</v>
      </c>
      <c r="J64" s="10" t="s">
        <v>782</v>
      </c>
      <c r="K64" s="10" t="s">
        <v>783</v>
      </c>
      <c r="L64" s="10">
        <v>1</v>
      </c>
      <c r="M64" s="10">
        <v>1</v>
      </c>
      <c r="N64" s="10">
        <v>845</v>
      </c>
      <c r="P64" s="10">
        <f t="shared" si="5"/>
        <v>18400</v>
      </c>
      <c r="R64" s="10">
        <v>768</v>
      </c>
      <c r="T64" s="10">
        <f>16*800</f>
        <v>12800</v>
      </c>
      <c r="V64" s="31">
        <v>11.7</v>
      </c>
      <c r="W64" s="10" t="s">
        <v>2330</v>
      </c>
      <c r="Z64" s="32">
        <f t="shared" si="6"/>
        <v>0.90887573964497037</v>
      </c>
      <c r="AA64" s="14">
        <f t="shared" si="4"/>
        <v>0.69565217391304346</v>
      </c>
      <c r="AB64" s="13"/>
      <c r="AC64" s="14">
        <f t="shared" si="3"/>
        <v>1.6045279135580137</v>
      </c>
      <c r="AD64" s="14"/>
      <c r="AE64" s="14"/>
      <c r="AF64" s="14"/>
      <c r="AK64" s="10" t="s">
        <v>2</v>
      </c>
      <c r="AL64" s="10" t="s">
        <v>2</v>
      </c>
      <c r="AM64" s="10" t="s">
        <v>2603</v>
      </c>
    </row>
    <row r="65" spans="1:39" s="26" customFormat="1" x14ac:dyDescent="0.3">
      <c r="A65" s="26" t="s">
        <v>840</v>
      </c>
      <c r="B65" s="26" t="s">
        <v>637</v>
      </c>
      <c r="C65" s="26" t="s">
        <v>841</v>
      </c>
      <c r="D65" s="26" t="s">
        <v>842</v>
      </c>
      <c r="F65" s="10" t="s">
        <v>2664</v>
      </c>
      <c r="G65" s="26" t="s">
        <v>369</v>
      </c>
      <c r="H65" s="26" t="s">
        <v>781</v>
      </c>
      <c r="J65" s="26" t="s">
        <v>756</v>
      </c>
      <c r="K65" s="26" t="s">
        <v>843</v>
      </c>
      <c r="L65" s="26">
        <v>5</v>
      </c>
      <c r="M65" s="26">
        <v>3</v>
      </c>
      <c r="N65" s="42">
        <f>0.79*2650</f>
        <v>2093.5</v>
      </c>
      <c r="R65" s="26">
        <f>0.62*2050</f>
        <v>1271</v>
      </c>
      <c r="Z65" s="67">
        <f t="shared" si="6"/>
        <v>0.60711726773346075</v>
      </c>
      <c r="AC65" s="20">
        <f t="shared" si="3"/>
        <v>0.60711726773346075</v>
      </c>
      <c r="AK65" s="10" t="s">
        <v>2</v>
      </c>
      <c r="AL65" s="26" t="s">
        <v>2</v>
      </c>
      <c r="AM65" s="26" t="s">
        <v>844</v>
      </c>
    </row>
    <row r="66" spans="1:39" s="26" customFormat="1" x14ac:dyDescent="0.3">
      <c r="A66" s="26" t="s">
        <v>1203</v>
      </c>
      <c r="B66" s="26" t="s">
        <v>827</v>
      </c>
      <c r="C66" s="26" t="s">
        <v>828</v>
      </c>
      <c r="D66" s="34" t="s">
        <v>1204</v>
      </c>
      <c r="E66" s="26">
        <v>2006</v>
      </c>
      <c r="F66" s="10" t="s">
        <v>2664</v>
      </c>
      <c r="G66" s="26" t="s">
        <v>1211</v>
      </c>
      <c r="H66" s="26" t="s">
        <v>1205</v>
      </c>
      <c r="J66" s="26" t="s">
        <v>756</v>
      </c>
      <c r="K66" s="26" t="s">
        <v>363</v>
      </c>
      <c r="L66" s="26">
        <v>3</v>
      </c>
      <c r="M66" s="26">
        <v>3</v>
      </c>
      <c r="N66" s="26">
        <v>4358</v>
      </c>
      <c r="R66" s="26">
        <v>3716</v>
      </c>
      <c r="Z66" s="67">
        <f t="shared" ref="Z66:Z83" si="7">R66/N66</f>
        <v>0.85268471776044052</v>
      </c>
      <c r="AC66" s="20">
        <f>Z66+AA66+AB66</f>
        <v>0.85268471776044052</v>
      </c>
      <c r="AD66" s="20"/>
      <c r="AE66" s="20"/>
      <c r="AF66" s="20"/>
      <c r="AH66" s="26" t="s">
        <v>14</v>
      </c>
      <c r="AI66" s="26" t="s">
        <v>3</v>
      </c>
      <c r="AK66" s="10" t="s">
        <v>2</v>
      </c>
      <c r="AL66" s="26" t="s">
        <v>2023</v>
      </c>
      <c r="AM66" s="26" t="s">
        <v>2604</v>
      </c>
    </row>
    <row r="67" spans="1:39" s="26" customFormat="1" x14ac:dyDescent="0.3">
      <c r="A67" s="26" t="s">
        <v>1203</v>
      </c>
      <c r="B67" s="26" t="s">
        <v>827</v>
      </c>
      <c r="C67" s="26" t="s">
        <v>828</v>
      </c>
      <c r="D67" s="34" t="s">
        <v>1204</v>
      </c>
      <c r="E67" s="26">
        <v>2006</v>
      </c>
      <c r="F67" s="10" t="s">
        <v>2664</v>
      </c>
      <c r="G67" s="26" t="s">
        <v>1212</v>
      </c>
      <c r="H67" s="26" t="s">
        <v>1205</v>
      </c>
      <c r="J67" s="26" t="s">
        <v>756</v>
      </c>
      <c r="K67" s="26" t="s">
        <v>363</v>
      </c>
      <c r="L67" s="26">
        <v>3</v>
      </c>
      <c r="M67" s="26">
        <v>3</v>
      </c>
      <c r="N67" s="26">
        <v>2065</v>
      </c>
      <c r="R67" s="26">
        <v>509</v>
      </c>
      <c r="Z67" s="67">
        <f t="shared" si="7"/>
        <v>0.24648910411622277</v>
      </c>
      <c r="AC67" s="20">
        <f t="shared" ref="AC67:AC83" si="8">Z67+AA67+AB67</f>
        <v>0.24648910411622277</v>
      </c>
      <c r="AD67" s="20"/>
      <c r="AE67" s="20"/>
      <c r="AF67" s="20"/>
      <c r="AH67" s="26" t="s">
        <v>14</v>
      </c>
      <c r="AI67" s="26" t="s">
        <v>3</v>
      </c>
      <c r="AK67" s="10" t="s">
        <v>2</v>
      </c>
      <c r="AL67" s="26" t="s">
        <v>2023</v>
      </c>
      <c r="AM67" s="26" t="s">
        <v>2604</v>
      </c>
    </row>
    <row r="68" spans="1:39" s="26" customFormat="1" x14ac:dyDescent="0.3">
      <c r="A68" s="26" t="s">
        <v>1203</v>
      </c>
      <c r="B68" s="26" t="s">
        <v>827</v>
      </c>
      <c r="C68" s="26" t="s">
        <v>828</v>
      </c>
      <c r="D68" s="34" t="s">
        <v>1204</v>
      </c>
      <c r="E68" s="26">
        <v>2006</v>
      </c>
      <c r="F68" s="10" t="s">
        <v>2664</v>
      </c>
      <c r="G68" s="26" t="s">
        <v>1211</v>
      </c>
      <c r="H68" s="26" t="s">
        <v>1205</v>
      </c>
      <c r="J68" s="26" t="s">
        <v>756</v>
      </c>
      <c r="K68" s="26" t="s">
        <v>1206</v>
      </c>
      <c r="L68" s="26">
        <v>3</v>
      </c>
      <c r="M68" s="26">
        <v>3</v>
      </c>
      <c r="N68" s="26">
        <v>4358</v>
      </c>
      <c r="R68" s="26">
        <v>1679</v>
      </c>
      <c r="Z68" s="67">
        <f t="shared" si="7"/>
        <v>0.38526847177604406</v>
      </c>
      <c r="AC68" s="20">
        <f t="shared" si="8"/>
        <v>0.38526847177604406</v>
      </c>
      <c r="AD68" s="20"/>
      <c r="AE68" s="20"/>
      <c r="AF68" s="20"/>
      <c r="AH68" s="26" t="s">
        <v>14</v>
      </c>
      <c r="AI68" s="26" t="s">
        <v>3</v>
      </c>
      <c r="AK68" s="10" t="s">
        <v>2</v>
      </c>
      <c r="AL68" s="26" t="s">
        <v>2</v>
      </c>
      <c r="AM68" s="26" t="s">
        <v>2605</v>
      </c>
    </row>
    <row r="69" spans="1:39" s="26" customFormat="1" x14ac:dyDescent="0.3">
      <c r="A69" s="26" t="s">
        <v>1203</v>
      </c>
      <c r="B69" s="26" t="s">
        <v>827</v>
      </c>
      <c r="C69" s="26" t="s">
        <v>828</v>
      </c>
      <c r="D69" s="34" t="s">
        <v>1204</v>
      </c>
      <c r="E69" s="26">
        <v>2006</v>
      </c>
      <c r="F69" s="10" t="s">
        <v>2664</v>
      </c>
      <c r="G69" s="26" t="s">
        <v>1212</v>
      </c>
      <c r="H69" s="26" t="s">
        <v>1205</v>
      </c>
      <c r="J69" s="26" t="s">
        <v>756</v>
      </c>
      <c r="K69" s="26" t="s">
        <v>1206</v>
      </c>
      <c r="L69" s="26">
        <v>3</v>
      </c>
      <c r="M69" s="26">
        <v>3</v>
      </c>
      <c r="N69" s="26">
        <v>2065</v>
      </c>
      <c r="R69" s="26">
        <v>651</v>
      </c>
      <c r="Z69" s="67">
        <f t="shared" si="7"/>
        <v>0.31525423728813562</v>
      </c>
      <c r="AC69" s="20">
        <f t="shared" si="8"/>
        <v>0.31525423728813562</v>
      </c>
      <c r="AD69" s="20"/>
      <c r="AE69" s="20"/>
      <c r="AF69" s="20"/>
      <c r="AH69" s="26" t="s">
        <v>14</v>
      </c>
      <c r="AI69" s="26" t="s">
        <v>3</v>
      </c>
      <c r="AK69" s="10" t="s">
        <v>2</v>
      </c>
      <c r="AL69" s="26" t="s">
        <v>2</v>
      </c>
      <c r="AM69" s="26" t="s">
        <v>2605</v>
      </c>
    </row>
    <row r="70" spans="1:39" s="26" customFormat="1" x14ac:dyDescent="0.3">
      <c r="A70" s="26" t="s">
        <v>1203</v>
      </c>
      <c r="B70" s="26" t="s">
        <v>827</v>
      </c>
      <c r="C70" s="26" t="s">
        <v>828</v>
      </c>
      <c r="D70" s="34" t="s">
        <v>1204</v>
      </c>
      <c r="E70" s="26">
        <v>2006</v>
      </c>
      <c r="F70" s="10" t="s">
        <v>2664</v>
      </c>
      <c r="G70" s="26" t="s">
        <v>1212</v>
      </c>
      <c r="H70" s="26" t="s">
        <v>1205</v>
      </c>
      <c r="J70" s="26" t="s">
        <v>756</v>
      </c>
      <c r="K70" s="26" t="s">
        <v>1207</v>
      </c>
      <c r="L70" s="26">
        <v>3</v>
      </c>
      <c r="M70" s="26">
        <v>3</v>
      </c>
      <c r="N70" s="26">
        <v>2065</v>
      </c>
      <c r="R70" s="26">
        <v>435</v>
      </c>
      <c r="Z70" s="67">
        <f t="shared" si="7"/>
        <v>0.21065375302663439</v>
      </c>
      <c r="AC70" s="20">
        <f t="shared" si="8"/>
        <v>0.21065375302663439</v>
      </c>
      <c r="AD70" s="20"/>
      <c r="AE70" s="20"/>
      <c r="AF70" s="20"/>
      <c r="AH70" s="26" t="s">
        <v>14</v>
      </c>
      <c r="AI70" s="26" t="s">
        <v>3</v>
      </c>
      <c r="AK70" s="10" t="s">
        <v>2</v>
      </c>
      <c r="AL70" s="26" t="s">
        <v>2</v>
      </c>
      <c r="AM70" s="26" t="s">
        <v>2605</v>
      </c>
    </row>
    <row r="71" spans="1:39" s="26" customFormat="1" x14ac:dyDescent="0.3">
      <c r="A71" s="26" t="s">
        <v>1203</v>
      </c>
      <c r="B71" s="26" t="s">
        <v>827</v>
      </c>
      <c r="C71" s="26" t="s">
        <v>828</v>
      </c>
      <c r="D71" s="34" t="s">
        <v>1204</v>
      </c>
      <c r="E71" s="26">
        <v>2006</v>
      </c>
      <c r="F71" s="10" t="s">
        <v>2664</v>
      </c>
      <c r="G71" s="26" t="s">
        <v>1212</v>
      </c>
      <c r="H71" s="26" t="s">
        <v>1205</v>
      </c>
      <c r="J71" s="26" t="s">
        <v>756</v>
      </c>
      <c r="K71" s="26" t="s">
        <v>1208</v>
      </c>
      <c r="L71" s="26">
        <v>3</v>
      </c>
      <c r="M71" s="26">
        <v>3</v>
      </c>
      <c r="N71" s="26">
        <v>2065</v>
      </c>
      <c r="R71" s="26">
        <v>664</v>
      </c>
      <c r="Z71" s="67">
        <f t="shared" si="7"/>
        <v>0.32154963680387411</v>
      </c>
      <c r="AC71" s="20">
        <f t="shared" si="8"/>
        <v>0.32154963680387411</v>
      </c>
      <c r="AD71" s="20"/>
      <c r="AE71" s="20"/>
      <c r="AF71" s="20"/>
      <c r="AH71" s="26" t="s">
        <v>14</v>
      </c>
      <c r="AI71" s="26" t="s">
        <v>3</v>
      </c>
      <c r="AK71" s="10" t="s">
        <v>2</v>
      </c>
      <c r="AL71" s="26" t="s">
        <v>2</v>
      </c>
      <c r="AM71" s="26" t="s">
        <v>2606</v>
      </c>
    </row>
    <row r="72" spans="1:39" s="26" customFormat="1" x14ac:dyDescent="0.3">
      <c r="A72" s="26" t="s">
        <v>1203</v>
      </c>
      <c r="B72" s="26" t="s">
        <v>827</v>
      </c>
      <c r="C72" s="26" t="s">
        <v>828</v>
      </c>
      <c r="D72" s="34" t="s">
        <v>1204</v>
      </c>
      <c r="E72" s="26">
        <v>2006</v>
      </c>
      <c r="F72" s="10" t="s">
        <v>2664</v>
      </c>
      <c r="G72" s="26" t="s">
        <v>1212</v>
      </c>
      <c r="H72" s="26" t="s">
        <v>1205</v>
      </c>
      <c r="J72" s="26" t="s">
        <v>756</v>
      </c>
      <c r="K72" s="26" t="s">
        <v>1209</v>
      </c>
      <c r="L72" s="26">
        <v>3</v>
      </c>
      <c r="M72" s="26">
        <v>3</v>
      </c>
      <c r="N72" s="26">
        <v>2065</v>
      </c>
      <c r="R72" s="26">
        <v>1188</v>
      </c>
      <c r="Z72" s="67">
        <f t="shared" si="7"/>
        <v>0.57530266343825665</v>
      </c>
      <c r="AC72" s="20">
        <f t="shared" si="8"/>
        <v>0.57530266343825665</v>
      </c>
      <c r="AD72" s="20"/>
      <c r="AE72" s="20"/>
      <c r="AF72" s="20"/>
      <c r="AH72" s="26" t="s">
        <v>14</v>
      </c>
      <c r="AI72" s="26" t="s">
        <v>3</v>
      </c>
      <c r="AK72" s="10" t="s">
        <v>2</v>
      </c>
      <c r="AL72" s="26" t="s">
        <v>2</v>
      </c>
      <c r="AM72" s="26" t="s">
        <v>2606</v>
      </c>
    </row>
    <row r="73" spans="1:39" s="26" customFormat="1" x14ac:dyDescent="0.3">
      <c r="A73" s="26" t="s">
        <v>1203</v>
      </c>
      <c r="B73" s="26" t="s">
        <v>827</v>
      </c>
      <c r="C73" s="26" t="s">
        <v>828</v>
      </c>
      <c r="D73" s="34" t="s">
        <v>1204</v>
      </c>
      <c r="E73" s="26">
        <v>2006</v>
      </c>
      <c r="F73" s="10" t="s">
        <v>2664</v>
      </c>
      <c r="G73" s="26" t="s">
        <v>1211</v>
      </c>
      <c r="H73" s="26" t="s">
        <v>1205</v>
      </c>
      <c r="J73" s="26" t="s">
        <v>756</v>
      </c>
      <c r="K73" s="26" t="s">
        <v>1210</v>
      </c>
      <c r="L73" s="26">
        <v>3</v>
      </c>
      <c r="M73" s="26">
        <v>3</v>
      </c>
      <c r="N73" s="26">
        <v>4358</v>
      </c>
      <c r="R73" s="26">
        <v>2926</v>
      </c>
      <c r="Z73" s="67">
        <f t="shared" si="7"/>
        <v>0.67140890316659019</v>
      </c>
      <c r="AC73" s="20">
        <f t="shared" si="8"/>
        <v>0.67140890316659019</v>
      </c>
      <c r="AD73" s="20"/>
      <c r="AE73" s="20"/>
      <c r="AF73" s="20"/>
      <c r="AH73" s="26" t="s">
        <v>14</v>
      </c>
      <c r="AI73" s="26" t="s">
        <v>3</v>
      </c>
      <c r="AK73" s="10" t="s">
        <v>2</v>
      </c>
      <c r="AL73" s="26" t="s">
        <v>2</v>
      </c>
      <c r="AM73" s="26" t="s">
        <v>2606</v>
      </c>
    </row>
    <row r="74" spans="1:39" s="26" customFormat="1" x14ac:dyDescent="0.3">
      <c r="A74" s="26" t="s">
        <v>1203</v>
      </c>
      <c r="B74" s="26" t="s">
        <v>827</v>
      </c>
      <c r="C74" s="26" t="s">
        <v>828</v>
      </c>
      <c r="D74" s="34" t="s">
        <v>1204</v>
      </c>
      <c r="E74" s="26">
        <v>2006</v>
      </c>
      <c r="F74" s="10" t="s">
        <v>2664</v>
      </c>
      <c r="G74" s="26" t="s">
        <v>1212</v>
      </c>
      <c r="H74" s="26" t="s">
        <v>1205</v>
      </c>
      <c r="J74" s="26" t="s">
        <v>756</v>
      </c>
      <c r="K74" s="26" t="s">
        <v>1210</v>
      </c>
      <c r="L74" s="26">
        <v>3</v>
      </c>
      <c r="M74" s="26">
        <v>3</v>
      </c>
      <c r="N74" s="26">
        <v>2065</v>
      </c>
      <c r="R74" s="26">
        <v>472</v>
      </c>
      <c r="Z74" s="67">
        <f t="shared" si="7"/>
        <v>0.22857142857142856</v>
      </c>
      <c r="AC74" s="20">
        <f t="shared" si="8"/>
        <v>0.22857142857142856</v>
      </c>
      <c r="AD74" s="20"/>
      <c r="AE74" s="20"/>
      <c r="AF74" s="20"/>
      <c r="AH74" s="26" t="s">
        <v>14</v>
      </c>
      <c r="AI74" s="26" t="s">
        <v>3</v>
      </c>
      <c r="AK74" s="10" t="s">
        <v>2</v>
      </c>
      <c r="AL74" s="26" t="s">
        <v>2</v>
      </c>
      <c r="AM74" s="26" t="s">
        <v>2606</v>
      </c>
    </row>
    <row r="75" spans="1:39" s="26" customFormat="1" x14ac:dyDescent="0.3">
      <c r="A75" s="26" t="s">
        <v>1203</v>
      </c>
      <c r="B75" s="26" t="s">
        <v>827</v>
      </c>
      <c r="C75" s="26" t="s">
        <v>828</v>
      </c>
      <c r="D75" s="34" t="s">
        <v>1204</v>
      </c>
      <c r="E75" s="26">
        <v>2007</v>
      </c>
      <c r="F75" s="10" t="s">
        <v>2664</v>
      </c>
      <c r="G75" s="26" t="s">
        <v>1211</v>
      </c>
      <c r="H75" s="26" t="s">
        <v>1205</v>
      </c>
      <c r="J75" s="26" t="s">
        <v>756</v>
      </c>
      <c r="K75" s="26" t="s">
        <v>363</v>
      </c>
      <c r="L75" s="26">
        <v>3</v>
      </c>
      <c r="M75" s="26">
        <v>3</v>
      </c>
      <c r="N75" s="26">
        <v>13511</v>
      </c>
      <c r="R75" s="26">
        <v>11473</v>
      </c>
      <c r="Z75" s="67">
        <f t="shared" si="7"/>
        <v>0.8491599437495374</v>
      </c>
      <c r="AC75" s="20">
        <f t="shared" si="8"/>
        <v>0.8491599437495374</v>
      </c>
      <c r="AD75" s="20"/>
      <c r="AE75" s="20"/>
      <c r="AF75" s="20"/>
      <c r="AH75" s="26" t="s">
        <v>14</v>
      </c>
      <c r="AI75" s="26" t="s">
        <v>3</v>
      </c>
      <c r="AK75" s="10" t="s">
        <v>2</v>
      </c>
      <c r="AL75" s="26" t="s">
        <v>2023</v>
      </c>
      <c r="AM75" s="26" t="s">
        <v>2604</v>
      </c>
    </row>
    <row r="76" spans="1:39" s="26" customFormat="1" x14ac:dyDescent="0.3">
      <c r="A76" s="26" t="s">
        <v>1203</v>
      </c>
      <c r="B76" s="26" t="s">
        <v>827</v>
      </c>
      <c r="C76" s="26" t="s">
        <v>828</v>
      </c>
      <c r="D76" s="34" t="s">
        <v>1204</v>
      </c>
      <c r="E76" s="26">
        <v>2007</v>
      </c>
      <c r="F76" s="10" t="s">
        <v>2664</v>
      </c>
      <c r="G76" s="26" t="s">
        <v>1212</v>
      </c>
      <c r="H76" s="26" t="s">
        <v>1205</v>
      </c>
      <c r="J76" s="26" t="s">
        <v>756</v>
      </c>
      <c r="K76" s="26" t="s">
        <v>363</v>
      </c>
      <c r="L76" s="26">
        <v>3</v>
      </c>
      <c r="M76" s="26">
        <v>3</v>
      </c>
      <c r="N76" s="26">
        <v>13427</v>
      </c>
      <c r="R76" s="26">
        <v>6233</v>
      </c>
      <c r="Z76" s="67">
        <f t="shared" si="7"/>
        <v>0.46421389737096896</v>
      </c>
      <c r="AC76" s="20">
        <f t="shared" si="8"/>
        <v>0.46421389737096896</v>
      </c>
      <c r="AD76" s="20"/>
      <c r="AE76" s="20"/>
      <c r="AF76" s="20"/>
      <c r="AH76" s="26" t="s">
        <v>14</v>
      </c>
      <c r="AI76" s="26" t="s">
        <v>3</v>
      </c>
      <c r="AK76" s="10" t="s">
        <v>2</v>
      </c>
      <c r="AL76" s="26" t="s">
        <v>2023</v>
      </c>
      <c r="AM76" s="26" t="s">
        <v>2604</v>
      </c>
    </row>
    <row r="77" spans="1:39" s="26" customFormat="1" x14ac:dyDescent="0.3">
      <c r="A77" s="26" t="s">
        <v>1203</v>
      </c>
      <c r="B77" s="26" t="s">
        <v>827</v>
      </c>
      <c r="C77" s="26" t="s">
        <v>828</v>
      </c>
      <c r="D77" s="34" t="s">
        <v>1204</v>
      </c>
      <c r="E77" s="26">
        <v>2007</v>
      </c>
      <c r="F77" s="10" t="s">
        <v>2664</v>
      </c>
      <c r="G77" s="26" t="s">
        <v>1211</v>
      </c>
      <c r="H77" s="26" t="s">
        <v>1205</v>
      </c>
      <c r="J77" s="26" t="s">
        <v>756</v>
      </c>
      <c r="K77" s="26" t="s">
        <v>1206</v>
      </c>
      <c r="L77" s="26">
        <v>3</v>
      </c>
      <c r="M77" s="26">
        <v>3</v>
      </c>
      <c r="N77" s="26">
        <v>13511</v>
      </c>
      <c r="R77" s="26">
        <v>7682</v>
      </c>
      <c r="Z77" s="67">
        <f t="shared" si="7"/>
        <v>0.56857375471837757</v>
      </c>
      <c r="AC77" s="20">
        <f t="shared" si="8"/>
        <v>0.56857375471837757</v>
      </c>
      <c r="AD77" s="20"/>
      <c r="AE77" s="20"/>
      <c r="AF77" s="20"/>
      <c r="AH77" s="26" t="s">
        <v>14</v>
      </c>
      <c r="AI77" s="26" t="s">
        <v>3</v>
      </c>
      <c r="AK77" s="10" t="s">
        <v>2</v>
      </c>
      <c r="AL77" s="26" t="s">
        <v>2</v>
      </c>
      <c r="AM77" s="26" t="s">
        <v>2605</v>
      </c>
    </row>
    <row r="78" spans="1:39" s="26" customFormat="1" x14ac:dyDescent="0.3">
      <c r="A78" s="26" t="s">
        <v>1203</v>
      </c>
      <c r="B78" s="26" t="s">
        <v>827</v>
      </c>
      <c r="C78" s="26" t="s">
        <v>828</v>
      </c>
      <c r="D78" s="34" t="s">
        <v>1204</v>
      </c>
      <c r="E78" s="26">
        <v>2007</v>
      </c>
      <c r="F78" s="10" t="s">
        <v>2664</v>
      </c>
      <c r="G78" s="26" t="s">
        <v>1212</v>
      </c>
      <c r="H78" s="26" t="s">
        <v>1205</v>
      </c>
      <c r="J78" s="26" t="s">
        <v>756</v>
      </c>
      <c r="K78" s="26" t="s">
        <v>1206</v>
      </c>
      <c r="L78" s="26">
        <v>3</v>
      </c>
      <c r="M78" s="26">
        <v>3</v>
      </c>
      <c r="N78" s="26">
        <v>13427</v>
      </c>
      <c r="R78" s="26">
        <v>7649</v>
      </c>
      <c r="Z78" s="67">
        <f t="shared" si="7"/>
        <v>0.56967304684590747</v>
      </c>
      <c r="AC78" s="20">
        <f t="shared" si="8"/>
        <v>0.56967304684590747</v>
      </c>
      <c r="AD78" s="20"/>
      <c r="AE78" s="20"/>
      <c r="AF78" s="20"/>
      <c r="AH78" s="26" t="s">
        <v>14</v>
      </c>
      <c r="AI78" s="26" t="s">
        <v>3</v>
      </c>
      <c r="AK78" s="10" t="s">
        <v>2</v>
      </c>
      <c r="AL78" s="26" t="s">
        <v>2</v>
      </c>
      <c r="AM78" s="26" t="s">
        <v>2605</v>
      </c>
    </row>
    <row r="79" spans="1:39" s="26" customFormat="1" x14ac:dyDescent="0.3">
      <c r="A79" s="26" t="s">
        <v>1203</v>
      </c>
      <c r="B79" s="26" t="s">
        <v>827</v>
      </c>
      <c r="C79" s="26" t="s">
        <v>828</v>
      </c>
      <c r="D79" s="34" t="s">
        <v>1204</v>
      </c>
      <c r="E79" s="26">
        <v>2007</v>
      </c>
      <c r="F79" s="10" t="s">
        <v>2664</v>
      </c>
      <c r="G79" s="26" t="s">
        <v>1212</v>
      </c>
      <c r="H79" s="26" t="s">
        <v>1205</v>
      </c>
      <c r="J79" s="26" t="s">
        <v>756</v>
      </c>
      <c r="K79" s="26" t="s">
        <v>1207</v>
      </c>
      <c r="L79" s="26">
        <v>3</v>
      </c>
      <c r="M79" s="26">
        <v>3</v>
      </c>
      <c r="N79" s="26">
        <v>13427</v>
      </c>
      <c r="R79" s="26">
        <v>9215</v>
      </c>
      <c r="Z79" s="67">
        <f t="shared" si="7"/>
        <v>0.68630371639234378</v>
      </c>
      <c r="AC79" s="20">
        <f t="shared" si="8"/>
        <v>0.68630371639234378</v>
      </c>
      <c r="AD79" s="20"/>
      <c r="AE79" s="20"/>
      <c r="AF79" s="20"/>
      <c r="AH79" s="26" t="s">
        <v>14</v>
      </c>
      <c r="AI79" s="26" t="s">
        <v>3</v>
      </c>
      <c r="AK79" s="10" t="s">
        <v>2</v>
      </c>
      <c r="AL79" s="26" t="s">
        <v>2</v>
      </c>
      <c r="AM79" s="26" t="s">
        <v>2605</v>
      </c>
    </row>
    <row r="80" spans="1:39" s="26" customFormat="1" x14ac:dyDescent="0.3">
      <c r="A80" s="26" t="s">
        <v>1203</v>
      </c>
      <c r="B80" s="26" t="s">
        <v>827</v>
      </c>
      <c r="C80" s="26" t="s">
        <v>828</v>
      </c>
      <c r="D80" s="34" t="s">
        <v>1204</v>
      </c>
      <c r="E80" s="26">
        <v>2007</v>
      </c>
      <c r="F80" s="10" t="s">
        <v>2664</v>
      </c>
      <c r="G80" s="26" t="s">
        <v>1212</v>
      </c>
      <c r="H80" s="26" t="s">
        <v>1205</v>
      </c>
      <c r="J80" s="26" t="s">
        <v>756</v>
      </c>
      <c r="K80" s="26" t="s">
        <v>1208</v>
      </c>
      <c r="L80" s="26">
        <v>3</v>
      </c>
      <c r="M80" s="26">
        <v>3</v>
      </c>
      <c r="N80" s="26">
        <v>13427</v>
      </c>
      <c r="R80" s="26">
        <v>7767</v>
      </c>
      <c r="Z80" s="67">
        <f t="shared" si="7"/>
        <v>0.57846130930215234</v>
      </c>
      <c r="AC80" s="20">
        <f t="shared" si="8"/>
        <v>0.57846130930215234</v>
      </c>
      <c r="AD80" s="20"/>
      <c r="AE80" s="20"/>
      <c r="AF80" s="20"/>
      <c r="AH80" s="26" t="s">
        <v>14</v>
      </c>
      <c r="AI80" s="26" t="s">
        <v>3</v>
      </c>
      <c r="AK80" s="10" t="s">
        <v>2</v>
      </c>
      <c r="AL80" s="26" t="s">
        <v>2</v>
      </c>
      <c r="AM80" s="26" t="s">
        <v>2606</v>
      </c>
    </row>
    <row r="81" spans="1:39" s="26" customFormat="1" x14ac:dyDescent="0.3">
      <c r="A81" s="26" t="s">
        <v>1203</v>
      </c>
      <c r="B81" s="26" t="s">
        <v>827</v>
      </c>
      <c r="C81" s="26" t="s">
        <v>828</v>
      </c>
      <c r="D81" s="34" t="s">
        <v>1204</v>
      </c>
      <c r="E81" s="26">
        <v>2007</v>
      </c>
      <c r="F81" s="10" t="s">
        <v>2664</v>
      </c>
      <c r="G81" s="26" t="s">
        <v>1212</v>
      </c>
      <c r="H81" s="26" t="s">
        <v>1205</v>
      </c>
      <c r="J81" s="26" t="s">
        <v>756</v>
      </c>
      <c r="K81" s="26" t="s">
        <v>1209</v>
      </c>
      <c r="L81" s="26">
        <v>3</v>
      </c>
      <c r="M81" s="26">
        <v>3</v>
      </c>
      <c r="N81" s="26">
        <v>13427</v>
      </c>
      <c r="R81" s="26">
        <v>8221</v>
      </c>
      <c r="Z81" s="67">
        <f t="shared" si="7"/>
        <v>0.61227377671855221</v>
      </c>
      <c r="AC81" s="20">
        <f t="shared" si="8"/>
        <v>0.61227377671855221</v>
      </c>
      <c r="AD81" s="20"/>
      <c r="AE81" s="20"/>
      <c r="AF81" s="20"/>
      <c r="AH81" s="26" t="s">
        <v>14</v>
      </c>
      <c r="AI81" s="26" t="s">
        <v>3</v>
      </c>
      <c r="AK81" s="10" t="s">
        <v>2</v>
      </c>
      <c r="AL81" s="26" t="s">
        <v>2</v>
      </c>
      <c r="AM81" s="26" t="s">
        <v>2606</v>
      </c>
    </row>
    <row r="82" spans="1:39" s="26" customFormat="1" x14ac:dyDescent="0.3">
      <c r="A82" s="26" t="s">
        <v>1203</v>
      </c>
      <c r="B82" s="26" t="s">
        <v>827</v>
      </c>
      <c r="C82" s="26" t="s">
        <v>828</v>
      </c>
      <c r="D82" s="34" t="s">
        <v>1204</v>
      </c>
      <c r="E82" s="26">
        <v>2007</v>
      </c>
      <c r="F82" s="10" t="s">
        <v>2664</v>
      </c>
      <c r="G82" s="26" t="s">
        <v>1211</v>
      </c>
      <c r="H82" s="26" t="s">
        <v>1205</v>
      </c>
      <c r="J82" s="26" t="s">
        <v>756</v>
      </c>
      <c r="K82" s="26" t="s">
        <v>1210</v>
      </c>
      <c r="L82" s="26">
        <v>3</v>
      </c>
      <c r="M82" s="26">
        <v>3</v>
      </c>
      <c r="N82" s="26">
        <v>13511</v>
      </c>
      <c r="R82" s="26">
        <v>10024</v>
      </c>
      <c r="Z82" s="67">
        <f t="shared" si="7"/>
        <v>0.74191399600325658</v>
      </c>
      <c r="AC82" s="20">
        <f t="shared" si="8"/>
        <v>0.74191399600325658</v>
      </c>
      <c r="AD82" s="20"/>
      <c r="AE82" s="20"/>
      <c r="AF82" s="20"/>
      <c r="AH82" s="26" t="s">
        <v>14</v>
      </c>
      <c r="AI82" s="26" t="s">
        <v>3</v>
      </c>
      <c r="AK82" s="10" t="s">
        <v>2</v>
      </c>
      <c r="AL82" s="26" t="s">
        <v>2</v>
      </c>
      <c r="AM82" s="26" t="s">
        <v>2606</v>
      </c>
    </row>
    <row r="83" spans="1:39" s="26" customFormat="1" x14ac:dyDescent="0.3">
      <c r="A83" s="26" t="s">
        <v>1203</v>
      </c>
      <c r="B83" s="26" t="s">
        <v>827</v>
      </c>
      <c r="C83" s="26" t="s">
        <v>828</v>
      </c>
      <c r="D83" s="34" t="s">
        <v>1204</v>
      </c>
      <c r="E83" s="26">
        <v>2007</v>
      </c>
      <c r="F83" s="10" t="s">
        <v>2664</v>
      </c>
      <c r="G83" s="26" t="s">
        <v>1212</v>
      </c>
      <c r="H83" s="26" t="s">
        <v>1205</v>
      </c>
      <c r="J83" s="26" t="s">
        <v>756</v>
      </c>
      <c r="K83" s="26" t="s">
        <v>1210</v>
      </c>
      <c r="L83" s="26">
        <v>3</v>
      </c>
      <c r="M83" s="26">
        <v>3</v>
      </c>
      <c r="N83" s="26">
        <v>13427</v>
      </c>
      <c r="R83" s="26">
        <v>5812</v>
      </c>
      <c r="Z83" s="67">
        <f t="shared" si="7"/>
        <v>0.43285916437029864</v>
      </c>
      <c r="AC83" s="20">
        <f t="shared" si="8"/>
        <v>0.43285916437029864</v>
      </c>
      <c r="AD83" s="20"/>
      <c r="AE83" s="20"/>
      <c r="AF83" s="20"/>
      <c r="AH83" s="26" t="s">
        <v>14</v>
      </c>
      <c r="AI83" s="26" t="s">
        <v>3</v>
      </c>
      <c r="AK83" s="10" t="s">
        <v>2</v>
      </c>
      <c r="AL83" s="26" t="s">
        <v>2</v>
      </c>
      <c r="AM83" s="26" t="s">
        <v>2606</v>
      </c>
    </row>
    <row r="84" spans="1:39" x14ac:dyDescent="0.3">
      <c r="AK84" s="10"/>
    </row>
  </sheetData>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8E094-483C-4E8D-9E9A-19B189F560D9}">
  <dimension ref="A1:BC95"/>
  <sheetViews>
    <sheetView tabSelected="1" workbookViewId="0">
      <pane ySplit="1" topLeftCell="A2" activePane="bottomLeft" state="frozen"/>
      <selection activeCell="N1" sqref="N1"/>
      <selection pane="bottomLeft" activeCell="G2" sqref="G2"/>
    </sheetView>
  </sheetViews>
  <sheetFormatPr defaultRowHeight="14.4" x14ac:dyDescent="0.3"/>
  <cols>
    <col min="4" max="4" width="20.44140625" customWidth="1"/>
    <col min="7" max="7" width="26.44140625" customWidth="1"/>
    <col min="8" max="8" width="14" customWidth="1"/>
    <col min="10" max="10" width="15.109375" customWidth="1"/>
  </cols>
  <sheetData>
    <row r="1" spans="1:55" x14ac:dyDescent="0.3">
      <c r="A1" s="77" t="s">
        <v>9</v>
      </c>
      <c r="B1" s="77" t="s">
        <v>26</v>
      </c>
      <c r="C1" s="77" t="s">
        <v>25</v>
      </c>
      <c r="D1" s="77" t="s">
        <v>27</v>
      </c>
      <c r="E1" s="77" t="s">
        <v>832</v>
      </c>
      <c r="F1" s="77" t="s">
        <v>2659</v>
      </c>
      <c r="G1" s="77" t="s">
        <v>15</v>
      </c>
      <c r="H1" s="77" t="s">
        <v>16</v>
      </c>
      <c r="I1" s="77" t="s">
        <v>11</v>
      </c>
      <c r="J1" s="77" t="s">
        <v>48</v>
      </c>
      <c r="K1" s="77" t="s">
        <v>1671</v>
      </c>
      <c r="L1" s="77" t="s">
        <v>1672</v>
      </c>
      <c r="M1" s="77" t="s">
        <v>1112</v>
      </c>
      <c r="N1" s="77" t="s">
        <v>1114</v>
      </c>
      <c r="O1" s="79" t="s">
        <v>2803</v>
      </c>
      <c r="P1" s="77" t="s">
        <v>2651</v>
      </c>
      <c r="Q1" s="77" t="s">
        <v>1115</v>
      </c>
      <c r="R1" s="79" t="s">
        <v>2804</v>
      </c>
      <c r="S1" s="77" t="s">
        <v>2792</v>
      </c>
      <c r="T1" s="77" t="s">
        <v>2794</v>
      </c>
      <c r="U1" s="77" t="s">
        <v>2797</v>
      </c>
      <c r="V1" s="77" t="s">
        <v>2796</v>
      </c>
      <c r="W1" s="77" t="s">
        <v>2765</v>
      </c>
      <c r="X1" s="77" t="s">
        <v>1154</v>
      </c>
      <c r="Y1" s="77" t="s">
        <v>1155</v>
      </c>
      <c r="Z1" s="79" t="s">
        <v>2808</v>
      </c>
      <c r="AA1" s="79" t="s">
        <v>2807</v>
      </c>
      <c r="AB1" s="77" t="s">
        <v>2787</v>
      </c>
      <c r="AC1" s="77" t="s">
        <v>21</v>
      </c>
      <c r="AD1" s="77" t="s">
        <v>1999</v>
      </c>
      <c r="AE1" s="77" t="s">
        <v>2000</v>
      </c>
      <c r="AF1" s="77" t="s">
        <v>2002</v>
      </c>
      <c r="AG1" s="77" t="s">
        <v>2033</v>
      </c>
      <c r="AH1" s="77" t="s">
        <v>2032</v>
      </c>
      <c r="AI1" s="77" t="s">
        <v>2034</v>
      </c>
      <c r="AJ1" s="77" t="s">
        <v>12</v>
      </c>
      <c r="AK1" s="77" t="s">
        <v>1991</v>
      </c>
      <c r="AL1" s="77" t="s">
        <v>2414</v>
      </c>
      <c r="AM1" s="77" t="s">
        <v>2392</v>
      </c>
      <c r="AQ1" s="6"/>
      <c r="AR1" s="6"/>
      <c r="AS1" s="6"/>
      <c r="BA1" s="46"/>
      <c r="BB1" s="6"/>
      <c r="BC1" s="6"/>
    </row>
    <row r="2" spans="1:55" s="10" customFormat="1" x14ac:dyDescent="0.3">
      <c r="A2" s="10" t="s">
        <v>1092</v>
      </c>
      <c r="B2" s="10" t="s">
        <v>1055</v>
      </c>
      <c r="C2" s="10" t="s">
        <v>1094</v>
      </c>
      <c r="E2" s="10" t="s">
        <v>2618</v>
      </c>
      <c r="F2" s="10" t="s">
        <v>2665</v>
      </c>
      <c r="G2" s="10" t="s">
        <v>1098</v>
      </c>
      <c r="H2" s="10" t="s">
        <v>1100</v>
      </c>
      <c r="J2" s="10" t="s">
        <v>1095</v>
      </c>
      <c r="K2" s="10">
        <v>20</v>
      </c>
      <c r="L2" s="10">
        <v>20</v>
      </c>
      <c r="S2" s="10">
        <v>0.48</v>
      </c>
      <c r="T2" s="14">
        <f>(0.09*3+0.62*5)/8</f>
        <v>0.42125000000000001</v>
      </c>
      <c r="U2" s="10">
        <v>6.6</v>
      </c>
      <c r="V2" s="10">
        <v>10.1</v>
      </c>
      <c r="W2" s="10">
        <v>200</v>
      </c>
      <c r="X2" s="74">
        <v>4.4988622132699052E-2</v>
      </c>
      <c r="Y2" s="74">
        <v>3.2843466237689133E-3</v>
      </c>
      <c r="Z2" s="10">
        <f>(2.5+9)/2</f>
        <v>5.75</v>
      </c>
      <c r="AB2" s="14">
        <f>Y2/X2</f>
        <v>7.3003938953306008E-2</v>
      </c>
      <c r="AC2" s="14">
        <f>AA2+AB2</f>
        <v>7.3003938953306008E-2</v>
      </c>
      <c r="AK2" s="10" t="s">
        <v>2</v>
      </c>
      <c r="AL2" s="10" t="s">
        <v>2</v>
      </c>
      <c r="AM2" s="10" t="s">
        <v>1093</v>
      </c>
      <c r="BA2" s="74"/>
    </row>
    <row r="3" spans="1:55" s="10" customFormat="1" x14ac:dyDescent="0.3">
      <c r="A3" s="10" t="s">
        <v>1092</v>
      </c>
      <c r="B3" s="10" t="s">
        <v>1055</v>
      </c>
      <c r="C3" s="10" t="s">
        <v>1096</v>
      </c>
      <c r="E3" s="10" t="s">
        <v>2619</v>
      </c>
      <c r="F3" s="10" t="s">
        <v>2665</v>
      </c>
      <c r="G3" s="10" t="s">
        <v>1099</v>
      </c>
      <c r="H3" s="10" t="s">
        <v>1100</v>
      </c>
      <c r="J3" s="10" t="s">
        <v>1097</v>
      </c>
      <c r="K3" s="10">
        <v>20</v>
      </c>
      <c r="L3" s="10">
        <v>20</v>
      </c>
      <c r="S3" s="10">
        <v>0.47</v>
      </c>
      <c r="T3" s="14">
        <f>(0.23*2+0.28*5)/7</f>
        <v>0.26571428571428574</v>
      </c>
      <c r="U3" s="10">
        <v>6.7</v>
      </c>
      <c r="V3" s="10">
        <v>3.6</v>
      </c>
      <c r="W3" s="10">
        <v>400</v>
      </c>
      <c r="X3" s="74">
        <v>3.0021526148612592E-3</v>
      </c>
      <c r="Y3" s="74">
        <v>6.6282264283233534E-3</v>
      </c>
      <c r="Z3" s="10">
        <f>(2.5+9)/2</f>
        <v>5.75</v>
      </c>
      <c r="AB3" s="14">
        <f>Y3/X3</f>
        <v>2.2078246107517319</v>
      </c>
      <c r="AC3" s="14">
        <f t="shared" ref="AC3" si="0">AA3+AB3</f>
        <v>2.2078246107517319</v>
      </c>
      <c r="AK3" s="10" t="s">
        <v>2</v>
      </c>
      <c r="AL3" s="10" t="s">
        <v>2</v>
      </c>
      <c r="AM3" s="10" t="s">
        <v>1093</v>
      </c>
      <c r="BA3" s="74"/>
    </row>
    <row r="4" spans="1:55" s="10" customFormat="1" x14ac:dyDescent="0.3">
      <c r="A4" s="10" t="s">
        <v>1107</v>
      </c>
      <c r="B4" s="10" t="s">
        <v>286</v>
      </c>
      <c r="C4" s="10" t="s">
        <v>287</v>
      </c>
      <c r="D4" s="10" t="s">
        <v>1108</v>
      </c>
      <c r="E4" s="10">
        <v>2006</v>
      </c>
      <c r="F4" s="10" t="s">
        <v>2665</v>
      </c>
      <c r="G4" s="10" t="s">
        <v>1109</v>
      </c>
      <c r="H4" s="10" t="s">
        <v>1110</v>
      </c>
      <c r="J4" s="16" t="s">
        <v>1111</v>
      </c>
      <c r="K4" s="10">
        <v>3</v>
      </c>
      <c r="L4" s="10">
        <v>3</v>
      </c>
      <c r="M4" s="10">
        <f>405.8*(10000/1000)</f>
        <v>4058</v>
      </c>
      <c r="N4" s="10">
        <f>9*10</f>
        <v>90</v>
      </c>
      <c r="P4" s="10">
        <f>250.6*(10000/1000)</f>
        <v>2506</v>
      </c>
      <c r="Q4" s="10">
        <f>6.3*10</f>
        <v>63</v>
      </c>
      <c r="W4" s="10">
        <f>(85+120)/2</f>
        <v>102.5</v>
      </c>
      <c r="AA4" s="14">
        <f t="shared" ref="AA4:AA35" si="1">P4/M4</f>
        <v>0.61754558896007883</v>
      </c>
      <c r="AB4" s="14"/>
      <c r="AC4" s="14">
        <f t="shared" ref="AC4:AC64" si="2">AA4+AB4</f>
        <v>0.61754558896007883</v>
      </c>
      <c r="AD4" s="10">
        <f t="shared" ref="AD4:AD25" si="3">((Q4*SQRT(L4))^2)/(M4^2)+((N4*SQRT(K4))^2)*(P4^2)/(M4^4)</f>
        <v>1.2858226776908818E-3</v>
      </c>
      <c r="AF4" s="10">
        <f t="shared" ref="AF4:AF65" si="4">AD4+AE4</f>
        <v>1.2858226776908818E-3</v>
      </c>
      <c r="AK4" s="10" t="s">
        <v>2</v>
      </c>
      <c r="AL4" s="10" t="s">
        <v>2</v>
      </c>
      <c r="AM4" s="10" t="s">
        <v>1116</v>
      </c>
    </row>
    <row r="5" spans="1:55" s="1" customFormat="1" x14ac:dyDescent="0.3">
      <c r="A5" s="10" t="s">
        <v>1129</v>
      </c>
      <c r="B5" s="10" t="s">
        <v>282</v>
      </c>
      <c r="C5" s="10" t="s">
        <v>1128</v>
      </c>
      <c r="D5" s="10" t="s">
        <v>1130</v>
      </c>
      <c r="E5" s="10"/>
      <c r="F5" s="10" t="s">
        <v>2665</v>
      </c>
      <c r="G5" s="10" t="s">
        <v>1138</v>
      </c>
      <c r="H5" s="10" t="s">
        <v>1139</v>
      </c>
      <c r="I5" s="10" t="s">
        <v>1134</v>
      </c>
      <c r="J5" s="10" t="s">
        <v>1133</v>
      </c>
      <c r="K5" s="10">
        <v>6</v>
      </c>
      <c r="L5" s="10">
        <v>6</v>
      </c>
      <c r="M5" s="10">
        <f>67*10</f>
        <v>670</v>
      </c>
      <c r="N5" s="39">
        <f t="shared" ref="N5:N16" si="5">O5/1.96</f>
        <v>107.14285714285714</v>
      </c>
      <c r="O5" s="10">
        <v>210</v>
      </c>
      <c r="P5" s="10">
        <f>79*10</f>
        <v>790</v>
      </c>
      <c r="Q5" s="39">
        <f>R5/1.96</f>
        <v>158.16326530612244</v>
      </c>
      <c r="R5" s="10">
        <v>310</v>
      </c>
      <c r="S5" s="10"/>
      <c r="T5" s="10"/>
      <c r="U5" s="10"/>
      <c r="V5" s="10"/>
      <c r="W5" s="10">
        <v>21</v>
      </c>
      <c r="X5" s="10"/>
      <c r="Y5" s="10"/>
      <c r="Z5" s="10">
        <v>45.4</v>
      </c>
      <c r="AA5" s="14">
        <f t="shared" si="1"/>
        <v>1.1791044776119404</v>
      </c>
      <c r="AB5" s="14"/>
      <c r="AC5" s="14">
        <f t="shared" si="2"/>
        <v>1.1791044776119404</v>
      </c>
      <c r="AD5" s="10">
        <f t="shared" si="3"/>
        <v>0.54767943897008864</v>
      </c>
      <c r="AE5" s="10"/>
      <c r="AF5" s="10">
        <f t="shared" si="4"/>
        <v>0.54767943897008864</v>
      </c>
      <c r="AG5" s="10">
        <v>0</v>
      </c>
      <c r="AH5" s="10"/>
      <c r="AI5" s="10"/>
      <c r="AJ5" s="10" t="s">
        <v>2</v>
      </c>
      <c r="AK5" s="10" t="s">
        <v>2</v>
      </c>
      <c r="AL5" s="10" t="s">
        <v>2</v>
      </c>
      <c r="AM5" s="10" t="s">
        <v>2607</v>
      </c>
      <c r="AN5" s="16"/>
      <c r="AT5"/>
      <c r="AU5"/>
      <c r="AV5"/>
      <c r="AW5"/>
      <c r="AX5"/>
      <c r="AY5"/>
      <c r="AZ5"/>
    </row>
    <row r="6" spans="1:55" s="1" customFormat="1" x14ac:dyDescent="0.3">
      <c r="A6" s="10" t="s">
        <v>1129</v>
      </c>
      <c r="B6" s="10" t="s">
        <v>282</v>
      </c>
      <c r="C6" s="10" t="s">
        <v>1128</v>
      </c>
      <c r="D6" s="10" t="s">
        <v>1130</v>
      </c>
      <c r="E6" s="10"/>
      <c r="F6" s="10" t="s">
        <v>2665</v>
      </c>
      <c r="G6" s="10" t="s">
        <v>1138</v>
      </c>
      <c r="H6" s="10" t="s">
        <v>1139</v>
      </c>
      <c r="I6" s="10" t="s">
        <v>1135</v>
      </c>
      <c r="J6" s="10" t="s">
        <v>1133</v>
      </c>
      <c r="K6" s="10">
        <v>6</v>
      </c>
      <c r="L6" s="10">
        <v>6</v>
      </c>
      <c r="M6" s="10">
        <f>59*10</f>
        <v>590</v>
      </c>
      <c r="N6" s="39">
        <f t="shared" si="5"/>
        <v>76.530612244897966</v>
      </c>
      <c r="O6" s="10">
        <v>150</v>
      </c>
      <c r="P6" s="10">
        <f>151*10</f>
        <v>1510</v>
      </c>
      <c r="Q6" s="39">
        <f t="shared" ref="Q6:Q16" si="6">R6/1.96</f>
        <v>214.28571428571428</v>
      </c>
      <c r="R6" s="10">
        <v>420</v>
      </c>
      <c r="S6" s="10"/>
      <c r="T6" s="10"/>
      <c r="U6" s="10"/>
      <c r="V6" s="10"/>
      <c r="W6" s="10">
        <v>21</v>
      </c>
      <c r="X6" s="10"/>
      <c r="Y6" s="10"/>
      <c r="Z6" s="10">
        <v>45.4</v>
      </c>
      <c r="AA6" s="14">
        <f t="shared" si="1"/>
        <v>2.5593220338983049</v>
      </c>
      <c r="AB6" s="14"/>
      <c r="AC6" s="14">
        <f t="shared" si="2"/>
        <v>2.5593220338983049</v>
      </c>
      <c r="AD6" s="10">
        <f t="shared" si="3"/>
        <v>1.4527212787858872</v>
      </c>
      <c r="AE6" s="10"/>
      <c r="AF6" s="10">
        <f t="shared" si="4"/>
        <v>1.4527212787858872</v>
      </c>
      <c r="AG6" s="10">
        <f>2000*0.15</f>
        <v>300</v>
      </c>
      <c r="AH6" s="10" t="s">
        <v>14</v>
      </c>
      <c r="AI6" s="10"/>
      <c r="AJ6" s="10" t="s">
        <v>2</v>
      </c>
      <c r="AK6" s="10" t="s">
        <v>2</v>
      </c>
      <c r="AL6" s="10" t="s">
        <v>2</v>
      </c>
      <c r="AM6" s="10" t="s">
        <v>2607</v>
      </c>
      <c r="AN6" s="16"/>
    </row>
    <row r="7" spans="1:55" s="1" customFormat="1" x14ac:dyDescent="0.3">
      <c r="A7" s="10" t="s">
        <v>1129</v>
      </c>
      <c r="B7" s="10" t="s">
        <v>282</v>
      </c>
      <c r="C7" s="10" t="s">
        <v>1128</v>
      </c>
      <c r="D7" s="10" t="s">
        <v>1130</v>
      </c>
      <c r="E7" s="10"/>
      <c r="F7" s="10" t="s">
        <v>2665</v>
      </c>
      <c r="G7" s="10" t="s">
        <v>1138</v>
      </c>
      <c r="H7" s="10" t="s">
        <v>1139</v>
      </c>
      <c r="I7" s="10" t="s">
        <v>1136</v>
      </c>
      <c r="J7" s="10" t="s">
        <v>1133</v>
      </c>
      <c r="K7" s="10">
        <v>6</v>
      </c>
      <c r="L7" s="10">
        <v>6</v>
      </c>
      <c r="M7" s="10">
        <f>93*10</f>
        <v>930</v>
      </c>
      <c r="N7" s="39">
        <f t="shared" si="5"/>
        <v>193.87755102040816</v>
      </c>
      <c r="O7" s="10">
        <v>380</v>
      </c>
      <c r="P7" s="10">
        <f>149*10</f>
        <v>1490</v>
      </c>
      <c r="Q7" s="39">
        <f t="shared" si="6"/>
        <v>239.79591836734696</v>
      </c>
      <c r="R7" s="10">
        <v>470</v>
      </c>
      <c r="S7" s="10"/>
      <c r="T7" s="10"/>
      <c r="U7" s="10"/>
      <c r="V7" s="10"/>
      <c r="W7" s="10">
        <v>21</v>
      </c>
      <c r="X7" s="10"/>
      <c r="Y7" s="10"/>
      <c r="Z7" s="10">
        <v>45.4</v>
      </c>
      <c r="AA7" s="14">
        <f t="shared" si="1"/>
        <v>1.6021505376344085</v>
      </c>
      <c r="AB7" s="14"/>
      <c r="AC7" s="14">
        <f t="shared" si="2"/>
        <v>1.6021505376344085</v>
      </c>
      <c r="AD7" s="10">
        <f t="shared" si="3"/>
        <v>1.068244898704944</v>
      </c>
      <c r="AE7" s="10"/>
      <c r="AF7" s="10">
        <f t="shared" si="4"/>
        <v>1.068244898704944</v>
      </c>
      <c r="AG7" s="10">
        <v>0</v>
      </c>
      <c r="AH7" s="10"/>
      <c r="AI7" s="10"/>
      <c r="AJ7" s="10" t="s">
        <v>3</v>
      </c>
      <c r="AK7" s="10" t="s">
        <v>2</v>
      </c>
      <c r="AL7" s="10" t="s">
        <v>2</v>
      </c>
      <c r="AM7" s="10" t="s">
        <v>2607</v>
      </c>
      <c r="AN7" s="16"/>
    </row>
    <row r="8" spans="1:55" s="1" customFormat="1" x14ac:dyDescent="0.3">
      <c r="A8" s="10" t="s">
        <v>1129</v>
      </c>
      <c r="B8" s="10" t="s">
        <v>282</v>
      </c>
      <c r="C8" s="10" t="s">
        <v>1128</v>
      </c>
      <c r="D8" s="10" t="s">
        <v>1130</v>
      </c>
      <c r="E8" s="10"/>
      <c r="F8" s="10" t="s">
        <v>2665</v>
      </c>
      <c r="G8" s="10" t="s">
        <v>1138</v>
      </c>
      <c r="H8" s="10" t="s">
        <v>1139</v>
      </c>
      <c r="I8" s="10" t="s">
        <v>1137</v>
      </c>
      <c r="J8" s="10" t="s">
        <v>1133</v>
      </c>
      <c r="K8" s="10">
        <v>6</v>
      </c>
      <c r="L8" s="10">
        <v>6</v>
      </c>
      <c r="M8" s="10">
        <f>74*10</f>
        <v>740</v>
      </c>
      <c r="N8" s="39">
        <f t="shared" si="5"/>
        <v>102.04081632653062</v>
      </c>
      <c r="O8" s="10">
        <v>200</v>
      </c>
      <c r="P8" s="10">
        <f>210*10</f>
        <v>2100</v>
      </c>
      <c r="Q8" s="39">
        <f t="shared" si="6"/>
        <v>382.65306122448982</v>
      </c>
      <c r="R8" s="10">
        <v>750</v>
      </c>
      <c r="S8" s="10"/>
      <c r="T8" s="10"/>
      <c r="U8" s="10"/>
      <c r="V8" s="10"/>
      <c r="W8" s="10">
        <v>21</v>
      </c>
      <c r="X8" s="10"/>
      <c r="Y8" s="10"/>
      <c r="Z8" s="10">
        <v>45.4</v>
      </c>
      <c r="AA8" s="14">
        <f t="shared" si="1"/>
        <v>2.8378378378378377</v>
      </c>
      <c r="AB8" s="14"/>
      <c r="AC8" s="14">
        <f t="shared" si="2"/>
        <v>2.8378378378378377</v>
      </c>
      <c r="AD8" s="10">
        <f t="shared" si="3"/>
        <v>2.5231250576744255</v>
      </c>
      <c r="AE8" s="10"/>
      <c r="AF8" s="10">
        <f t="shared" si="4"/>
        <v>2.5231250576744255</v>
      </c>
      <c r="AG8" s="10">
        <f>2000*0.15</f>
        <v>300</v>
      </c>
      <c r="AH8" s="10" t="s">
        <v>14</v>
      </c>
      <c r="AI8" s="10"/>
      <c r="AJ8" s="10" t="s">
        <v>3</v>
      </c>
      <c r="AK8" s="10" t="s">
        <v>2</v>
      </c>
      <c r="AL8" s="10" t="s">
        <v>2</v>
      </c>
      <c r="AM8" s="10" t="s">
        <v>2607</v>
      </c>
      <c r="AN8" s="16"/>
    </row>
    <row r="9" spans="1:55" s="1" customFormat="1" x14ac:dyDescent="0.3">
      <c r="A9" s="10" t="s">
        <v>1129</v>
      </c>
      <c r="B9" s="10" t="s">
        <v>282</v>
      </c>
      <c r="C9" s="10" t="s">
        <v>1128</v>
      </c>
      <c r="D9" s="10" t="s">
        <v>1131</v>
      </c>
      <c r="E9" s="10"/>
      <c r="F9" s="10" t="s">
        <v>2665</v>
      </c>
      <c r="G9" s="10" t="s">
        <v>1138</v>
      </c>
      <c r="H9" s="10" t="s">
        <v>1139</v>
      </c>
      <c r="I9" s="10" t="s">
        <v>1134</v>
      </c>
      <c r="J9" s="10" t="s">
        <v>1133</v>
      </c>
      <c r="K9" s="10">
        <v>6</v>
      </c>
      <c r="L9" s="10">
        <v>6</v>
      </c>
      <c r="M9" s="10">
        <f>91*10</f>
        <v>910</v>
      </c>
      <c r="N9" s="39">
        <f t="shared" si="5"/>
        <v>91.83673469387756</v>
      </c>
      <c r="O9" s="10">
        <v>180</v>
      </c>
      <c r="P9" s="10">
        <f>122*10</f>
        <v>1220</v>
      </c>
      <c r="Q9" s="39">
        <f t="shared" si="6"/>
        <v>255.10204081632654</v>
      </c>
      <c r="R9" s="10">
        <v>500</v>
      </c>
      <c r="S9" s="10"/>
      <c r="T9" s="10"/>
      <c r="U9" s="10"/>
      <c r="V9" s="10"/>
      <c r="W9" s="10">
        <v>29</v>
      </c>
      <c r="X9" s="10"/>
      <c r="Y9" s="10"/>
      <c r="Z9" s="10">
        <v>48.7</v>
      </c>
      <c r="AA9" s="14">
        <f t="shared" si="1"/>
        <v>1.3406593406593406</v>
      </c>
      <c r="AB9" s="14"/>
      <c r="AC9" s="14">
        <f t="shared" si="2"/>
        <v>1.3406593406593406</v>
      </c>
      <c r="AD9" s="10">
        <f t="shared" si="3"/>
        <v>0.58135024513303923</v>
      </c>
      <c r="AE9" s="10"/>
      <c r="AF9" s="10">
        <f t="shared" si="4"/>
        <v>0.58135024513303923</v>
      </c>
      <c r="AG9" s="10">
        <v>0</v>
      </c>
      <c r="AH9" s="10"/>
      <c r="AI9" s="10"/>
      <c r="AJ9" s="10" t="s">
        <v>2</v>
      </c>
      <c r="AK9" s="10" t="s">
        <v>2</v>
      </c>
      <c r="AL9" s="10" t="s">
        <v>2</v>
      </c>
      <c r="AM9" s="10" t="s">
        <v>2607</v>
      </c>
      <c r="AN9" s="16"/>
    </row>
    <row r="10" spans="1:55" s="1" customFormat="1" x14ac:dyDescent="0.3">
      <c r="A10" s="10" t="s">
        <v>1129</v>
      </c>
      <c r="B10" s="10" t="s">
        <v>282</v>
      </c>
      <c r="C10" s="10" t="s">
        <v>1128</v>
      </c>
      <c r="D10" s="10" t="s">
        <v>1131</v>
      </c>
      <c r="E10" s="10"/>
      <c r="F10" s="10" t="s">
        <v>2665</v>
      </c>
      <c r="G10" s="10" t="s">
        <v>1138</v>
      </c>
      <c r="H10" s="10" t="s">
        <v>1139</v>
      </c>
      <c r="I10" s="10" t="s">
        <v>1135</v>
      </c>
      <c r="J10" s="10" t="s">
        <v>1133</v>
      </c>
      <c r="K10" s="10">
        <v>6</v>
      </c>
      <c r="L10" s="10">
        <v>6</v>
      </c>
      <c r="M10" s="10">
        <f>99*10</f>
        <v>990</v>
      </c>
      <c r="N10" s="39">
        <f t="shared" si="5"/>
        <v>117.34693877551021</v>
      </c>
      <c r="O10" s="10">
        <v>230</v>
      </c>
      <c r="P10" s="10">
        <f>180*10</f>
        <v>1800</v>
      </c>
      <c r="Q10" s="39">
        <f t="shared" si="6"/>
        <v>239.79591836734696</v>
      </c>
      <c r="R10" s="10">
        <v>470</v>
      </c>
      <c r="S10" s="10"/>
      <c r="T10" s="10"/>
      <c r="U10" s="10"/>
      <c r="V10" s="10"/>
      <c r="W10" s="10">
        <v>29</v>
      </c>
      <c r="X10" s="10"/>
      <c r="Y10" s="10"/>
      <c r="Z10" s="10">
        <v>48.7</v>
      </c>
      <c r="AA10" s="14">
        <f t="shared" si="1"/>
        <v>1.8181818181818181</v>
      </c>
      <c r="AB10" s="14"/>
      <c r="AC10" s="14">
        <f t="shared" si="2"/>
        <v>1.8181818181818181</v>
      </c>
      <c r="AD10" s="10">
        <f t="shared" si="3"/>
        <v>0.63069328872677155</v>
      </c>
      <c r="AE10" s="10"/>
      <c r="AF10" s="10">
        <f t="shared" si="4"/>
        <v>0.63069328872677155</v>
      </c>
      <c r="AG10" s="10">
        <f>2000*0.15</f>
        <v>300</v>
      </c>
      <c r="AH10" s="10" t="s">
        <v>14</v>
      </c>
      <c r="AI10" s="10"/>
      <c r="AJ10" s="10" t="s">
        <v>2</v>
      </c>
      <c r="AK10" s="10" t="s">
        <v>2</v>
      </c>
      <c r="AL10" s="10" t="s">
        <v>2</v>
      </c>
      <c r="AM10" s="10" t="s">
        <v>2607</v>
      </c>
      <c r="AN10" s="16"/>
    </row>
    <row r="11" spans="1:55" s="1" customFormat="1" x14ac:dyDescent="0.3">
      <c r="A11" s="10" t="s">
        <v>1129</v>
      </c>
      <c r="B11" s="10" t="s">
        <v>282</v>
      </c>
      <c r="C11" s="10" t="s">
        <v>1128</v>
      </c>
      <c r="D11" s="10" t="s">
        <v>1131</v>
      </c>
      <c r="E11" s="10"/>
      <c r="F11" s="10" t="s">
        <v>2665</v>
      </c>
      <c r="G11" s="10" t="s">
        <v>1138</v>
      </c>
      <c r="H11" s="10" t="s">
        <v>1139</v>
      </c>
      <c r="I11" s="10" t="s">
        <v>1136</v>
      </c>
      <c r="J11" s="10" t="s">
        <v>1133</v>
      </c>
      <c r="K11" s="10">
        <v>6</v>
      </c>
      <c r="L11" s="10">
        <v>6</v>
      </c>
      <c r="M11" s="10">
        <f>104*10</f>
        <v>1040</v>
      </c>
      <c r="N11" s="39">
        <f t="shared" si="5"/>
        <v>142.85714285714286</v>
      </c>
      <c r="O11" s="10">
        <v>280</v>
      </c>
      <c r="P11" s="10">
        <f>184*10</f>
        <v>1840</v>
      </c>
      <c r="Q11" s="39">
        <f t="shared" si="6"/>
        <v>219.38775510204081</v>
      </c>
      <c r="R11" s="10">
        <v>430</v>
      </c>
      <c r="S11" s="10"/>
      <c r="T11" s="10"/>
      <c r="U11" s="10"/>
      <c r="V11" s="10"/>
      <c r="W11" s="10">
        <v>29</v>
      </c>
      <c r="X11" s="10"/>
      <c r="Y11" s="10"/>
      <c r="Z11" s="10">
        <v>48.7</v>
      </c>
      <c r="AA11" s="14">
        <f t="shared" si="1"/>
        <v>1.7692307692307692</v>
      </c>
      <c r="AB11" s="14"/>
      <c r="AC11" s="14">
        <f t="shared" si="2"/>
        <v>1.7692307692307692</v>
      </c>
      <c r="AD11" s="10">
        <f t="shared" si="3"/>
        <v>0.62136923553992252</v>
      </c>
      <c r="AE11" s="10"/>
      <c r="AF11" s="10">
        <f t="shared" si="4"/>
        <v>0.62136923553992252</v>
      </c>
      <c r="AG11" s="10">
        <v>0</v>
      </c>
      <c r="AH11" s="10"/>
      <c r="AI11" s="10"/>
      <c r="AJ11" s="10" t="s">
        <v>3</v>
      </c>
      <c r="AK11" s="10" t="s">
        <v>2</v>
      </c>
      <c r="AL11" s="10" t="s">
        <v>2</v>
      </c>
      <c r="AM11" s="10" t="s">
        <v>2607</v>
      </c>
      <c r="AN11" s="16"/>
    </row>
    <row r="12" spans="1:55" s="1" customFormat="1" x14ac:dyDescent="0.3">
      <c r="A12" s="10" t="s">
        <v>1129</v>
      </c>
      <c r="B12" s="10" t="s">
        <v>282</v>
      </c>
      <c r="C12" s="10" t="s">
        <v>1128</v>
      </c>
      <c r="D12" s="10" t="s">
        <v>1131</v>
      </c>
      <c r="E12" s="10"/>
      <c r="F12" s="10" t="s">
        <v>2665</v>
      </c>
      <c r="G12" s="10" t="s">
        <v>1138</v>
      </c>
      <c r="H12" s="10" t="s">
        <v>1139</v>
      </c>
      <c r="I12" s="10" t="s">
        <v>1137</v>
      </c>
      <c r="J12" s="10" t="s">
        <v>1133</v>
      </c>
      <c r="K12" s="10">
        <v>6</v>
      </c>
      <c r="L12" s="10">
        <v>6</v>
      </c>
      <c r="M12" s="10">
        <f>72*10</f>
        <v>720</v>
      </c>
      <c r="N12" s="39">
        <f t="shared" si="5"/>
        <v>102.04081632653062</v>
      </c>
      <c r="O12" s="10">
        <v>200</v>
      </c>
      <c r="P12" s="10">
        <f>222*10</f>
        <v>2220</v>
      </c>
      <c r="Q12" s="39">
        <f t="shared" si="6"/>
        <v>382.65306122448982</v>
      </c>
      <c r="R12" s="10">
        <v>750</v>
      </c>
      <c r="S12" s="10"/>
      <c r="T12" s="10"/>
      <c r="U12" s="10"/>
      <c r="V12" s="10"/>
      <c r="W12" s="10">
        <v>29</v>
      </c>
      <c r="X12" s="10"/>
      <c r="Y12" s="10"/>
      <c r="Z12" s="10">
        <v>48.7</v>
      </c>
      <c r="AA12" s="14">
        <f t="shared" si="1"/>
        <v>3.0833333333333335</v>
      </c>
      <c r="AB12" s="14"/>
      <c r="AC12" s="14">
        <f t="shared" si="2"/>
        <v>3.0833333333333335</v>
      </c>
      <c r="AD12" s="10">
        <f t="shared" si="3"/>
        <v>2.8404258213741529</v>
      </c>
      <c r="AE12" s="10"/>
      <c r="AF12" s="10">
        <f t="shared" si="4"/>
        <v>2.8404258213741529</v>
      </c>
      <c r="AG12" s="10">
        <f>2000*0.15</f>
        <v>300</v>
      </c>
      <c r="AH12" s="10" t="s">
        <v>14</v>
      </c>
      <c r="AI12" s="10"/>
      <c r="AJ12" s="10" t="s">
        <v>3</v>
      </c>
      <c r="AK12" s="10" t="s">
        <v>2</v>
      </c>
      <c r="AL12" s="10" t="s">
        <v>2</v>
      </c>
      <c r="AM12" s="10" t="s">
        <v>2607</v>
      </c>
      <c r="AN12" s="16"/>
    </row>
    <row r="13" spans="1:55" s="1" customFormat="1" x14ac:dyDescent="0.3">
      <c r="A13" s="10" t="s">
        <v>1129</v>
      </c>
      <c r="B13" s="10" t="s">
        <v>282</v>
      </c>
      <c r="C13" s="10" t="s">
        <v>1128</v>
      </c>
      <c r="D13" s="10" t="s">
        <v>1132</v>
      </c>
      <c r="E13" s="10"/>
      <c r="F13" s="10" t="s">
        <v>2665</v>
      </c>
      <c r="G13" s="10" t="s">
        <v>1138</v>
      </c>
      <c r="H13" s="10" t="s">
        <v>1139</v>
      </c>
      <c r="I13" s="10" t="s">
        <v>1134</v>
      </c>
      <c r="J13" s="10" t="s">
        <v>1133</v>
      </c>
      <c r="K13" s="10">
        <v>6</v>
      </c>
      <c r="L13" s="10">
        <v>6</v>
      </c>
      <c r="M13" s="10">
        <f>103*10</f>
        <v>1030</v>
      </c>
      <c r="N13" s="39">
        <f t="shared" si="5"/>
        <v>122.44897959183673</v>
      </c>
      <c r="O13" s="10">
        <v>240</v>
      </c>
      <c r="P13" s="10">
        <f>137*10</f>
        <v>1370</v>
      </c>
      <c r="Q13" s="39">
        <f t="shared" si="6"/>
        <v>234.69387755102042</v>
      </c>
      <c r="R13" s="10">
        <v>460</v>
      </c>
      <c r="S13" s="10"/>
      <c r="T13" s="10"/>
      <c r="U13" s="10"/>
      <c r="V13" s="10"/>
      <c r="W13" s="10">
        <v>26</v>
      </c>
      <c r="X13" s="10"/>
      <c r="Y13" s="10"/>
      <c r="Z13" s="10">
        <v>42.8</v>
      </c>
      <c r="AA13" s="14">
        <f t="shared" si="1"/>
        <v>1.3300970873786409</v>
      </c>
      <c r="AB13" s="14"/>
      <c r="AC13" s="14">
        <f t="shared" si="2"/>
        <v>1.3300970873786409</v>
      </c>
      <c r="AD13" s="10">
        <f t="shared" si="3"/>
        <v>0.46153758575091741</v>
      </c>
      <c r="AE13" s="10"/>
      <c r="AF13" s="10">
        <f t="shared" si="4"/>
        <v>0.46153758575091741</v>
      </c>
      <c r="AG13" s="10">
        <v>0</v>
      </c>
      <c r="AH13" s="10"/>
      <c r="AI13" s="10"/>
      <c r="AJ13" s="10" t="s">
        <v>2</v>
      </c>
      <c r="AK13" s="10" t="s">
        <v>2</v>
      </c>
      <c r="AL13" s="10" t="s">
        <v>2</v>
      </c>
      <c r="AM13" s="10" t="s">
        <v>2607</v>
      </c>
      <c r="AN13" s="16"/>
    </row>
    <row r="14" spans="1:55" s="1" customFormat="1" x14ac:dyDescent="0.3">
      <c r="A14" s="10" t="s">
        <v>1129</v>
      </c>
      <c r="B14" s="10" t="s">
        <v>282</v>
      </c>
      <c r="C14" s="10" t="s">
        <v>1128</v>
      </c>
      <c r="D14" s="10" t="s">
        <v>1132</v>
      </c>
      <c r="E14" s="10"/>
      <c r="F14" s="10" t="s">
        <v>2665</v>
      </c>
      <c r="G14" s="10" t="s">
        <v>1138</v>
      </c>
      <c r="H14" s="10" t="s">
        <v>1139</v>
      </c>
      <c r="I14" s="10" t="s">
        <v>1135</v>
      </c>
      <c r="J14" s="10" t="s">
        <v>1133</v>
      </c>
      <c r="K14" s="10">
        <v>6</v>
      </c>
      <c r="L14" s="10">
        <v>6</v>
      </c>
      <c r="M14" s="10">
        <f>103*10</f>
        <v>1030</v>
      </c>
      <c r="N14" s="39">
        <f t="shared" si="5"/>
        <v>178.57142857142858</v>
      </c>
      <c r="O14" s="10">
        <v>350</v>
      </c>
      <c r="P14" s="10">
        <f>343*10</f>
        <v>3430</v>
      </c>
      <c r="Q14" s="39">
        <f t="shared" si="6"/>
        <v>413.26530612244898</v>
      </c>
      <c r="R14" s="10">
        <v>810</v>
      </c>
      <c r="S14" s="10"/>
      <c r="T14" s="10"/>
      <c r="U14" s="10"/>
      <c r="V14" s="10"/>
      <c r="W14" s="10">
        <v>26</v>
      </c>
      <c r="X14" s="10"/>
      <c r="Y14" s="10"/>
      <c r="Z14" s="10">
        <v>42.8</v>
      </c>
      <c r="AA14" s="14">
        <f t="shared" si="1"/>
        <v>3.3300970873786406</v>
      </c>
      <c r="AB14" s="14"/>
      <c r="AC14" s="14">
        <f t="shared" si="2"/>
        <v>3.3300970873786406</v>
      </c>
      <c r="AD14" s="10">
        <f t="shared" si="3"/>
        <v>2.9658344412127899</v>
      </c>
      <c r="AE14" s="10"/>
      <c r="AF14" s="10">
        <f t="shared" si="4"/>
        <v>2.9658344412127899</v>
      </c>
      <c r="AG14" s="10">
        <f>2000*0.15</f>
        <v>300</v>
      </c>
      <c r="AH14" s="10" t="s">
        <v>14</v>
      </c>
      <c r="AI14" s="10"/>
      <c r="AJ14" s="10" t="s">
        <v>2</v>
      </c>
      <c r="AK14" s="10" t="s">
        <v>2</v>
      </c>
      <c r="AL14" s="10" t="s">
        <v>2</v>
      </c>
      <c r="AM14" s="10" t="s">
        <v>2607</v>
      </c>
      <c r="AN14" s="16"/>
    </row>
    <row r="15" spans="1:55" s="1" customFormat="1" x14ac:dyDescent="0.3">
      <c r="A15" s="10" t="s">
        <v>1129</v>
      </c>
      <c r="B15" s="10" t="s">
        <v>282</v>
      </c>
      <c r="C15" s="10" t="s">
        <v>1128</v>
      </c>
      <c r="D15" s="10" t="s">
        <v>1132</v>
      </c>
      <c r="E15" s="10"/>
      <c r="F15" s="10" t="s">
        <v>2665</v>
      </c>
      <c r="G15" s="10" t="s">
        <v>1138</v>
      </c>
      <c r="H15" s="10" t="s">
        <v>1139</v>
      </c>
      <c r="I15" s="10" t="s">
        <v>1136</v>
      </c>
      <c r="J15" s="10" t="s">
        <v>1133</v>
      </c>
      <c r="K15" s="10">
        <v>6</v>
      </c>
      <c r="L15" s="10">
        <v>6</v>
      </c>
      <c r="M15" s="10">
        <f>115*10</f>
        <v>1150</v>
      </c>
      <c r="N15" s="39">
        <f t="shared" si="5"/>
        <v>153.06122448979593</v>
      </c>
      <c r="O15" s="10">
        <v>300</v>
      </c>
      <c r="P15" s="10">
        <f>201*10</f>
        <v>2010</v>
      </c>
      <c r="Q15" s="39">
        <f t="shared" si="6"/>
        <v>423.46938775510205</v>
      </c>
      <c r="R15" s="10">
        <v>830</v>
      </c>
      <c r="S15" s="10"/>
      <c r="T15" s="10"/>
      <c r="U15" s="10"/>
      <c r="V15" s="10"/>
      <c r="W15" s="10">
        <v>26</v>
      </c>
      <c r="X15" s="10"/>
      <c r="Y15" s="10"/>
      <c r="Z15" s="10">
        <v>42.8</v>
      </c>
      <c r="AA15" s="14">
        <f t="shared" si="1"/>
        <v>1.7478260869565216</v>
      </c>
      <c r="AB15" s="14"/>
      <c r="AC15" s="14">
        <f t="shared" si="2"/>
        <v>1.7478260869565216</v>
      </c>
      <c r="AD15" s="10">
        <f t="shared" si="3"/>
        <v>1.1382788394589647</v>
      </c>
      <c r="AE15" s="10"/>
      <c r="AF15" s="10">
        <f t="shared" si="4"/>
        <v>1.1382788394589647</v>
      </c>
      <c r="AG15" s="10">
        <v>0</v>
      </c>
      <c r="AH15" s="10"/>
      <c r="AI15" s="10"/>
      <c r="AJ15" s="10" t="s">
        <v>3</v>
      </c>
      <c r="AK15" s="10" t="s">
        <v>2</v>
      </c>
      <c r="AL15" s="10" t="s">
        <v>2</v>
      </c>
      <c r="AM15" s="10" t="s">
        <v>2607</v>
      </c>
      <c r="AN15" s="16"/>
    </row>
    <row r="16" spans="1:55" s="1" customFormat="1" x14ac:dyDescent="0.3">
      <c r="A16" s="10" t="s">
        <v>1129</v>
      </c>
      <c r="B16" s="10" t="s">
        <v>282</v>
      </c>
      <c r="C16" s="10" t="s">
        <v>1128</v>
      </c>
      <c r="D16" s="10" t="s">
        <v>1132</v>
      </c>
      <c r="E16" s="10"/>
      <c r="F16" s="10" t="s">
        <v>2665</v>
      </c>
      <c r="G16" s="10" t="s">
        <v>1138</v>
      </c>
      <c r="H16" s="10" t="s">
        <v>1139</v>
      </c>
      <c r="I16" s="10" t="s">
        <v>1137</v>
      </c>
      <c r="J16" s="10" t="s">
        <v>1133</v>
      </c>
      <c r="K16" s="10">
        <v>6</v>
      </c>
      <c r="L16" s="10">
        <v>6</v>
      </c>
      <c r="M16" s="10">
        <f>101*10</f>
        <v>1010</v>
      </c>
      <c r="N16" s="39">
        <f t="shared" si="5"/>
        <v>163.26530612244898</v>
      </c>
      <c r="O16" s="10">
        <v>320</v>
      </c>
      <c r="P16" s="10">
        <f>283*10</f>
        <v>2830</v>
      </c>
      <c r="Q16" s="39">
        <f t="shared" si="6"/>
        <v>443.87755102040819</v>
      </c>
      <c r="R16" s="10">
        <v>870</v>
      </c>
      <c r="S16" s="10"/>
      <c r="T16" s="10"/>
      <c r="U16" s="10"/>
      <c r="V16" s="10"/>
      <c r="W16" s="10">
        <v>26</v>
      </c>
      <c r="X16" s="10"/>
      <c r="Y16" s="10"/>
      <c r="Z16" s="10">
        <v>42.8</v>
      </c>
      <c r="AA16" s="14">
        <f t="shared" si="1"/>
        <v>2.8019801980198018</v>
      </c>
      <c r="AB16" s="14"/>
      <c r="AC16" s="14">
        <f t="shared" si="2"/>
        <v>2.8019801980198018</v>
      </c>
      <c r="AD16" s="10">
        <f t="shared" si="3"/>
        <v>2.3897807846363532</v>
      </c>
      <c r="AE16" s="10"/>
      <c r="AF16" s="10">
        <f t="shared" si="4"/>
        <v>2.3897807846363532</v>
      </c>
      <c r="AG16" s="10">
        <f>2000*0.15</f>
        <v>300</v>
      </c>
      <c r="AH16" s="10" t="s">
        <v>14</v>
      </c>
      <c r="AI16" s="10"/>
      <c r="AJ16" s="10" t="s">
        <v>3</v>
      </c>
      <c r="AK16" s="10" t="s">
        <v>2</v>
      </c>
      <c r="AL16" s="10" t="s">
        <v>2</v>
      </c>
      <c r="AM16" s="10" t="s">
        <v>2607</v>
      </c>
      <c r="AN16" s="16"/>
    </row>
    <row r="17" spans="1:40" s="10" customFormat="1" x14ac:dyDescent="0.3">
      <c r="A17" s="26" t="s">
        <v>1147</v>
      </c>
      <c r="B17" s="10" t="s">
        <v>1148</v>
      </c>
      <c r="C17" s="10" t="s">
        <v>1149</v>
      </c>
      <c r="D17" s="10" t="s">
        <v>1150</v>
      </c>
      <c r="E17" s="10">
        <v>2007</v>
      </c>
      <c r="F17" s="10" t="s">
        <v>2665</v>
      </c>
      <c r="G17" s="10" t="s">
        <v>1153</v>
      </c>
      <c r="H17" s="10" t="s">
        <v>1152</v>
      </c>
      <c r="J17" s="10" t="s">
        <v>1151</v>
      </c>
      <c r="K17" s="10">
        <v>6</v>
      </c>
      <c r="L17" s="10">
        <v>6</v>
      </c>
      <c r="M17" s="10">
        <v>900</v>
      </c>
      <c r="N17" s="10">
        <f>984-900</f>
        <v>84</v>
      </c>
      <c r="P17" s="10">
        <v>449</v>
      </c>
      <c r="Q17" s="10">
        <f>484-449</f>
        <v>35</v>
      </c>
      <c r="S17" s="39">
        <f>((14.5-12.1)+(25.1-20.6)+(39.5-35.8))/3</f>
        <v>3.5333333333333345</v>
      </c>
      <c r="T17" s="39">
        <f>((16.7-13.4)+(25.3-19.7)+(40.8-34.5))/3</f>
        <v>5.0666666666666655</v>
      </c>
      <c r="U17" s="39">
        <f>((13.9-11.1)+(27.3-20.7)+(45.9-35.4))/3</f>
        <v>6.6333333333333337</v>
      </c>
      <c r="V17" s="39">
        <f>((14.3-10.7)+(29.1-20.8)+(49.7-36.7))/3</f>
        <v>8.3000000000000007</v>
      </c>
      <c r="W17" s="10">
        <v>250</v>
      </c>
      <c r="X17" s="33">
        <v>2.0299999999999999E-2</v>
      </c>
      <c r="Y17" s="33">
        <v>1.6133333333333336E-2</v>
      </c>
      <c r="AA17" s="3">
        <f t="shared" si="1"/>
        <v>0.49888888888888888</v>
      </c>
      <c r="AB17" s="3">
        <f>Y17/X17</f>
        <v>0.79474548440065707</v>
      </c>
      <c r="AC17" s="3">
        <f t="shared" si="2"/>
        <v>1.2936343732895459</v>
      </c>
      <c r="AD17">
        <f t="shared" si="3"/>
        <v>2.2082731193415632E-2</v>
      </c>
      <c r="AF17">
        <f t="shared" si="4"/>
        <v>2.2082731193415632E-2</v>
      </c>
      <c r="AK17" s="10" t="s">
        <v>2</v>
      </c>
      <c r="AL17" s="10" t="s">
        <v>3</v>
      </c>
      <c r="AM17" s="10" t="s">
        <v>2608</v>
      </c>
    </row>
    <row r="18" spans="1:40" s="10" customFormat="1" x14ac:dyDescent="0.3">
      <c r="A18" s="26" t="s">
        <v>1147</v>
      </c>
      <c r="B18" s="10" t="s">
        <v>1148</v>
      </c>
      <c r="C18" s="10" t="s">
        <v>1149</v>
      </c>
      <c r="D18" s="10" t="s">
        <v>1150</v>
      </c>
      <c r="E18" s="10">
        <v>2008</v>
      </c>
      <c r="F18" s="10" t="s">
        <v>2665</v>
      </c>
      <c r="G18" s="10" t="s">
        <v>1153</v>
      </c>
      <c r="H18" s="10" t="s">
        <v>1152</v>
      </c>
      <c r="J18" s="10" t="s">
        <v>1151</v>
      </c>
      <c r="K18" s="10">
        <v>6</v>
      </c>
      <c r="L18" s="10">
        <v>6</v>
      </c>
      <c r="M18" s="10">
        <v>619</v>
      </c>
      <c r="N18" s="10">
        <f>714-619</f>
        <v>95</v>
      </c>
      <c r="P18" s="10">
        <v>196</v>
      </c>
      <c r="Q18" s="10">
        <f>222-196</f>
        <v>26</v>
      </c>
      <c r="S18" s="39">
        <f>((0)+(0)+(0))/3</f>
        <v>0</v>
      </c>
      <c r="T18" s="39">
        <f>((18.4-16.7)+(27.4-25.3)+(44.1-40.8))/3</f>
        <v>2.3666666666666671</v>
      </c>
      <c r="U18" s="39">
        <f>((15-13.9)+(27.7-27.3)+(47.9-45.9))/3</f>
        <v>1.1666666666666661</v>
      </c>
      <c r="V18" s="39">
        <f>((15.7-14.3)+(30.8-29.1)+(53-49.7))/3</f>
        <v>2.1333333333333315</v>
      </c>
      <c r="W18" s="10">
        <v>250</v>
      </c>
      <c r="X18" s="33">
        <v>8.6999999999999994E-3</v>
      </c>
      <c r="Y18" s="33">
        <v>1.7666666666666664E-3</v>
      </c>
      <c r="AA18" s="3">
        <f t="shared" si="1"/>
        <v>0.31663974151857838</v>
      </c>
      <c r="AB18" s="3">
        <f>Y18/X18</f>
        <v>0.20306513409961685</v>
      </c>
      <c r="AC18" s="3">
        <f t="shared" si="2"/>
        <v>0.51970487561819523</v>
      </c>
      <c r="AD18">
        <f t="shared" si="3"/>
        <v>2.4754915839476761E-2</v>
      </c>
      <c r="AF18">
        <f t="shared" si="4"/>
        <v>2.4754915839476761E-2</v>
      </c>
      <c r="AK18" s="10" t="s">
        <v>2</v>
      </c>
      <c r="AL18" s="10" t="s">
        <v>3</v>
      </c>
      <c r="AM18" s="10" t="s">
        <v>2608</v>
      </c>
    </row>
    <row r="19" spans="1:40" s="10" customFormat="1" x14ac:dyDescent="0.3">
      <c r="A19" s="26" t="s">
        <v>1147</v>
      </c>
      <c r="B19" s="10" t="s">
        <v>1148</v>
      </c>
      <c r="C19" s="10" t="s">
        <v>1149</v>
      </c>
      <c r="D19" s="10" t="s">
        <v>1150</v>
      </c>
      <c r="E19" s="10">
        <v>2009</v>
      </c>
      <c r="F19" s="10" t="s">
        <v>2665</v>
      </c>
      <c r="G19" s="10" t="s">
        <v>1153</v>
      </c>
      <c r="H19" s="10" t="s">
        <v>1152</v>
      </c>
      <c r="J19" s="10" t="s">
        <v>1151</v>
      </c>
      <c r="K19" s="10">
        <v>6</v>
      </c>
      <c r="L19" s="10">
        <v>6</v>
      </c>
      <c r="M19" s="10">
        <v>1251</v>
      </c>
      <c r="N19" s="10">
        <f>1320-1251</f>
        <v>69</v>
      </c>
      <c r="P19" s="10">
        <v>837</v>
      </c>
      <c r="Q19" s="10">
        <f>885-837</f>
        <v>48</v>
      </c>
      <c r="S19" s="39">
        <f>((15.3-14.1)+(24.7-24)+(0))/3</f>
        <v>0.63333333333333341</v>
      </c>
      <c r="T19" s="39">
        <f>((22.8-18.4)+(34.3-27.4)+(51.1-44.1))/3</f>
        <v>6.1000000000000005</v>
      </c>
      <c r="U19" s="39">
        <f>((19.1-15)+(32.3-27.7)+(51.9-47.9))/3</f>
        <v>4.2333333333333334</v>
      </c>
      <c r="V19" s="39">
        <f>((22.5-15.7)+(41.5-30.8)+(64-53))/3</f>
        <v>9.5</v>
      </c>
      <c r="W19" s="10">
        <v>250</v>
      </c>
      <c r="X19" s="33">
        <v>3.5066666666666663E-2</v>
      </c>
      <c r="Y19" s="33">
        <v>6.9999999999999993E-3</v>
      </c>
      <c r="AA19" s="3">
        <f t="shared" si="1"/>
        <v>0.6690647482014388</v>
      </c>
      <c r="AB19" s="3">
        <f>Y19/X19</f>
        <v>0.19961977186311788</v>
      </c>
      <c r="AC19" s="3">
        <f t="shared" si="2"/>
        <v>0.86868452006455665</v>
      </c>
      <c r="AD19">
        <f t="shared" si="3"/>
        <v>1.700414402719725E-2</v>
      </c>
      <c r="AF19">
        <f t="shared" si="4"/>
        <v>1.700414402719725E-2</v>
      </c>
      <c r="AK19" s="10" t="s">
        <v>2</v>
      </c>
      <c r="AL19" s="10" t="s">
        <v>3</v>
      </c>
      <c r="AM19" s="10" t="s">
        <v>2608</v>
      </c>
    </row>
    <row r="20" spans="1:40" s="10" customFormat="1" x14ac:dyDescent="0.3">
      <c r="A20" s="26" t="s">
        <v>1156</v>
      </c>
      <c r="B20" s="10" t="s">
        <v>282</v>
      </c>
      <c r="C20" s="10" t="s">
        <v>1157</v>
      </c>
      <c r="D20" s="10" t="s">
        <v>1158</v>
      </c>
      <c r="E20" s="10">
        <v>1993</v>
      </c>
      <c r="F20" s="10" t="s">
        <v>2665</v>
      </c>
      <c r="G20" s="10" t="s">
        <v>1160</v>
      </c>
      <c r="H20" s="10" t="s">
        <v>1162</v>
      </c>
      <c r="J20" s="10" t="s">
        <v>452</v>
      </c>
      <c r="K20" s="10">
        <v>3</v>
      </c>
      <c r="L20" s="10">
        <v>3</v>
      </c>
      <c r="M20" s="10">
        <v>7167</v>
      </c>
      <c r="N20" s="10">
        <v>594</v>
      </c>
      <c r="P20" s="10">
        <v>1290</v>
      </c>
      <c r="Q20" s="10">
        <v>76</v>
      </c>
      <c r="W20" s="10">
        <v>700</v>
      </c>
      <c r="AA20" s="14">
        <f t="shared" si="1"/>
        <v>0.17999162829635831</v>
      </c>
      <c r="AB20" s="14"/>
      <c r="AC20" s="14">
        <f t="shared" si="2"/>
        <v>0.17999162829635831</v>
      </c>
      <c r="AD20" s="10">
        <f t="shared" si="3"/>
        <v>1.0049562099214474E-3</v>
      </c>
      <c r="AF20" s="10">
        <f t="shared" si="4"/>
        <v>1.0049562099214474E-3</v>
      </c>
      <c r="AG20" s="10">
        <v>100</v>
      </c>
      <c r="AH20" s="10" t="s">
        <v>14</v>
      </c>
      <c r="AK20" s="10" t="s">
        <v>2</v>
      </c>
      <c r="AL20" s="10" t="s">
        <v>2</v>
      </c>
      <c r="AM20" s="10" t="s">
        <v>1163</v>
      </c>
    </row>
    <row r="21" spans="1:40" s="10" customFormat="1" x14ac:dyDescent="0.3">
      <c r="A21" s="26" t="s">
        <v>1156</v>
      </c>
      <c r="B21" s="10" t="s">
        <v>282</v>
      </c>
      <c r="C21" s="10" t="s">
        <v>1157</v>
      </c>
      <c r="D21" s="10" t="s">
        <v>1158</v>
      </c>
      <c r="E21" s="10">
        <v>1993</v>
      </c>
      <c r="F21" s="10" t="s">
        <v>2665</v>
      </c>
      <c r="G21" s="10" t="s">
        <v>1161</v>
      </c>
      <c r="H21" s="10" t="s">
        <v>1162</v>
      </c>
      <c r="J21" s="10" t="s">
        <v>1159</v>
      </c>
      <c r="K21" s="10">
        <v>3</v>
      </c>
      <c r="L21" s="10">
        <v>3</v>
      </c>
      <c r="M21" s="10">
        <v>7167</v>
      </c>
      <c r="N21" s="10">
        <v>594</v>
      </c>
      <c r="P21" s="10">
        <v>3645</v>
      </c>
      <c r="Q21" s="10">
        <v>467</v>
      </c>
      <c r="W21" s="10">
        <v>833</v>
      </c>
      <c r="AA21" s="14">
        <f t="shared" si="1"/>
        <v>0.50858099623273334</v>
      </c>
      <c r="AB21" s="14"/>
      <c r="AC21" s="14">
        <f t="shared" si="2"/>
        <v>0.50858099623273334</v>
      </c>
      <c r="AD21" s="10">
        <f t="shared" si="3"/>
        <v>1.8067534951167075E-2</v>
      </c>
      <c r="AF21" s="10">
        <f t="shared" si="4"/>
        <v>1.8067534951167075E-2</v>
      </c>
      <c r="AG21" s="10">
        <v>100</v>
      </c>
      <c r="AH21" s="10" t="s">
        <v>14</v>
      </c>
      <c r="AK21" s="10" t="s">
        <v>2</v>
      </c>
      <c r="AL21" s="10" t="s">
        <v>2</v>
      </c>
      <c r="AM21" s="10" t="s">
        <v>1163</v>
      </c>
    </row>
    <row r="22" spans="1:40" s="10" customFormat="1" x14ac:dyDescent="0.3">
      <c r="A22" s="26" t="s">
        <v>1156</v>
      </c>
      <c r="B22" s="10" t="s">
        <v>282</v>
      </c>
      <c r="C22" s="10" t="s">
        <v>1157</v>
      </c>
      <c r="D22" s="10" t="s">
        <v>1158</v>
      </c>
      <c r="E22" s="10">
        <v>1994</v>
      </c>
      <c r="F22" s="10" t="s">
        <v>2665</v>
      </c>
      <c r="G22" s="10" t="s">
        <v>1160</v>
      </c>
      <c r="H22" s="10" t="s">
        <v>1162</v>
      </c>
      <c r="J22" s="10" t="s">
        <v>452</v>
      </c>
      <c r="K22" s="10">
        <v>3</v>
      </c>
      <c r="L22" s="10">
        <v>3</v>
      </c>
      <c r="M22" s="10">
        <v>7235</v>
      </c>
      <c r="N22" s="10">
        <v>631</v>
      </c>
      <c r="P22" s="10">
        <v>756</v>
      </c>
      <c r="Q22" s="10">
        <v>53</v>
      </c>
      <c r="W22" s="10">
        <v>700</v>
      </c>
      <c r="AA22" s="14">
        <f t="shared" si="1"/>
        <v>0.10449205252246026</v>
      </c>
      <c r="AB22" s="14"/>
      <c r="AC22" s="14">
        <f t="shared" si="2"/>
        <v>0.10449205252246026</v>
      </c>
      <c r="AD22" s="10">
        <f t="shared" si="3"/>
        <v>4.1014379043536952E-4</v>
      </c>
      <c r="AF22" s="10">
        <f t="shared" si="4"/>
        <v>4.1014379043536952E-4</v>
      </c>
      <c r="AG22" s="10">
        <v>100</v>
      </c>
      <c r="AH22" s="10" t="s">
        <v>14</v>
      </c>
      <c r="AK22" s="10" t="s">
        <v>2</v>
      </c>
      <c r="AL22" s="10" t="s">
        <v>2</v>
      </c>
      <c r="AM22" s="10" t="s">
        <v>1163</v>
      </c>
    </row>
    <row r="23" spans="1:40" s="10" customFormat="1" x14ac:dyDescent="0.3">
      <c r="A23" s="26" t="s">
        <v>1156</v>
      </c>
      <c r="B23" s="10" t="s">
        <v>282</v>
      </c>
      <c r="C23" s="10" t="s">
        <v>1157</v>
      </c>
      <c r="D23" s="10" t="s">
        <v>1158</v>
      </c>
      <c r="E23" s="10">
        <v>1994</v>
      </c>
      <c r="F23" s="10" t="s">
        <v>2665</v>
      </c>
      <c r="G23" s="10" t="s">
        <v>1161</v>
      </c>
      <c r="H23" s="10" t="s">
        <v>1162</v>
      </c>
      <c r="J23" s="10" t="s">
        <v>1159</v>
      </c>
      <c r="K23" s="10">
        <v>3</v>
      </c>
      <c r="L23" s="10">
        <v>3</v>
      </c>
      <c r="M23" s="10">
        <v>7235</v>
      </c>
      <c r="N23" s="10">
        <v>631</v>
      </c>
      <c r="P23" s="10">
        <v>2801</v>
      </c>
      <c r="Q23" s="10">
        <v>169</v>
      </c>
      <c r="W23" s="10">
        <v>833</v>
      </c>
      <c r="AA23" s="14">
        <f t="shared" si="1"/>
        <v>0.38714581893572908</v>
      </c>
      <c r="AB23" s="14"/>
      <c r="AC23" s="14">
        <f t="shared" si="2"/>
        <v>0.38714581893572908</v>
      </c>
      <c r="AD23" s="10">
        <f t="shared" si="3"/>
        <v>5.0570871322665207E-3</v>
      </c>
      <c r="AF23" s="10">
        <f t="shared" si="4"/>
        <v>5.0570871322665207E-3</v>
      </c>
      <c r="AG23" s="10">
        <v>100</v>
      </c>
      <c r="AH23" s="10" t="s">
        <v>14</v>
      </c>
      <c r="AK23" s="10" t="s">
        <v>2</v>
      </c>
      <c r="AL23" s="10" t="s">
        <v>2</v>
      </c>
      <c r="AM23" s="10" t="s">
        <v>1163</v>
      </c>
    </row>
    <row r="24" spans="1:40" s="10" customFormat="1" x14ac:dyDescent="0.3">
      <c r="A24" s="26" t="s">
        <v>1156</v>
      </c>
      <c r="B24" s="10" t="s">
        <v>282</v>
      </c>
      <c r="C24" s="10" t="s">
        <v>1157</v>
      </c>
      <c r="D24" s="10" t="s">
        <v>1158</v>
      </c>
      <c r="E24" s="10">
        <v>1995</v>
      </c>
      <c r="F24" s="10" t="s">
        <v>2665</v>
      </c>
      <c r="G24" s="10" t="s">
        <v>1160</v>
      </c>
      <c r="H24" s="10" t="s">
        <v>1162</v>
      </c>
      <c r="J24" s="10" t="s">
        <v>452</v>
      </c>
      <c r="K24" s="10">
        <v>3</v>
      </c>
      <c r="L24" s="10">
        <v>3</v>
      </c>
      <c r="M24" s="10">
        <v>9418</v>
      </c>
      <c r="N24" s="10">
        <v>452</v>
      </c>
      <c r="P24" s="10">
        <v>981</v>
      </c>
      <c r="Q24" s="10">
        <v>42</v>
      </c>
      <c r="W24" s="10">
        <v>700</v>
      </c>
      <c r="AA24" s="14">
        <f t="shared" si="1"/>
        <v>0.10416224251433426</v>
      </c>
      <c r="AB24" s="14"/>
      <c r="AC24" s="14">
        <f t="shared" si="2"/>
        <v>0.10416224251433426</v>
      </c>
      <c r="AD24" s="10">
        <f t="shared" si="3"/>
        <v>1.3463503629791346E-4</v>
      </c>
      <c r="AF24" s="10">
        <f t="shared" si="4"/>
        <v>1.3463503629791346E-4</v>
      </c>
      <c r="AG24" s="10">
        <v>100</v>
      </c>
      <c r="AH24" s="10" t="s">
        <v>14</v>
      </c>
      <c r="AK24" s="10" t="s">
        <v>2</v>
      </c>
      <c r="AL24" s="10" t="s">
        <v>2</v>
      </c>
      <c r="AM24" s="10" t="s">
        <v>1163</v>
      </c>
    </row>
    <row r="25" spans="1:40" s="10" customFormat="1" x14ac:dyDescent="0.3">
      <c r="A25" s="26" t="s">
        <v>1156</v>
      </c>
      <c r="B25" s="10" t="s">
        <v>282</v>
      </c>
      <c r="C25" s="10" t="s">
        <v>1157</v>
      </c>
      <c r="D25" s="10" t="s">
        <v>1158</v>
      </c>
      <c r="E25" s="10">
        <v>1995</v>
      </c>
      <c r="F25" s="10" t="s">
        <v>2665</v>
      </c>
      <c r="G25" s="10" t="s">
        <v>1161</v>
      </c>
      <c r="H25" s="10" t="s">
        <v>1162</v>
      </c>
      <c r="J25" s="10" t="s">
        <v>1159</v>
      </c>
      <c r="K25" s="10">
        <v>3</v>
      </c>
      <c r="L25" s="10">
        <v>3</v>
      </c>
      <c r="M25" s="10">
        <v>9418</v>
      </c>
      <c r="N25" s="10">
        <v>452</v>
      </c>
      <c r="P25" s="10">
        <v>3778</v>
      </c>
      <c r="Q25" s="10">
        <v>183</v>
      </c>
      <c r="W25" s="10">
        <v>833</v>
      </c>
      <c r="AA25" s="14">
        <f t="shared" si="1"/>
        <v>0.40114674028456149</v>
      </c>
      <c r="AB25" s="14"/>
      <c r="AC25" s="14">
        <f t="shared" si="2"/>
        <v>0.40114674028456149</v>
      </c>
      <c r="AD25" s="10">
        <f t="shared" si="3"/>
        <v>2.244632140282565E-3</v>
      </c>
      <c r="AF25" s="10">
        <f t="shared" si="4"/>
        <v>2.244632140282565E-3</v>
      </c>
      <c r="AG25" s="10">
        <v>100</v>
      </c>
      <c r="AH25" s="10" t="s">
        <v>14</v>
      </c>
      <c r="AK25" s="10" t="s">
        <v>2</v>
      </c>
      <c r="AL25" s="10" t="s">
        <v>2</v>
      </c>
      <c r="AM25" s="10" t="s">
        <v>1163</v>
      </c>
    </row>
    <row r="26" spans="1:40" s="10" customFormat="1" x14ac:dyDescent="0.3">
      <c r="A26" s="26" t="s">
        <v>1685</v>
      </c>
      <c r="B26" s="10" t="s">
        <v>1686</v>
      </c>
      <c r="C26" s="10" t="s">
        <v>1687</v>
      </c>
      <c r="D26" s="10" t="s">
        <v>1688</v>
      </c>
      <c r="E26" s="10">
        <v>2009</v>
      </c>
      <c r="F26" s="10" t="s">
        <v>2665</v>
      </c>
      <c r="G26" s="10" t="s">
        <v>1138</v>
      </c>
      <c r="H26" s="10" t="s">
        <v>1689</v>
      </c>
      <c r="I26" s="10" t="s">
        <v>1691</v>
      </c>
      <c r="J26" s="10" t="s">
        <v>1690</v>
      </c>
      <c r="K26" s="10">
        <v>3</v>
      </c>
      <c r="L26" s="10">
        <v>3</v>
      </c>
      <c r="M26" s="10">
        <v>804</v>
      </c>
      <c r="P26" s="25">
        <f>(354+326+579)/3</f>
        <v>419.66666666666669</v>
      </c>
      <c r="AA26" s="14">
        <f t="shared" si="1"/>
        <v>0.52197346600331673</v>
      </c>
      <c r="AB26" s="14"/>
      <c r="AC26" s="14">
        <f t="shared" si="2"/>
        <v>0.52197346600331673</v>
      </c>
      <c r="AK26" s="10" t="s">
        <v>2</v>
      </c>
      <c r="AL26" s="10" t="s">
        <v>2</v>
      </c>
      <c r="AM26" s="10" t="s">
        <v>2609</v>
      </c>
    </row>
    <row r="27" spans="1:40" s="10" customFormat="1" x14ac:dyDescent="0.3">
      <c r="A27" s="26" t="s">
        <v>1685</v>
      </c>
      <c r="B27" s="10" t="s">
        <v>1686</v>
      </c>
      <c r="C27" s="10" t="s">
        <v>1687</v>
      </c>
      <c r="D27" s="10" t="s">
        <v>1688</v>
      </c>
      <c r="E27" s="10">
        <v>2009</v>
      </c>
      <c r="F27" s="10" t="s">
        <v>2665</v>
      </c>
      <c r="G27" s="10" t="s">
        <v>1138</v>
      </c>
      <c r="H27" s="10" t="s">
        <v>1689</v>
      </c>
      <c r="I27" s="10" t="s">
        <v>1692</v>
      </c>
      <c r="J27" s="10" t="s">
        <v>1690</v>
      </c>
      <c r="K27" s="10">
        <v>3</v>
      </c>
      <c r="L27" s="10">
        <v>3</v>
      </c>
      <c r="M27" s="10">
        <v>2008</v>
      </c>
      <c r="P27" s="25">
        <f>(1170+416+416)/3</f>
        <v>667.33333333333337</v>
      </c>
      <c r="AA27" s="14">
        <f t="shared" si="1"/>
        <v>0.33233731739707839</v>
      </c>
      <c r="AB27" s="14"/>
      <c r="AC27" s="14">
        <f t="shared" si="2"/>
        <v>0.33233731739707839</v>
      </c>
      <c r="AK27" s="10" t="s">
        <v>2</v>
      </c>
      <c r="AL27" s="10" t="s">
        <v>2</v>
      </c>
      <c r="AM27" s="10" t="s">
        <v>2609</v>
      </c>
      <c r="AN27" s="10" t="s">
        <v>1697</v>
      </c>
    </row>
    <row r="28" spans="1:40" s="10" customFormat="1" x14ac:dyDescent="0.3">
      <c r="A28" s="26" t="s">
        <v>1685</v>
      </c>
      <c r="B28" s="10" t="s">
        <v>1686</v>
      </c>
      <c r="C28" s="10" t="s">
        <v>1687</v>
      </c>
      <c r="D28" s="10" t="s">
        <v>1688</v>
      </c>
      <c r="E28" s="10">
        <v>2009</v>
      </c>
      <c r="F28" s="10" t="s">
        <v>2665</v>
      </c>
      <c r="G28" s="10" t="s">
        <v>1138</v>
      </c>
      <c r="H28" s="10" t="s">
        <v>1689</v>
      </c>
      <c r="I28" s="10" t="s">
        <v>1693</v>
      </c>
      <c r="J28" s="10" t="s">
        <v>1690</v>
      </c>
      <c r="K28" s="10">
        <v>3</v>
      </c>
      <c r="L28" s="10">
        <v>3</v>
      </c>
      <c r="M28" s="10">
        <v>1800</v>
      </c>
      <c r="P28" s="25">
        <f>(1806+2222+1389)/3</f>
        <v>1805.6666666666667</v>
      </c>
      <c r="AA28" s="14">
        <f t="shared" si="1"/>
        <v>1.0031481481481481</v>
      </c>
      <c r="AB28" s="14"/>
      <c r="AC28" s="14">
        <f t="shared" si="2"/>
        <v>1.0031481481481481</v>
      </c>
      <c r="AK28" s="10" t="s">
        <v>2</v>
      </c>
      <c r="AL28" s="10" t="s">
        <v>2</v>
      </c>
      <c r="AM28" s="10" t="s">
        <v>2609</v>
      </c>
      <c r="AN28" s="10" t="s">
        <v>1697</v>
      </c>
    </row>
    <row r="29" spans="1:40" s="10" customFormat="1" x14ac:dyDescent="0.3">
      <c r="A29" s="26" t="s">
        <v>1685</v>
      </c>
      <c r="B29" s="10" t="s">
        <v>1686</v>
      </c>
      <c r="C29" s="10" t="s">
        <v>1687</v>
      </c>
      <c r="D29" s="10" t="s">
        <v>1688</v>
      </c>
      <c r="E29" s="10">
        <v>2009</v>
      </c>
      <c r="F29" s="10" t="s">
        <v>2665</v>
      </c>
      <c r="G29" s="10" t="s">
        <v>1138</v>
      </c>
      <c r="H29" s="10" t="s">
        <v>1689</v>
      </c>
      <c r="I29" s="10" t="s">
        <v>1691</v>
      </c>
      <c r="J29" s="10" t="s">
        <v>1694</v>
      </c>
      <c r="K29" s="10">
        <v>3</v>
      </c>
      <c r="L29" s="10">
        <v>3</v>
      </c>
      <c r="M29" s="10">
        <v>1674</v>
      </c>
      <c r="P29" s="25">
        <f>(1636+1744+1992)/3</f>
        <v>1790.6666666666667</v>
      </c>
      <c r="AA29" s="14">
        <f t="shared" si="1"/>
        <v>1.0696933492632419</v>
      </c>
      <c r="AB29" s="14"/>
      <c r="AC29" s="14">
        <f t="shared" si="2"/>
        <v>1.0696933492632419</v>
      </c>
      <c r="AK29" s="10" t="s">
        <v>2</v>
      </c>
      <c r="AL29" s="10" t="s">
        <v>2</v>
      </c>
      <c r="AM29" s="10" t="s">
        <v>2609</v>
      </c>
      <c r="AN29" s="10" t="s">
        <v>1697</v>
      </c>
    </row>
    <row r="30" spans="1:40" s="10" customFormat="1" x14ac:dyDescent="0.3">
      <c r="A30" s="26" t="s">
        <v>1685</v>
      </c>
      <c r="B30" s="10" t="s">
        <v>1686</v>
      </c>
      <c r="C30" s="10" t="s">
        <v>1687</v>
      </c>
      <c r="D30" s="10" t="s">
        <v>1688</v>
      </c>
      <c r="E30" s="10">
        <v>2009</v>
      </c>
      <c r="F30" s="10" t="s">
        <v>2665</v>
      </c>
      <c r="G30" s="10" t="s">
        <v>1138</v>
      </c>
      <c r="H30" s="10" t="s">
        <v>1689</v>
      </c>
      <c r="I30" s="10" t="s">
        <v>1692</v>
      </c>
      <c r="J30" s="10" t="s">
        <v>1695</v>
      </c>
      <c r="K30" s="10">
        <v>3</v>
      </c>
      <c r="L30" s="10">
        <v>3</v>
      </c>
      <c r="M30" s="10">
        <v>3892</v>
      </c>
      <c r="P30" s="25">
        <f>(1792+3402+3693)/3</f>
        <v>2962.3333333333335</v>
      </c>
      <c r="AA30" s="14">
        <f t="shared" si="1"/>
        <v>0.76113394998287087</v>
      </c>
      <c r="AB30" s="14"/>
      <c r="AC30" s="14">
        <f t="shared" si="2"/>
        <v>0.76113394998287087</v>
      </c>
      <c r="AK30" s="10" t="s">
        <v>2</v>
      </c>
      <c r="AL30" s="10" t="s">
        <v>2</v>
      </c>
      <c r="AM30" s="10" t="s">
        <v>2609</v>
      </c>
      <c r="AN30" s="10" t="s">
        <v>1697</v>
      </c>
    </row>
    <row r="31" spans="1:40" s="10" customFormat="1" x14ac:dyDescent="0.3">
      <c r="A31" s="26" t="s">
        <v>1685</v>
      </c>
      <c r="B31" s="10" t="s">
        <v>1686</v>
      </c>
      <c r="C31" s="10" t="s">
        <v>1687</v>
      </c>
      <c r="D31" s="10" t="s">
        <v>1688</v>
      </c>
      <c r="E31" s="10">
        <v>2009</v>
      </c>
      <c r="F31" s="10" t="s">
        <v>2665</v>
      </c>
      <c r="G31" s="10" t="s">
        <v>1138</v>
      </c>
      <c r="H31" s="10" t="s">
        <v>1689</v>
      </c>
      <c r="I31" s="10" t="s">
        <v>1693</v>
      </c>
      <c r="J31" s="10" t="s">
        <v>1696</v>
      </c>
      <c r="K31" s="10">
        <v>3</v>
      </c>
      <c r="L31" s="10">
        <v>3</v>
      </c>
      <c r="M31" s="10">
        <v>2288</v>
      </c>
      <c r="P31" s="25">
        <f>(2987+3650+4075)/3</f>
        <v>3570.6666666666665</v>
      </c>
      <c r="AA31" s="14">
        <f t="shared" si="1"/>
        <v>1.5606060606060606</v>
      </c>
      <c r="AB31" s="14"/>
      <c r="AC31" s="14">
        <f t="shared" si="2"/>
        <v>1.5606060606060606</v>
      </c>
      <c r="AK31" s="10" t="s">
        <v>2</v>
      </c>
      <c r="AL31" s="10" t="s">
        <v>2</v>
      </c>
      <c r="AM31" s="10" t="s">
        <v>2609</v>
      </c>
      <c r="AN31" s="10" t="s">
        <v>1697</v>
      </c>
    </row>
    <row r="32" spans="1:40" s="10" customFormat="1" x14ac:dyDescent="0.3">
      <c r="A32" s="26" t="s">
        <v>1699</v>
      </c>
      <c r="B32" s="10" t="s">
        <v>131</v>
      </c>
      <c r="C32" s="10" t="s">
        <v>1702</v>
      </c>
      <c r="E32" s="10">
        <v>1989</v>
      </c>
      <c r="F32" s="10" t="s">
        <v>2665</v>
      </c>
      <c r="G32" s="10" t="s">
        <v>1138</v>
      </c>
      <c r="H32" s="10" t="s">
        <v>1689</v>
      </c>
      <c r="I32" s="10" t="s">
        <v>1700</v>
      </c>
      <c r="J32" s="10" t="s">
        <v>1230</v>
      </c>
      <c r="K32" s="10">
        <v>8</v>
      </c>
      <c r="L32" s="10">
        <v>8</v>
      </c>
      <c r="M32" s="10">
        <v>275</v>
      </c>
      <c r="N32" s="10">
        <v>26</v>
      </c>
      <c r="P32" s="10">
        <v>482</v>
      </c>
      <c r="Q32" s="10">
        <v>52</v>
      </c>
      <c r="AA32" s="14">
        <f t="shared" si="1"/>
        <v>1.7527272727272727</v>
      </c>
      <c r="AB32" s="14"/>
      <c r="AC32" s="14">
        <f t="shared" si="2"/>
        <v>1.7527272727272727</v>
      </c>
      <c r="AD32" s="10">
        <f t="shared" ref="AD32:AD43" si="7">((Q32*SQRT(L32))^2)/(M32^2)+((N32*SQRT(K32))^2)*(P32^2)/(M32^4)</f>
        <v>0.50572776255173846</v>
      </c>
      <c r="AF32" s="10">
        <f t="shared" si="4"/>
        <v>0.50572776255173846</v>
      </c>
      <c r="AJ32" s="10" t="s">
        <v>2</v>
      </c>
      <c r="AK32" s="10" t="s">
        <v>2</v>
      </c>
      <c r="AL32" s="10" t="s">
        <v>2</v>
      </c>
      <c r="AM32" s="10" t="s">
        <v>2610</v>
      </c>
    </row>
    <row r="33" spans="1:46" s="10" customFormat="1" x14ac:dyDescent="0.3">
      <c r="A33" s="26" t="s">
        <v>1699</v>
      </c>
      <c r="B33" s="10" t="s">
        <v>131</v>
      </c>
      <c r="C33" s="10" t="s">
        <v>1703</v>
      </c>
      <c r="E33" s="10">
        <v>1989</v>
      </c>
      <c r="F33" s="10" t="s">
        <v>2665</v>
      </c>
      <c r="G33" s="10" t="s">
        <v>1138</v>
      </c>
      <c r="H33" s="10" t="s">
        <v>1689</v>
      </c>
      <c r="I33" s="10" t="s">
        <v>1701</v>
      </c>
      <c r="J33" s="10" t="s">
        <v>1230</v>
      </c>
      <c r="K33" s="10">
        <v>8</v>
      </c>
      <c r="L33" s="10">
        <v>8</v>
      </c>
      <c r="M33" s="10">
        <v>13</v>
      </c>
      <c r="N33" s="10">
        <v>9</v>
      </c>
      <c r="P33" s="10">
        <v>10</v>
      </c>
      <c r="Q33" s="10">
        <v>5</v>
      </c>
      <c r="AA33" s="14">
        <f t="shared" si="1"/>
        <v>0.76923076923076927</v>
      </c>
      <c r="AB33" s="14"/>
      <c r="AC33" s="14">
        <f t="shared" si="2"/>
        <v>0.76923076923076927</v>
      </c>
      <c r="AD33" s="10">
        <f t="shared" si="7"/>
        <v>3.4522600749273491</v>
      </c>
      <c r="AF33" s="10">
        <f t="shared" si="4"/>
        <v>3.4522600749273491</v>
      </c>
      <c r="AJ33" s="10" t="s">
        <v>2</v>
      </c>
      <c r="AK33" s="10" t="s">
        <v>2</v>
      </c>
      <c r="AL33" s="10" t="s">
        <v>2</v>
      </c>
      <c r="AM33" s="10" t="s">
        <v>2611</v>
      </c>
    </row>
    <row r="34" spans="1:46" s="10" customFormat="1" x14ac:dyDescent="0.3">
      <c r="A34" s="26" t="s">
        <v>1699</v>
      </c>
      <c r="B34" s="10" t="s">
        <v>131</v>
      </c>
      <c r="C34" s="10" t="s">
        <v>1702</v>
      </c>
      <c r="E34" s="10">
        <v>1989</v>
      </c>
      <c r="F34" s="10" t="s">
        <v>2665</v>
      </c>
      <c r="G34" s="10" t="s">
        <v>1138</v>
      </c>
      <c r="H34" s="10" t="s">
        <v>1689</v>
      </c>
      <c r="I34" s="10" t="s">
        <v>1700</v>
      </c>
      <c r="J34" s="10" t="s">
        <v>998</v>
      </c>
      <c r="K34" s="10">
        <v>8</v>
      </c>
      <c r="L34" s="10">
        <v>8</v>
      </c>
      <c r="M34" s="10">
        <v>417</v>
      </c>
      <c r="N34" s="10">
        <v>55</v>
      </c>
      <c r="P34" s="10">
        <v>551</v>
      </c>
      <c r="Q34" s="10">
        <v>63</v>
      </c>
      <c r="AA34" s="14">
        <f t="shared" si="1"/>
        <v>1.3213429256594724</v>
      </c>
      <c r="AB34" s="14"/>
      <c r="AC34" s="14">
        <f t="shared" si="2"/>
        <v>1.3213429256594724</v>
      </c>
      <c r="AD34" s="10">
        <f t="shared" si="7"/>
        <v>0.42558137937423351</v>
      </c>
      <c r="AF34" s="10">
        <f t="shared" si="4"/>
        <v>0.42558137937423351</v>
      </c>
      <c r="AJ34" s="10" t="s">
        <v>2</v>
      </c>
      <c r="AK34" s="10" t="s">
        <v>2</v>
      </c>
      <c r="AL34" s="10" t="s">
        <v>2</v>
      </c>
      <c r="AM34" s="10" t="s">
        <v>2610</v>
      </c>
    </row>
    <row r="35" spans="1:46" s="10" customFormat="1" x14ac:dyDescent="0.3">
      <c r="A35" s="26" t="s">
        <v>1699</v>
      </c>
      <c r="B35" s="10" t="s">
        <v>131</v>
      </c>
      <c r="C35" s="10" t="s">
        <v>1703</v>
      </c>
      <c r="E35" s="10">
        <v>1989</v>
      </c>
      <c r="F35" s="10" t="s">
        <v>2665</v>
      </c>
      <c r="G35" s="10" t="s">
        <v>1138</v>
      </c>
      <c r="H35" s="10" t="s">
        <v>1689</v>
      </c>
      <c r="I35" s="10" t="s">
        <v>1701</v>
      </c>
      <c r="J35" s="10" t="s">
        <v>998</v>
      </c>
      <c r="K35" s="10">
        <v>8</v>
      </c>
      <c r="L35" s="10">
        <v>8</v>
      </c>
      <c r="M35" s="10">
        <v>69</v>
      </c>
      <c r="N35" s="10">
        <v>53</v>
      </c>
      <c r="P35" s="10">
        <v>18</v>
      </c>
      <c r="Q35" s="10">
        <v>7</v>
      </c>
      <c r="AA35" s="14">
        <f t="shared" si="1"/>
        <v>0.2608695652173913</v>
      </c>
      <c r="AB35" s="14"/>
      <c r="AC35" s="14">
        <f t="shared" si="2"/>
        <v>0.2608695652173913</v>
      </c>
      <c r="AD35" s="10">
        <f t="shared" si="7"/>
        <v>0.40354661714648282</v>
      </c>
      <c r="AF35" s="10">
        <f t="shared" si="4"/>
        <v>0.40354661714648282</v>
      </c>
      <c r="AJ35" s="10" t="s">
        <v>2</v>
      </c>
      <c r="AK35" s="10" t="s">
        <v>2</v>
      </c>
      <c r="AL35" s="10" t="s">
        <v>2</v>
      </c>
      <c r="AM35" s="10" t="s">
        <v>2611</v>
      </c>
    </row>
    <row r="36" spans="1:46" s="6" customFormat="1" x14ac:dyDescent="0.3">
      <c r="A36" s="26" t="s">
        <v>1704</v>
      </c>
      <c r="B36" s="26" t="s">
        <v>286</v>
      </c>
      <c r="C36" s="26" t="s">
        <v>1706</v>
      </c>
      <c r="D36" s="26" t="s">
        <v>1705</v>
      </c>
      <c r="E36" s="26">
        <v>2001</v>
      </c>
      <c r="F36" s="10" t="s">
        <v>2665</v>
      </c>
      <c r="G36" s="26" t="s">
        <v>1138</v>
      </c>
      <c r="H36" s="26" t="s">
        <v>1689</v>
      </c>
      <c r="I36" s="26" t="s">
        <v>1534</v>
      </c>
      <c r="J36" s="26" t="s">
        <v>1707</v>
      </c>
      <c r="K36" s="26">
        <v>9</v>
      </c>
      <c r="L36" s="26">
        <v>9</v>
      </c>
      <c r="M36" s="26">
        <v>3092</v>
      </c>
      <c r="N36" s="26">
        <f>3515-M36</f>
        <v>423</v>
      </c>
      <c r="O36" s="26"/>
      <c r="P36" s="26">
        <v>1638</v>
      </c>
      <c r="Q36" s="26">
        <f>2054-P36</f>
        <v>416</v>
      </c>
      <c r="R36" s="26"/>
      <c r="S36" s="26"/>
      <c r="T36" s="26"/>
      <c r="U36" s="26"/>
      <c r="V36" s="26"/>
      <c r="W36" s="75">
        <v>40</v>
      </c>
      <c r="X36" s="26"/>
      <c r="Y36" s="26"/>
      <c r="Z36" s="26"/>
      <c r="AA36" s="20">
        <f t="shared" ref="AA36:AA67" si="8">P36/M36</f>
        <v>0.52975420439844756</v>
      </c>
      <c r="AB36" s="20"/>
      <c r="AC36" s="20">
        <f t="shared" si="2"/>
        <v>0.52975420439844756</v>
      </c>
      <c r="AD36" s="26">
        <f t="shared" si="7"/>
        <v>0.21018173734674123</v>
      </c>
      <c r="AE36" s="26"/>
      <c r="AF36" s="26">
        <f t="shared" si="4"/>
        <v>0.21018173734674123</v>
      </c>
      <c r="AG36" s="26"/>
      <c r="AH36" s="26"/>
      <c r="AI36" s="26"/>
      <c r="AJ36" s="26"/>
      <c r="AK36" s="26" t="s">
        <v>2</v>
      </c>
      <c r="AL36" s="26" t="s">
        <v>2</v>
      </c>
      <c r="AM36" s="26" t="s">
        <v>1708</v>
      </c>
      <c r="AO36" s="26"/>
      <c r="AP36" s="26"/>
      <c r="AQ36" s="26"/>
      <c r="AR36" s="26"/>
      <c r="AS36" s="26"/>
      <c r="AT36" s="26"/>
    </row>
    <row r="37" spans="1:46" s="6" customFormat="1" x14ac:dyDescent="0.3">
      <c r="A37" s="26" t="s">
        <v>1704</v>
      </c>
      <c r="B37" s="26" t="s">
        <v>286</v>
      </c>
      <c r="C37" s="26" t="s">
        <v>1706</v>
      </c>
      <c r="D37" s="26" t="s">
        <v>1705</v>
      </c>
      <c r="E37" s="26">
        <v>2001</v>
      </c>
      <c r="F37" s="10" t="s">
        <v>2665</v>
      </c>
      <c r="G37" s="26" t="s">
        <v>1138</v>
      </c>
      <c r="H37" s="26" t="s">
        <v>1689</v>
      </c>
      <c r="I37" s="26" t="s">
        <v>1709</v>
      </c>
      <c r="J37" s="26" t="s">
        <v>1707</v>
      </c>
      <c r="K37" s="26">
        <v>9</v>
      </c>
      <c r="L37" s="26">
        <v>9</v>
      </c>
      <c r="M37" s="26">
        <v>5590</v>
      </c>
      <c r="N37" s="26">
        <f>M37-5160</f>
        <v>430</v>
      </c>
      <c r="O37" s="26"/>
      <c r="P37" s="26">
        <v>2266</v>
      </c>
      <c r="Q37" s="26">
        <f>2682-P37</f>
        <v>416</v>
      </c>
      <c r="R37" s="26"/>
      <c r="S37" s="26"/>
      <c r="T37" s="26"/>
      <c r="U37" s="26"/>
      <c r="V37" s="26"/>
      <c r="W37" s="75">
        <v>40</v>
      </c>
      <c r="X37" s="26"/>
      <c r="Y37" s="26"/>
      <c r="Z37" s="26"/>
      <c r="AA37" s="20">
        <f t="shared" si="8"/>
        <v>0.40536672629695886</v>
      </c>
      <c r="AB37" s="20"/>
      <c r="AC37" s="20">
        <f t="shared" si="2"/>
        <v>0.40536672629695886</v>
      </c>
      <c r="AD37" s="26">
        <f t="shared" si="7"/>
        <v>5.8594043937989775E-2</v>
      </c>
      <c r="AE37" s="26"/>
      <c r="AF37" s="26">
        <f t="shared" si="4"/>
        <v>5.8594043937989775E-2</v>
      </c>
      <c r="AG37" s="26">
        <f>200*0.26</f>
        <v>52</v>
      </c>
      <c r="AH37" s="26" t="s">
        <v>14</v>
      </c>
      <c r="AI37" s="26"/>
      <c r="AJ37" s="26"/>
      <c r="AK37" s="26" t="s">
        <v>2</v>
      </c>
      <c r="AL37" s="26" t="s">
        <v>2</v>
      </c>
      <c r="AM37" s="26" t="s">
        <v>1708</v>
      </c>
      <c r="AO37" s="26"/>
      <c r="AP37" s="26"/>
      <c r="AQ37" s="26"/>
      <c r="AR37" s="26"/>
      <c r="AS37" s="26"/>
      <c r="AT37" s="26"/>
    </row>
    <row r="38" spans="1:46" s="6" customFormat="1" x14ac:dyDescent="0.3">
      <c r="A38" s="26" t="s">
        <v>1704</v>
      </c>
      <c r="B38" s="26" t="s">
        <v>286</v>
      </c>
      <c r="C38" s="26" t="s">
        <v>1706</v>
      </c>
      <c r="D38" s="26" t="s">
        <v>1705</v>
      </c>
      <c r="E38" s="26">
        <v>2002</v>
      </c>
      <c r="F38" s="10" t="s">
        <v>2665</v>
      </c>
      <c r="G38" s="26" t="s">
        <v>1138</v>
      </c>
      <c r="H38" s="26" t="s">
        <v>1689</v>
      </c>
      <c r="I38" s="26" t="s">
        <v>1534</v>
      </c>
      <c r="J38" s="26" t="s">
        <v>1707</v>
      </c>
      <c r="K38" s="26">
        <v>9</v>
      </c>
      <c r="L38" s="26">
        <v>9</v>
      </c>
      <c r="M38" s="26">
        <v>1995</v>
      </c>
      <c r="N38" s="26">
        <f>2323-M38</f>
        <v>328</v>
      </c>
      <c r="O38" s="26"/>
      <c r="P38" s="26">
        <v>1169</v>
      </c>
      <c r="Q38" s="26">
        <f>1497-P38</f>
        <v>328</v>
      </c>
      <c r="R38" s="26"/>
      <c r="S38" s="26"/>
      <c r="T38" s="26"/>
      <c r="U38" s="26"/>
      <c r="V38" s="26"/>
      <c r="W38" s="75">
        <v>40</v>
      </c>
      <c r="X38" s="26"/>
      <c r="Y38" s="26"/>
      <c r="Z38" s="26"/>
      <c r="AA38" s="20">
        <f t="shared" si="8"/>
        <v>0.5859649122807018</v>
      </c>
      <c r="AB38" s="20"/>
      <c r="AC38" s="20">
        <f t="shared" si="2"/>
        <v>0.5859649122807018</v>
      </c>
      <c r="AD38" s="26">
        <f t="shared" si="7"/>
        <v>0.32680986203941809</v>
      </c>
      <c r="AE38" s="26"/>
      <c r="AF38" s="26">
        <f t="shared" si="4"/>
        <v>0.32680986203941809</v>
      </c>
      <c r="AG38" s="26"/>
      <c r="AH38" s="26"/>
      <c r="AI38" s="26"/>
      <c r="AJ38" s="26"/>
      <c r="AK38" s="26" t="s">
        <v>2</v>
      </c>
      <c r="AL38" s="26" t="s">
        <v>2</v>
      </c>
      <c r="AM38" s="26" t="s">
        <v>1708</v>
      </c>
      <c r="AO38" s="26"/>
      <c r="AP38" s="26"/>
      <c r="AQ38" s="26"/>
      <c r="AR38" s="26"/>
      <c r="AS38" s="26"/>
      <c r="AT38" s="26"/>
    </row>
    <row r="39" spans="1:46" s="6" customFormat="1" x14ac:dyDescent="0.3">
      <c r="A39" s="26" t="s">
        <v>1704</v>
      </c>
      <c r="B39" s="26" t="s">
        <v>286</v>
      </c>
      <c r="C39" s="26" t="s">
        <v>1706</v>
      </c>
      <c r="D39" s="26" t="s">
        <v>1705</v>
      </c>
      <c r="E39" s="26">
        <v>2002</v>
      </c>
      <c r="F39" s="10" t="s">
        <v>2665</v>
      </c>
      <c r="G39" s="26" t="s">
        <v>1138</v>
      </c>
      <c r="H39" s="26" t="s">
        <v>1689</v>
      </c>
      <c r="I39" s="26" t="s">
        <v>1709</v>
      </c>
      <c r="J39" s="26" t="s">
        <v>1707</v>
      </c>
      <c r="K39" s="26">
        <v>9</v>
      </c>
      <c r="L39" s="26">
        <v>9</v>
      </c>
      <c r="M39" s="26">
        <v>4831</v>
      </c>
      <c r="N39" s="26">
        <f>5153-M39</f>
        <v>322</v>
      </c>
      <c r="O39" s="26"/>
      <c r="P39" s="26">
        <v>1886</v>
      </c>
      <c r="Q39" s="26">
        <f>2214-P39</f>
        <v>328</v>
      </c>
      <c r="R39" s="26"/>
      <c r="S39" s="26"/>
      <c r="T39" s="26"/>
      <c r="U39" s="26"/>
      <c r="V39" s="26"/>
      <c r="W39" s="75">
        <v>40</v>
      </c>
      <c r="X39" s="26"/>
      <c r="Y39" s="26"/>
      <c r="Z39" s="26"/>
      <c r="AA39" s="20">
        <f t="shared" si="8"/>
        <v>0.39039536327882424</v>
      </c>
      <c r="AB39" s="20"/>
      <c r="AC39" s="20">
        <f t="shared" si="2"/>
        <v>0.39039536327882424</v>
      </c>
      <c r="AD39" s="26">
        <f t="shared" si="7"/>
        <v>4.7581208766210144E-2</v>
      </c>
      <c r="AE39" s="26"/>
      <c r="AF39" s="26">
        <f t="shared" si="4"/>
        <v>4.7581208766210144E-2</v>
      </c>
      <c r="AG39" s="26">
        <f>200*0.26</f>
        <v>52</v>
      </c>
      <c r="AH39" s="26" t="s">
        <v>14</v>
      </c>
      <c r="AI39" s="26"/>
      <c r="AJ39" s="26"/>
      <c r="AK39" s="26" t="s">
        <v>2</v>
      </c>
      <c r="AL39" s="26" t="s">
        <v>2</v>
      </c>
      <c r="AM39" s="26" t="s">
        <v>1708</v>
      </c>
      <c r="AO39" s="26"/>
      <c r="AP39" s="26"/>
      <c r="AQ39" s="26"/>
      <c r="AR39" s="26"/>
      <c r="AS39" s="26"/>
      <c r="AT39" s="26"/>
    </row>
    <row r="40" spans="1:46" s="6" customFormat="1" x14ac:dyDescent="0.3">
      <c r="A40" s="26" t="s">
        <v>1704</v>
      </c>
      <c r="B40" s="26" t="s">
        <v>286</v>
      </c>
      <c r="C40" s="26" t="s">
        <v>1706</v>
      </c>
      <c r="D40" s="26" t="s">
        <v>1705</v>
      </c>
      <c r="E40" s="26">
        <v>2001</v>
      </c>
      <c r="F40" s="10" t="s">
        <v>2665</v>
      </c>
      <c r="G40" s="26" t="s">
        <v>1138</v>
      </c>
      <c r="H40" s="26" t="s">
        <v>1689</v>
      </c>
      <c r="I40" s="26" t="s">
        <v>1710</v>
      </c>
      <c r="J40" s="26" t="s">
        <v>1707</v>
      </c>
      <c r="K40" s="26">
        <v>9</v>
      </c>
      <c r="L40" s="26">
        <v>9</v>
      </c>
      <c r="M40" s="26">
        <v>4033</v>
      </c>
      <c r="N40" s="26">
        <f>4589-M40</f>
        <v>556</v>
      </c>
      <c r="O40" s="26"/>
      <c r="P40" s="26">
        <v>1419</v>
      </c>
      <c r="Q40" s="26">
        <f>1988-P40</f>
        <v>569</v>
      </c>
      <c r="R40" s="26"/>
      <c r="S40" s="26"/>
      <c r="T40" s="26"/>
      <c r="U40" s="26"/>
      <c r="V40" s="26"/>
      <c r="W40" s="75">
        <v>40</v>
      </c>
      <c r="X40" s="26"/>
      <c r="Y40" s="26"/>
      <c r="Z40" s="26"/>
      <c r="AA40" s="20">
        <f t="shared" si="8"/>
        <v>0.35184726010414086</v>
      </c>
      <c r="AB40" s="20"/>
      <c r="AC40" s="20">
        <f t="shared" si="2"/>
        <v>0.35184726010414086</v>
      </c>
      <c r="AD40" s="26">
        <f t="shared" si="7"/>
        <v>0.20032343985050433</v>
      </c>
      <c r="AE40" s="26"/>
      <c r="AF40" s="26">
        <f t="shared" si="4"/>
        <v>0.20032343985050433</v>
      </c>
      <c r="AG40" s="26"/>
      <c r="AH40" s="26"/>
      <c r="AI40" s="26"/>
      <c r="AJ40" s="26" t="s">
        <v>2</v>
      </c>
      <c r="AK40" s="26" t="s">
        <v>2</v>
      </c>
      <c r="AL40" s="26" t="s">
        <v>2</v>
      </c>
      <c r="AM40" s="26" t="s">
        <v>1708</v>
      </c>
      <c r="AO40" s="26"/>
      <c r="AP40" s="26"/>
      <c r="AQ40" s="26"/>
      <c r="AR40" s="26"/>
      <c r="AS40" s="26"/>
      <c r="AT40" s="26"/>
    </row>
    <row r="41" spans="1:46" s="6" customFormat="1" x14ac:dyDescent="0.3">
      <c r="A41" s="26" t="s">
        <v>1704</v>
      </c>
      <c r="B41" s="26" t="s">
        <v>286</v>
      </c>
      <c r="C41" s="26" t="s">
        <v>1706</v>
      </c>
      <c r="D41" s="26" t="s">
        <v>1705</v>
      </c>
      <c r="E41" s="26">
        <v>2001</v>
      </c>
      <c r="F41" s="10" t="s">
        <v>2665</v>
      </c>
      <c r="G41" s="26" t="s">
        <v>1138</v>
      </c>
      <c r="H41" s="26" t="s">
        <v>1689</v>
      </c>
      <c r="I41" s="26" t="s">
        <v>1711</v>
      </c>
      <c r="J41" s="26" t="s">
        <v>1707</v>
      </c>
      <c r="K41" s="26">
        <v>9</v>
      </c>
      <c r="L41" s="26">
        <v>9</v>
      </c>
      <c r="M41" s="26">
        <v>4637</v>
      </c>
      <c r="N41" s="26">
        <f>5234-M41</f>
        <v>597</v>
      </c>
      <c r="O41" s="26"/>
      <c r="P41" s="26">
        <v>2480</v>
      </c>
      <c r="Q41" s="26">
        <f>2993-P41</f>
        <v>513</v>
      </c>
      <c r="R41" s="26"/>
      <c r="S41" s="26"/>
      <c r="T41" s="26"/>
      <c r="U41" s="26"/>
      <c r="V41" s="26"/>
      <c r="W41" s="75">
        <v>40</v>
      </c>
      <c r="X41" s="26"/>
      <c r="Y41" s="26"/>
      <c r="Z41" s="26"/>
      <c r="AA41" s="20">
        <f t="shared" si="8"/>
        <v>0.53482855294371356</v>
      </c>
      <c r="AB41" s="20"/>
      <c r="AC41" s="20">
        <f t="shared" si="2"/>
        <v>0.53482855294371356</v>
      </c>
      <c r="AD41" s="26">
        <f t="shared" si="7"/>
        <v>0.15282701366219548</v>
      </c>
      <c r="AE41" s="26"/>
      <c r="AF41" s="26">
        <f t="shared" si="4"/>
        <v>0.15282701366219548</v>
      </c>
      <c r="AG41" s="26"/>
      <c r="AH41" s="26"/>
      <c r="AI41" s="26"/>
      <c r="AJ41" s="26" t="s">
        <v>3</v>
      </c>
      <c r="AK41" s="26" t="s">
        <v>2</v>
      </c>
      <c r="AL41" s="26" t="s">
        <v>2</v>
      </c>
      <c r="AM41" s="26" t="s">
        <v>1708</v>
      </c>
      <c r="AO41" s="26"/>
      <c r="AP41" s="26"/>
      <c r="AQ41" s="26"/>
      <c r="AR41" s="26"/>
      <c r="AS41" s="26"/>
      <c r="AT41" s="26"/>
    </row>
    <row r="42" spans="1:46" s="6" customFormat="1" x14ac:dyDescent="0.3">
      <c r="A42" s="26" t="s">
        <v>1704</v>
      </c>
      <c r="B42" s="26" t="s">
        <v>286</v>
      </c>
      <c r="C42" s="26" t="s">
        <v>1706</v>
      </c>
      <c r="D42" s="26" t="s">
        <v>1705</v>
      </c>
      <c r="E42" s="26">
        <v>2002</v>
      </c>
      <c r="F42" s="10" t="s">
        <v>2665</v>
      </c>
      <c r="G42" s="26" t="s">
        <v>1138</v>
      </c>
      <c r="H42" s="26" t="s">
        <v>1689</v>
      </c>
      <c r="I42" s="26" t="s">
        <v>1710</v>
      </c>
      <c r="J42" s="26" t="s">
        <v>1707</v>
      </c>
      <c r="K42" s="26">
        <v>9</v>
      </c>
      <c r="L42" s="26">
        <v>9</v>
      </c>
      <c r="M42" s="26">
        <v>3570</v>
      </c>
      <c r="N42" s="26">
        <f>4087-M42</f>
        <v>517</v>
      </c>
      <c r="O42" s="26"/>
      <c r="P42" s="26">
        <v>1257</v>
      </c>
      <c r="Q42" s="26">
        <f>1789-P42</f>
        <v>532</v>
      </c>
      <c r="R42" s="26"/>
      <c r="S42" s="26"/>
      <c r="T42" s="26"/>
      <c r="U42" s="26"/>
      <c r="V42" s="26"/>
      <c r="W42" s="75">
        <v>40</v>
      </c>
      <c r="X42" s="26"/>
      <c r="Y42" s="26"/>
      <c r="Z42" s="26"/>
      <c r="AA42" s="20">
        <f t="shared" si="8"/>
        <v>0.35210084033613448</v>
      </c>
      <c r="AB42" s="20"/>
      <c r="AC42" s="20">
        <f t="shared" si="2"/>
        <v>0.35210084033613448</v>
      </c>
      <c r="AD42" s="26">
        <f t="shared" si="7"/>
        <v>0.22326188422207133</v>
      </c>
      <c r="AE42" s="26"/>
      <c r="AF42" s="26">
        <f t="shared" si="4"/>
        <v>0.22326188422207133</v>
      </c>
      <c r="AG42" s="26"/>
      <c r="AH42" s="26"/>
      <c r="AI42" s="26"/>
      <c r="AJ42" s="26" t="s">
        <v>2</v>
      </c>
      <c r="AK42" s="26" t="s">
        <v>2</v>
      </c>
      <c r="AL42" s="26" t="s">
        <v>2</v>
      </c>
      <c r="AM42" s="26" t="s">
        <v>1708</v>
      </c>
      <c r="AO42" s="26"/>
      <c r="AP42" s="26"/>
      <c r="AQ42" s="26"/>
      <c r="AR42" s="26"/>
      <c r="AS42" s="26"/>
      <c r="AT42" s="26"/>
    </row>
    <row r="43" spans="1:46" s="6" customFormat="1" x14ac:dyDescent="0.3">
      <c r="A43" s="26" t="s">
        <v>1704</v>
      </c>
      <c r="B43" s="26" t="s">
        <v>286</v>
      </c>
      <c r="C43" s="26" t="s">
        <v>1706</v>
      </c>
      <c r="D43" s="26" t="s">
        <v>1705</v>
      </c>
      <c r="E43" s="26">
        <v>2002</v>
      </c>
      <c r="F43" s="10" t="s">
        <v>2665</v>
      </c>
      <c r="G43" s="26" t="s">
        <v>1138</v>
      </c>
      <c r="H43" s="26" t="s">
        <v>1689</v>
      </c>
      <c r="I43" s="26" t="s">
        <v>1711</v>
      </c>
      <c r="J43" s="26" t="s">
        <v>1707</v>
      </c>
      <c r="K43" s="26">
        <v>9</v>
      </c>
      <c r="L43" s="26">
        <v>9</v>
      </c>
      <c r="M43" s="26">
        <v>3231</v>
      </c>
      <c r="N43" s="26">
        <f>3733-M43</f>
        <v>502</v>
      </c>
      <c r="O43" s="26"/>
      <c r="P43" s="26">
        <v>1750</v>
      </c>
      <c r="Q43" s="26">
        <f>2267-P43</f>
        <v>517</v>
      </c>
      <c r="R43" s="26"/>
      <c r="S43" s="26"/>
      <c r="T43" s="26"/>
      <c r="U43" s="26"/>
      <c r="V43" s="26"/>
      <c r="W43" s="75">
        <v>40</v>
      </c>
      <c r="X43" s="26"/>
      <c r="Y43" s="26"/>
      <c r="Z43" s="26"/>
      <c r="AA43" s="20">
        <f t="shared" si="8"/>
        <v>0.54162797895388426</v>
      </c>
      <c r="AB43" s="20"/>
      <c r="AC43" s="20">
        <f t="shared" si="2"/>
        <v>0.54162797895388426</v>
      </c>
      <c r="AD43" s="26">
        <f t="shared" si="7"/>
        <v>0.29417068809820168</v>
      </c>
      <c r="AE43" s="26"/>
      <c r="AF43" s="26">
        <f t="shared" si="4"/>
        <v>0.29417068809820168</v>
      </c>
      <c r="AG43" s="26"/>
      <c r="AH43" s="26"/>
      <c r="AI43" s="26"/>
      <c r="AJ43" s="26" t="s">
        <v>3</v>
      </c>
      <c r="AK43" s="26" t="s">
        <v>2</v>
      </c>
      <c r="AL43" s="26" t="s">
        <v>2</v>
      </c>
      <c r="AM43" s="26" t="s">
        <v>1708</v>
      </c>
      <c r="AO43" s="26"/>
      <c r="AP43" s="26"/>
      <c r="AQ43" s="26"/>
      <c r="AR43" s="26"/>
      <c r="AS43" s="26"/>
      <c r="AT43" s="26"/>
    </row>
    <row r="44" spans="1:46" x14ac:dyDescent="0.3">
      <c r="A44" s="26" t="s">
        <v>1712</v>
      </c>
      <c r="B44" s="26" t="s">
        <v>1686</v>
      </c>
      <c r="C44" s="26" t="s">
        <v>1713</v>
      </c>
      <c r="D44" s="10"/>
      <c r="E44" s="26">
        <v>1994</v>
      </c>
      <c r="F44" s="10" t="s">
        <v>2665</v>
      </c>
      <c r="G44" s="10" t="s">
        <v>1138</v>
      </c>
      <c r="H44" s="10" t="s">
        <v>1689</v>
      </c>
      <c r="I44" s="26"/>
      <c r="J44" s="10" t="s">
        <v>1714</v>
      </c>
      <c r="K44" s="26">
        <v>3</v>
      </c>
      <c r="L44" s="26">
        <v>3</v>
      </c>
      <c r="M44" s="10">
        <f>381*10</f>
        <v>3810</v>
      </c>
      <c r="N44" s="10"/>
      <c r="O44" s="10"/>
      <c r="P44" s="10">
        <f>(883+554)*10/2</f>
        <v>7185</v>
      </c>
      <c r="Q44" s="10"/>
      <c r="R44" s="10"/>
      <c r="S44" s="10"/>
      <c r="T44" s="10"/>
      <c r="U44" s="10"/>
      <c r="V44" s="10"/>
      <c r="W44" s="10"/>
      <c r="X44" s="10"/>
      <c r="Y44" s="10"/>
      <c r="Z44" s="10"/>
      <c r="AA44" s="14">
        <f t="shared" si="8"/>
        <v>1.8858267716535433</v>
      </c>
      <c r="AB44" s="14"/>
      <c r="AC44" s="14">
        <f t="shared" si="2"/>
        <v>1.8858267716535433</v>
      </c>
      <c r="AD44" s="10"/>
      <c r="AE44" s="10"/>
      <c r="AF44" s="10"/>
      <c r="AG44" s="10"/>
      <c r="AH44" s="10"/>
      <c r="AI44" s="10"/>
      <c r="AJ44" s="10"/>
      <c r="AK44" s="26" t="s">
        <v>2</v>
      </c>
      <c r="AL44" s="10" t="s">
        <v>2</v>
      </c>
      <c r="AM44" s="10" t="s">
        <v>2612</v>
      </c>
      <c r="AN44" s="1"/>
    </row>
    <row r="45" spans="1:46" x14ac:dyDescent="0.3">
      <c r="A45" s="26" t="s">
        <v>1715</v>
      </c>
      <c r="B45" s="26" t="s">
        <v>29</v>
      </c>
      <c r="C45" s="26" t="s">
        <v>277</v>
      </c>
      <c r="D45" s="26" t="s">
        <v>1716</v>
      </c>
      <c r="E45" s="26">
        <v>1986</v>
      </c>
      <c r="F45" s="10" t="s">
        <v>2665</v>
      </c>
      <c r="G45" s="10" t="s">
        <v>1138</v>
      </c>
      <c r="H45" s="10" t="s">
        <v>1689</v>
      </c>
      <c r="I45" s="26" t="s">
        <v>1718</v>
      </c>
      <c r="J45" s="26" t="s">
        <v>1717</v>
      </c>
      <c r="K45" s="26">
        <v>8</v>
      </c>
      <c r="L45" s="26">
        <v>8</v>
      </c>
      <c r="M45" s="26">
        <v>141</v>
      </c>
      <c r="N45" s="26"/>
      <c r="O45" s="26"/>
      <c r="P45" s="26">
        <f>(156+155+166)/3</f>
        <v>159</v>
      </c>
      <c r="Q45" s="26"/>
      <c r="R45" s="26"/>
      <c r="S45" s="26"/>
      <c r="T45" s="26"/>
      <c r="U45" s="26"/>
      <c r="V45" s="26"/>
      <c r="W45" s="26"/>
      <c r="X45" s="10"/>
      <c r="Y45" s="10"/>
      <c r="Z45" s="10"/>
      <c r="AA45" s="14">
        <f t="shared" si="8"/>
        <v>1.1276595744680851</v>
      </c>
      <c r="AB45" s="14"/>
      <c r="AC45" s="14">
        <f t="shared" si="2"/>
        <v>1.1276595744680851</v>
      </c>
      <c r="AD45" s="10"/>
      <c r="AE45" s="10"/>
      <c r="AF45" s="10"/>
      <c r="AG45" s="10"/>
      <c r="AH45" s="10"/>
      <c r="AI45" s="10"/>
      <c r="AJ45" s="10"/>
      <c r="AK45" s="26" t="s">
        <v>2</v>
      </c>
      <c r="AL45" s="10" t="s">
        <v>2</v>
      </c>
      <c r="AM45" s="10" t="s">
        <v>2613</v>
      </c>
      <c r="AN45" s="1"/>
    </row>
    <row r="46" spans="1:46" x14ac:dyDescent="0.3">
      <c r="A46" s="26" t="s">
        <v>1715</v>
      </c>
      <c r="B46" s="26" t="s">
        <v>29</v>
      </c>
      <c r="C46" s="26" t="s">
        <v>277</v>
      </c>
      <c r="D46" s="26" t="s">
        <v>1716</v>
      </c>
      <c r="E46" s="26">
        <v>1986</v>
      </c>
      <c r="F46" s="10" t="s">
        <v>2665</v>
      </c>
      <c r="G46" s="10" t="s">
        <v>1138</v>
      </c>
      <c r="H46" s="10" t="s">
        <v>1689</v>
      </c>
      <c r="I46" s="26" t="s">
        <v>1719</v>
      </c>
      <c r="J46" s="26" t="s">
        <v>1717</v>
      </c>
      <c r="K46" s="26">
        <v>8</v>
      </c>
      <c r="L46" s="26">
        <v>8</v>
      </c>
      <c r="M46" s="10">
        <v>216</v>
      </c>
      <c r="N46" s="10"/>
      <c r="O46" s="10"/>
      <c r="P46" s="25">
        <f>(237+236+251)/3</f>
        <v>241.33333333333334</v>
      </c>
      <c r="Q46" s="10"/>
      <c r="R46" s="10"/>
      <c r="S46" s="10"/>
      <c r="T46" s="10"/>
      <c r="U46" s="10"/>
      <c r="V46" s="10"/>
      <c r="W46" s="10"/>
      <c r="X46" s="10"/>
      <c r="Y46" s="10"/>
      <c r="Z46" s="10"/>
      <c r="AA46" s="14">
        <f t="shared" si="8"/>
        <v>1.117283950617284</v>
      </c>
      <c r="AB46" s="14"/>
      <c r="AC46" s="14">
        <f t="shared" si="2"/>
        <v>1.117283950617284</v>
      </c>
      <c r="AD46" s="10"/>
      <c r="AE46" s="10"/>
      <c r="AF46" s="10"/>
      <c r="AG46" s="10"/>
      <c r="AH46" s="10"/>
      <c r="AI46" s="10"/>
      <c r="AJ46" s="10"/>
      <c r="AK46" s="26" t="s">
        <v>2</v>
      </c>
      <c r="AL46" s="10" t="s">
        <v>2</v>
      </c>
      <c r="AM46" s="10" t="s">
        <v>2613</v>
      </c>
      <c r="AN46" s="1"/>
    </row>
    <row r="47" spans="1:46" x14ac:dyDescent="0.3">
      <c r="A47" s="26" t="s">
        <v>1715</v>
      </c>
      <c r="B47" s="26" t="s">
        <v>29</v>
      </c>
      <c r="C47" s="26" t="s">
        <v>277</v>
      </c>
      <c r="D47" s="26" t="s">
        <v>1716</v>
      </c>
      <c r="E47" s="26">
        <v>1986</v>
      </c>
      <c r="F47" s="10" t="s">
        <v>2665</v>
      </c>
      <c r="G47" s="10" t="s">
        <v>1138</v>
      </c>
      <c r="H47" s="10" t="s">
        <v>1689</v>
      </c>
      <c r="I47" s="26" t="s">
        <v>1720</v>
      </c>
      <c r="J47" s="26" t="s">
        <v>1717</v>
      </c>
      <c r="K47" s="26">
        <v>8</v>
      </c>
      <c r="L47" s="26">
        <v>8</v>
      </c>
      <c r="M47" s="26">
        <v>808</v>
      </c>
      <c r="N47" s="26"/>
      <c r="O47" s="26"/>
      <c r="P47" s="42">
        <f>(868+860+907)/3</f>
        <v>878.33333333333337</v>
      </c>
      <c r="Q47" s="26"/>
      <c r="R47" s="26"/>
      <c r="S47" s="26"/>
      <c r="T47" s="26"/>
      <c r="U47" s="26"/>
      <c r="V47" s="26"/>
      <c r="W47" s="26"/>
      <c r="X47" s="10"/>
      <c r="Y47" s="10"/>
      <c r="Z47" s="10"/>
      <c r="AA47" s="14">
        <f t="shared" si="8"/>
        <v>1.0870462046204621</v>
      </c>
      <c r="AB47" s="14"/>
      <c r="AC47" s="14">
        <f t="shared" si="2"/>
        <v>1.0870462046204621</v>
      </c>
      <c r="AD47" s="10"/>
      <c r="AE47" s="10"/>
      <c r="AF47" s="10"/>
      <c r="AG47" s="10"/>
      <c r="AH47" s="10"/>
      <c r="AI47" s="10"/>
      <c r="AJ47" s="10"/>
      <c r="AK47" s="26" t="s">
        <v>2</v>
      </c>
      <c r="AL47" s="10" t="s">
        <v>2</v>
      </c>
      <c r="AM47" s="10" t="s">
        <v>2613</v>
      </c>
      <c r="AN47" s="1"/>
    </row>
    <row r="48" spans="1:46" x14ac:dyDescent="0.3">
      <c r="A48" s="26" t="s">
        <v>1715</v>
      </c>
      <c r="B48" s="26" t="s">
        <v>29</v>
      </c>
      <c r="C48" s="26" t="s">
        <v>277</v>
      </c>
      <c r="D48" s="26" t="s">
        <v>1716</v>
      </c>
      <c r="E48" s="26">
        <v>1986</v>
      </c>
      <c r="F48" s="10" t="s">
        <v>2665</v>
      </c>
      <c r="G48" s="10" t="s">
        <v>1138</v>
      </c>
      <c r="H48" s="10" t="s">
        <v>1689</v>
      </c>
      <c r="I48" s="26" t="s">
        <v>1721</v>
      </c>
      <c r="J48" s="26" t="s">
        <v>1717</v>
      </c>
      <c r="K48" s="26">
        <v>8</v>
      </c>
      <c r="L48" s="26">
        <v>8</v>
      </c>
      <c r="M48" s="26">
        <v>1672</v>
      </c>
      <c r="N48" s="26"/>
      <c r="O48" s="26"/>
      <c r="P48" s="42">
        <f>(2789+2404+2230)/3</f>
        <v>2474.3333333333335</v>
      </c>
      <c r="Q48" s="26"/>
      <c r="R48" s="26"/>
      <c r="S48" s="26"/>
      <c r="T48" s="26"/>
      <c r="U48" s="26"/>
      <c r="V48" s="26"/>
      <c r="W48" s="26"/>
      <c r="X48" s="10"/>
      <c r="Y48" s="10"/>
      <c r="Z48" s="10"/>
      <c r="AA48" s="14">
        <f t="shared" si="8"/>
        <v>1.4798644338118023</v>
      </c>
      <c r="AB48" s="14"/>
      <c r="AC48" s="14">
        <f t="shared" si="2"/>
        <v>1.4798644338118023</v>
      </c>
      <c r="AD48" s="10"/>
      <c r="AE48" s="10"/>
      <c r="AF48" s="10"/>
      <c r="AG48" s="10"/>
      <c r="AH48" s="10"/>
      <c r="AI48" s="10"/>
      <c r="AJ48" s="10"/>
      <c r="AK48" s="26" t="s">
        <v>2</v>
      </c>
      <c r="AL48" s="10" t="s">
        <v>2</v>
      </c>
      <c r="AM48" s="10" t="s">
        <v>2613</v>
      </c>
      <c r="AN48" s="1"/>
    </row>
    <row r="49" spans="1:40" x14ac:dyDescent="0.3">
      <c r="A49" s="26" t="s">
        <v>1715</v>
      </c>
      <c r="B49" s="26" t="s">
        <v>29</v>
      </c>
      <c r="C49" s="26" t="s">
        <v>277</v>
      </c>
      <c r="D49" s="26" t="s">
        <v>1716</v>
      </c>
      <c r="E49" s="26">
        <v>1987</v>
      </c>
      <c r="F49" s="10" t="s">
        <v>2665</v>
      </c>
      <c r="G49" s="10" t="s">
        <v>1138</v>
      </c>
      <c r="H49" s="10" t="s">
        <v>1689</v>
      </c>
      <c r="I49" s="26" t="s">
        <v>1718</v>
      </c>
      <c r="J49" s="26" t="s">
        <v>1717</v>
      </c>
      <c r="K49" s="26">
        <v>8</v>
      </c>
      <c r="L49" s="26">
        <v>8</v>
      </c>
      <c r="M49" s="26">
        <v>254</v>
      </c>
      <c r="N49" s="26"/>
      <c r="O49" s="26"/>
      <c r="P49" s="42">
        <f>(315+352+421)/3</f>
        <v>362.66666666666669</v>
      </c>
      <c r="Q49" s="26"/>
      <c r="R49" s="26"/>
      <c r="S49" s="26"/>
      <c r="T49" s="26"/>
      <c r="U49" s="26"/>
      <c r="V49" s="26"/>
      <c r="W49" s="26"/>
      <c r="X49" s="10"/>
      <c r="Y49" s="10"/>
      <c r="Z49" s="10"/>
      <c r="AA49" s="14">
        <f t="shared" si="8"/>
        <v>1.4278215223097113</v>
      </c>
      <c r="AB49" s="14"/>
      <c r="AC49" s="14">
        <f t="shared" si="2"/>
        <v>1.4278215223097113</v>
      </c>
      <c r="AD49" s="10"/>
      <c r="AE49" s="10"/>
      <c r="AF49" s="10"/>
      <c r="AG49" s="10"/>
      <c r="AH49" s="10"/>
      <c r="AI49" s="10"/>
      <c r="AJ49" s="10"/>
      <c r="AK49" s="26" t="s">
        <v>2</v>
      </c>
      <c r="AL49" s="10" t="s">
        <v>2</v>
      </c>
      <c r="AM49" s="10" t="s">
        <v>2613</v>
      </c>
      <c r="AN49" s="1"/>
    </row>
    <row r="50" spans="1:40" x14ac:dyDescent="0.3">
      <c r="A50" s="26" t="s">
        <v>1715</v>
      </c>
      <c r="B50" s="26" t="s">
        <v>29</v>
      </c>
      <c r="C50" s="26" t="s">
        <v>277</v>
      </c>
      <c r="D50" s="26" t="s">
        <v>1716</v>
      </c>
      <c r="E50" s="26">
        <v>1987</v>
      </c>
      <c r="F50" s="10" t="s">
        <v>2665</v>
      </c>
      <c r="G50" s="10" t="s">
        <v>1138</v>
      </c>
      <c r="H50" s="10" t="s">
        <v>1689</v>
      </c>
      <c r="I50" s="26" t="s">
        <v>1719</v>
      </c>
      <c r="J50" s="26" t="s">
        <v>1717</v>
      </c>
      <c r="K50" s="26">
        <v>8</v>
      </c>
      <c r="L50" s="26">
        <v>8</v>
      </c>
      <c r="M50" s="26">
        <v>592</v>
      </c>
      <c r="N50" s="10"/>
      <c r="O50" s="10"/>
      <c r="P50" s="25">
        <f>(660+646+637)/3</f>
        <v>647.66666666666663</v>
      </c>
      <c r="Q50" s="10"/>
      <c r="R50" s="10"/>
      <c r="S50" s="10"/>
      <c r="T50" s="10"/>
      <c r="U50" s="10"/>
      <c r="V50" s="10"/>
      <c r="W50" s="10"/>
      <c r="X50" s="10"/>
      <c r="Y50" s="10"/>
      <c r="Z50" s="10"/>
      <c r="AA50" s="14">
        <f t="shared" si="8"/>
        <v>1.0940315315315314</v>
      </c>
      <c r="AB50" s="14"/>
      <c r="AC50" s="14">
        <f t="shared" si="2"/>
        <v>1.0940315315315314</v>
      </c>
      <c r="AD50" s="10"/>
      <c r="AE50" s="10"/>
      <c r="AF50" s="10"/>
      <c r="AG50" s="10"/>
      <c r="AH50" s="10"/>
      <c r="AI50" s="10"/>
      <c r="AJ50" s="10"/>
      <c r="AK50" s="26" t="s">
        <v>2</v>
      </c>
      <c r="AL50" s="10" t="s">
        <v>2</v>
      </c>
      <c r="AM50" s="10" t="s">
        <v>2613</v>
      </c>
      <c r="AN50" s="1"/>
    </row>
    <row r="51" spans="1:40" x14ac:dyDescent="0.3">
      <c r="A51" s="26" t="s">
        <v>1715</v>
      </c>
      <c r="B51" s="26" t="s">
        <v>29</v>
      </c>
      <c r="C51" s="26" t="s">
        <v>277</v>
      </c>
      <c r="D51" s="26" t="s">
        <v>1716</v>
      </c>
      <c r="E51" s="26">
        <v>1987</v>
      </c>
      <c r="F51" s="10" t="s">
        <v>2665</v>
      </c>
      <c r="G51" s="10" t="s">
        <v>1138</v>
      </c>
      <c r="H51" s="10" t="s">
        <v>1689</v>
      </c>
      <c r="I51" s="26" t="s">
        <v>1720</v>
      </c>
      <c r="J51" s="26" t="s">
        <v>1717</v>
      </c>
      <c r="K51" s="26">
        <v>8</v>
      </c>
      <c r="L51" s="26">
        <v>8</v>
      </c>
      <c r="M51" s="26">
        <v>816</v>
      </c>
      <c r="N51" s="26"/>
      <c r="O51" s="26"/>
      <c r="P51" s="42">
        <f>(916+899+894)/3</f>
        <v>903</v>
      </c>
      <c r="Q51" s="26"/>
      <c r="R51" s="26"/>
      <c r="S51" s="26"/>
      <c r="T51" s="26"/>
      <c r="U51" s="26"/>
      <c r="V51" s="26"/>
      <c r="W51" s="26"/>
      <c r="X51" s="10"/>
      <c r="Y51" s="10"/>
      <c r="Z51" s="10"/>
      <c r="AA51" s="14">
        <f t="shared" si="8"/>
        <v>1.1066176470588236</v>
      </c>
      <c r="AB51" s="14"/>
      <c r="AC51" s="14">
        <f t="shared" si="2"/>
        <v>1.1066176470588236</v>
      </c>
      <c r="AD51" s="10"/>
      <c r="AE51" s="10"/>
      <c r="AF51" s="10"/>
      <c r="AG51" s="10"/>
      <c r="AH51" s="10"/>
      <c r="AI51" s="10"/>
      <c r="AJ51" s="10"/>
      <c r="AK51" s="26" t="s">
        <v>2</v>
      </c>
      <c r="AL51" s="10" t="s">
        <v>2</v>
      </c>
      <c r="AM51" s="10" t="s">
        <v>2613</v>
      </c>
      <c r="AN51" s="1"/>
    </row>
    <row r="52" spans="1:40" x14ac:dyDescent="0.3">
      <c r="A52" s="26" t="s">
        <v>1715</v>
      </c>
      <c r="B52" s="26" t="s">
        <v>29</v>
      </c>
      <c r="C52" s="26" t="s">
        <v>277</v>
      </c>
      <c r="D52" s="26" t="s">
        <v>1716</v>
      </c>
      <c r="E52" s="26">
        <v>1987</v>
      </c>
      <c r="F52" s="10" t="s">
        <v>2665</v>
      </c>
      <c r="G52" s="10" t="s">
        <v>1138</v>
      </c>
      <c r="H52" s="10" t="s">
        <v>1689</v>
      </c>
      <c r="I52" s="26" t="s">
        <v>1721</v>
      </c>
      <c r="J52" s="26" t="s">
        <v>1717</v>
      </c>
      <c r="K52" s="26">
        <v>8</v>
      </c>
      <c r="L52" s="26">
        <v>8</v>
      </c>
      <c r="M52" s="26">
        <v>1622</v>
      </c>
      <c r="N52" s="10"/>
      <c r="O52" s="10"/>
      <c r="P52" s="25">
        <f>(2667+2611+1635)/3</f>
        <v>2304.3333333333335</v>
      </c>
      <c r="Q52" s="10"/>
      <c r="R52" s="10"/>
      <c r="S52" s="10"/>
      <c r="T52" s="10"/>
      <c r="U52" s="10"/>
      <c r="V52" s="10"/>
      <c r="W52" s="10"/>
      <c r="X52" s="10"/>
      <c r="Y52" s="10"/>
      <c r="Z52" s="10"/>
      <c r="AA52" s="14">
        <f t="shared" si="8"/>
        <v>1.4206740649404028</v>
      </c>
      <c r="AB52" s="14"/>
      <c r="AC52" s="14">
        <f t="shared" si="2"/>
        <v>1.4206740649404028</v>
      </c>
      <c r="AD52" s="10"/>
      <c r="AE52" s="10"/>
      <c r="AF52" s="10"/>
      <c r="AG52" s="10"/>
      <c r="AH52" s="10"/>
      <c r="AI52" s="10"/>
      <c r="AJ52" s="10"/>
      <c r="AK52" s="26" t="s">
        <v>2</v>
      </c>
      <c r="AL52" s="10" t="s">
        <v>2</v>
      </c>
      <c r="AM52" s="10" t="s">
        <v>2613</v>
      </c>
      <c r="AN52" s="1"/>
    </row>
    <row r="53" spans="1:40" x14ac:dyDescent="0.3">
      <c r="A53" s="26" t="s">
        <v>1741</v>
      </c>
      <c r="B53" s="26" t="s">
        <v>1686</v>
      </c>
      <c r="C53" s="26" t="s">
        <v>1687</v>
      </c>
      <c r="D53" s="26" t="s">
        <v>1738</v>
      </c>
      <c r="E53" s="10"/>
      <c r="F53" s="10" t="s">
        <v>2665</v>
      </c>
      <c r="G53" s="10" t="s">
        <v>1740</v>
      </c>
      <c r="H53" s="10" t="s">
        <v>1742</v>
      </c>
      <c r="I53" s="10"/>
      <c r="J53" s="26" t="s">
        <v>1739</v>
      </c>
      <c r="K53" s="26">
        <v>2</v>
      </c>
      <c r="L53" s="26">
        <v>2</v>
      </c>
      <c r="M53" s="26">
        <v>1288</v>
      </c>
      <c r="N53" s="10"/>
      <c r="O53" s="10"/>
      <c r="P53" s="10">
        <v>330</v>
      </c>
      <c r="Q53" s="10"/>
      <c r="R53" s="10"/>
      <c r="S53" s="10"/>
      <c r="T53" s="10"/>
      <c r="U53" s="10"/>
      <c r="V53" s="10"/>
      <c r="W53" s="10">
        <v>36</v>
      </c>
      <c r="X53" s="10"/>
      <c r="Y53" s="10"/>
      <c r="Z53" s="10"/>
      <c r="AA53" s="14">
        <f t="shared" si="8"/>
        <v>0.25621118012422361</v>
      </c>
      <c r="AB53" s="14"/>
      <c r="AC53" s="14">
        <f t="shared" si="2"/>
        <v>0.25621118012422361</v>
      </c>
      <c r="AD53" s="10"/>
      <c r="AE53" s="10"/>
      <c r="AF53" s="10"/>
      <c r="AG53" s="10"/>
      <c r="AH53" s="10"/>
      <c r="AI53" s="10"/>
      <c r="AJ53" s="10"/>
      <c r="AK53" s="10" t="s">
        <v>2</v>
      </c>
      <c r="AL53" s="10" t="s">
        <v>2</v>
      </c>
      <c r="AM53" s="10" t="s">
        <v>1698</v>
      </c>
    </row>
    <row r="54" spans="1:40" x14ac:dyDescent="0.3">
      <c r="A54" s="26" t="s">
        <v>1743</v>
      </c>
      <c r="B54" s="26" t="s">
        <v>29</v>
      </c>
      <c r="C54" s="26" t="s">
        <v>277</v>
      </c>
      <c r="D54" s="26" t="s">
        <v>1744</v>
      </c>
      <c r="E54" s="26">
        <v>1984</v>
      </c>
      <c r="F54" s="10" t="s">
        <v>2665</v>
      </c>
      <c r="G54" s="10" t="s">
        <v>1138</v>
      </c>
      <c r="H54" s="10" t="s">
        <v>1746</v>
      </c>
      <c r="I54" s="10"/>
      <c r="J54" s="26" t="s">
        <v>1745</v>
      </c>
      <c r="K54" s="26">
        <v>2</v>
      </c>
      <c r="L54" s="26">
        <v>2</v>
      </c>
      <c r="M54" s="26">
        <v>4590</v>
      </c>
      <c r="N54" s="10"/>
      <c r="O54" s="10"/>
      <c r="P54" s="10">
        <v>6060</v>
      </c>
      <c r="Q54" s="10"/>
      <c r="R54" s="10"/>
      <c r="S54" s="10"/>
      <c r="T54" s="10"/>
      <c r="U54" s="10"/>
      <c r="V54" s="10"/>
      <c r="W54" s="10"/>
      <c r="X54" s="10"/>
      <c r="Y54" s="10"/>
      <c r="Z54" s="10"/>
      <c r="AA54" s="14">
        <f t="shared" si="8"/>
        <v>1.3202614379084967</v>
      </c>
      <c r="AB54" s="14"/>
      <c r="AC54" s="14">
        <f t="shared" si="2"/>
        <v>1.3202614379084967</v>
      </c>
      <c r="AD54" s="10"/>
      <c r="AE54" s="10"/>
      <c r="AF54" s="10"/>
      <c r="AG54" s="10"/>
      <c r="AH54" s="10"/>
      <c r="AI54" s="10"/>
      <c r="AJ54" s="10"/>
      <c r="AK54" s="10" t="s">
        <v>2</v>
      </c>
      <c r="AL54" s="10" t="s">
        <v>2</v>
      </c>
      <c r="AM54" s="10" t="s">
        <v>1698</v>
      </c>
    </row>
    <row r="55" spans="1:40" x14ac:dyDescent="0.3">
      <c r="A55" s="26" t="s">
        <v>1743</v>
      </c>
      <c r="B55" s="26" t="s">
        <v>29</v>
      </c>
      <c r="C55" s="26" t="s">
        <v>277</v>
      </c>
      <c r="D55" s="26" t="s">
        <v>1744</v>
      </c>
      <c r="E55" s="26">
        <v>1985</v>
      </c>
      <c r="F55" s="10" t="s">
        <v>2665</v>
      </c>
      <c r="G55" s="10" t="s">
        <v>1138</v>
      </c>
      <c r="H55" s="10" t="s">
        <v>1746</v>
      </c>
      <c r="I55" s="10"/>
      <c r="J55" s="26" t="s">
        <v>1745</v>
      </c>
      <c r="K55" s="26">
        <v>2</v>
      </c>
      <c r="L55" s="26">
        <v>2</v>
      </c>
      <c r="M55" s="26">
        <v>4340</v>
      </c>
      <c r="N55" s="10"/>
      <c r="O55" s="10"/>
      <c r="P55" s="10">
        <v>4850</v>
      </c>
      <c r="Q55" s="10"/>
      <c r="R55" s="10"/>
      <c r="S55" s="10"/>
      <c r="T55" s="10"/>
      <c r="U55" s="10"/>
      <c r="V55" s="10"/>
      <c r="W55" s="10"/>
      <c r="X55" s="10"/>
      <c r="Y55" s="10"/>
      <c r="Z55" s="10"/>
      <c r="AA55" s="14">
        <f t="shared" si="8"/>
        <v>1.1175115207373272</v>
      </c>
      <c r="AB55" s="14"/>
      <c r="AC55" s="14">
        <f t="shared" si="2"/>
        <v>1.1175115207373272</v>
      </c>
      <c r="AD55" s="10"/>
      <c r="AE55" s="10"/>
      <c r="AF55" s="10"/>
      <c r="AG55" s="10"/>
      <c r="AH55" s="10"/>
      <c r="AI55" s="10"/>
      <c r="AJ55" s="10"/>
      <c r="AK55" s="10" t="s">
        <v>2</v>
      </c>
      <c r="AL55" s="10" t="s">
        <v>2</v>
      </c>
      <c r="AM55" s="10" t="s">
        <v>1698</v>
      </c>
    </row>
    <row r="56" spans="1:40" x14ac:dyDescent="0.3">
      <c r="A56" s="26" t="s">
        <v>1743</v>
      </c>
      <c r="B56" s="26" t="s">
        <v>29</v>
      </c>
      <c r="C56" s="26" t="s">
        <v>277</v>
      </c>
      <c r="D56" s="26" t="s">
        <v>1744</v>
      </c>
      <c r="E56" s="26">
        <v>1986</v>
      </c>
      <c r="F56" s="10" t="s">
        <v>2665</v>
      </c>
      <c r="G56" s="10" t="s">
        <v>1138</v>
      </c>
      <c r="H56" s="10" t="s">
        <v>1746</v>
      </c>
      <c r="I56" s="10"/>
      <c r="J56" s="26" t="s">
        <v>1745</v>
      </c>
      <c r="K56" s="26">
        <v>2</v>
      </c>
      <c r="L56" s="26">
        <v>2</v>
      </c>
      <c r="M56" s="26">
        <v>2710</v>
      </c>
      <c r="N56" s="10"/>
      <c r="O56" s="10"/>
      <c r="P56" s="10">
        <v>2470</v>
      </c>
      <c r="Q56" s="10"/>
      <c r="R56" s="10"/>
      <c r="S56" s="10"/>
      <c r="T56" s="10"/>
      <c r="U56" s="10"/>
      <c r="V56" s="10"/>
      <c r="W56" s="10"/>
      <c r="X56" s="10"/>
      <c r="Y56" s="10"/>
      <c r="Z56" s="10"/>
      <c r="AA56" s="14">
        <f t="shared" si="8"/>
        <v>0.91143911439114389</v>
      </c>
      <c r="AB56" s="14"/>
      <c r="AC56" s="14">
        <f t="shared" si="2"/>
        <v>0.91143911439114389</v>
      </c>
      <c r="AD56" s="10"/>
      <c r="AE56" s="10"/>
      <c r="AF56" s="10"/>
      <c r="AG56" s="10"/>
      <c r="AH56" s="10"/>
      <c r="AI56" s="10"/>
      <c r="AJ56" s="10"/>
      <c r="AK56" s="10" t="s">
        <v>2</v>
      </c>
      <c r="AL56" s="10" t="s">
        <v>2</v>
      </c>
      <c r="AM56" s="10" t="s">
        <v>1698</v>
      </c>
    </row>
    <row r="57" spans="1:40" x14ac:dyDescent="0.3">
      <c r="A57" s="26" t="s">
        <v>1747</v>
      </c>
      <c r="B57" s="26" t="s">
        <v>29</v>
      </c>
      <c r="C57" s="26" t="s">
        <v>1408</v>
      </c>
      <c r="D57" s="26" t="s">
        <v>1751</v>
      </c>
      <c r="E57" s="26">
        <v>1989</v>
      </c>
      <c r="F57" s="10" t="s">
        <v>2665</v>
      </c>
      <c r="G57" s="10" t="s">
        <v>1138</v>
      </c>
      <c r="H57" s="10" t="s">
        <v>1746</v>
      </c>
      <c r="I57" s="10" t="s">
        <v>1749</v>
      </c>
      <c r="J57" s="26" t="s">
        <v>1748</v>
      </c>
      <c r="K57" s="26">
        <v>5</v>
      </c>
      <c r="L57" s="26">
        <v>5</v>
      </c>
      <c r="M57" s="26">
        <v>273</v>
      </c>
      <c r="N57" s="10"/>
      <c r="O57" s="10"/>
      <c r="P57" s="10">
        <v>300</v>
      </c>
      <c r="Q57" s="10"/>
      <c r="R57" s="10"/>
      <c r="S57" s="10"/>
      <c r="T57" s="10"/>
      <c r="U57" s="10"/>
      <c r="V57" s="10"/>
      <c r="W57" s="10"/>
      <c r="X57" s="10"/>
      <c r="Y57" s="10"/>
      <c r="Z57" s="10"/>
      <c r="AA57" s="14">
        <f t="shared" si="8"/>
        <v>1.098901098901099</v>
      </c>
      <c r="AB57" s="14"/>
      <c r="AC57" s="14">
        <f t="shared" si="2"/>
        <v>1.098901098901099</v>
      </c>
      <c r="AD57" s="10"/>
      <c r="AE57" s="10"/>
      <c r="AF57" s="10"/>
      <c r="AG57" s="10"/>
      <c r="AH57" s="10"/>
      <c r="AI57" s="10"/>
      <c r="AJ57" s="10"/>
      <c r="AK57" s="10" t="s">
        <v>2</v>
      </c>
      <c r="AL57" s="10" t="s">
        <v>2</v>
      </c>
      <c r="AM57" s="10" t="s">
        <v>1698</v>
      </c>
    </row>
    <row r="58" spans="1:40" x14ac:dyDescent="0.3">
      <c r="A58" s="26" t="s">
        <v>1747</v>
      </c>
      <c r="B58" s="26" t="s">
        <v>29</v>
      </c>
      <c r="C58" s="26" t="s">
        <v>1408</v>
      </c>
      <c r="D58" s="26" t="s">
        <v>1751</v>
      </c>
      <c r="E58" s="26">
        <v>1989</v>
      </c>
      <c r="F58" s="10" t="s">
        <v>2665</v>
      </c>
      <c r="G58" s="10" t="s">
        <v>1138</v>
      </c>
      <c r="H58" s="10" t="s">
        <v>1746</v>
      </c>
      <c r="I58" s="10" t="s">
        <v>1750</v>
      </c>
      <c r="J58" s="26" t="s">
        <v>1748</v>
      </c>
      <c r="K58" s="26">
        <v>5</v>
      </c>
      <c r="L58" s="26">
        <v>5</v>
      </c>
      <c r="M58" s="26">
        <v>328</v>
      </c>
      <c r="N58" s="10"/>
      <c r="O58" s="10"/>
      <c r="P58" s="10">
        <v>335</v>
      </c>
      <c r="Q58" s="10"/>
      <c r="R58" s="10"/>
      <c r="S58" s="10"/>
      <c r="T58" s="10"/>
      <c r="U58" s="10"/>
      <c r="V58" s="10"/>
      <c r="W58" s="10"/>
      <c r="X58" s="10"/>
      <c r="Y58" s="10"/>
      <c r="Z58" s="10"/>
      <c r="AA58" s="14">
        <f t="shared" si="8"/>
        <v>1.0213414634146341</v>
      </c>
      <c r="AB58" s="14"/>
      <c r="AC58" s="14">
        <f t="shared" si="2"/>
        <v>1.0213414634146341</v>
      </c>
      <c r="AD58" s="10"/>
      <c r="AE58" s="10"/>
      <c r="AF58" s="10"/>
      <c r="AG58" s="10"/>
      <c r="AH58" s="10"/>
      <c r="AI58" s="10"/>
      <c r="AJ58" s="10"/>
      <c r="AK58" s="10" t="s">
        <v>2</v>
      </c>
      <c r="AL58" s="10" t="s">
        <v>2</v>
      </c>
      <c r="AM58" s="10" t="s">
        <v>1698</v>
      </c>
    </row>
    <row r="59" spans="1:40" s="10" customFormat="1" x14ac:dyDescent="0.3">
      <c r="A59" s="26" t="s">
        <v>1771</v>
      </c>
      <c r="B59" s="26" t="s">
        <v>29</v>
      </c>
      <c r="C59" s="26" t="s">
        <v>277</v>
      </c>
      <c r="D59" s="26" t="s">
        <v>1772</v>
      </c>
      <c r="E59" s="26">
        <v>1986</v>
      </c>
      <c r="F59" s="10" t="s">
        <v>2665</v>
      </c>
      <c r="G59" s="10" t="s">
        <v>1138</v>
      </c>
      <c r="H59" s="10" t="s">
        <v>1746</v>
      </c>
      <c r="J59" s="26" t="s">
        <v>1745</v>
      </c>
      <c r="K59" s="26">
        <v>3</v>
      </c>
      <c r="L59" s="26">
        <v>3</v>
      </c>
      <c r="M59" s="26">
        <v>2700</v>
      </c>
      <c r="N59" s="10">
        <f>2929-2699</f>
        <v>230</v>
      </c>
      <c r="P59" s="26">
        <v>1016</v>
      </c>
      <c r="Q59" s="10">
        <f>1355-1016</f>
        <v>339</v>
      </c>
      <c r="AA59" s="14">
        <f t="shared" si="8"/>
        <v>0.3762962962962963</v>
      </c>
      <c r="AB59" s="14"/>
      <c r="AC59" s="14">
        <f t="shared" si="2"/>
        <v>0.3762962962962963</v>
      </c>
      <c r="AD59" s="10">
        <f t="shared" ref="AD59:AD68" si="9">((Q59*SQRT(L59))^2)/(M59^2)+((N59*SQRT(K59))^2)*(P59^2)/(M59^4)</f>
        <v>5.0375136604063293E-2</v>
      </c>
      <c r="AF59" s="10">
        <f t="shared" si="4"/>
        <v>5.0375136604063293E-2</v>
      </c>
      <c r="AJ59" s="10" t="s">
        <v>2</v>
      </c>
      <c r="AK59" s="10" t="s">
        <v>2</v>
      </c>
      <c r="AL59" s="10" t="s">
        <v>2</v>
      </c>
      <c r="AM59" s="10" t="s">
        <v>2614</v>
      </c>
    </row>
    <row r="60" spans="1:40" s="10" customFormat="1" x14ac:dyDescent="0.3">
      <c r="A60" s="26" t="s">
        <v>1771</v>
      </c>
      <c r="B60" s="26" t="s">
        <v>29</v>
      </c>
      <c r="C60" s="26" t="s">
        <v>277</v>
      </c>
      <c r="D60" s="26" t="s">
        <v>1773</v>
      </c>
      <c r="E60" s="26">
        <v>1986</v>
      </c>
      <c r="F60" s="10" t="s">
        <v>2665</v>
      </c>
      <c r="G60" s="10" t="s">
        <v>1138</v>
      </c>
      <c r="H60" s="10" t="s">
        <v>1746</v>
      </c>
      <c r="J60" s="26" t="s">
        <v>1745</v>
      </c>
      <c r="K60" s="26">
        <v>3</v>
      </c>
      <c r="L60" s="26">
        <v>3</v>
      </c>
      <c r="M60" s="26">
        <v>3638</v>
      </c>
      <c r="N60" s="10">
        <f>3828-3638</f>
        <v>190</v>
      </c>
      <c r="P60" s="26">
        <v>2780</v>
      </c>
      <c r="Q60" s="10">
        <f>2994-2780</f>
        <v>214</v>
      </c>
      <c r="AA60" s="14">
        <f t="shared" si="8"/>
        <v>0.76415612974161629</v>
      </c>
      <c r="AB60" s="14"/>
      <c r="AC60" s="14">
        <f t="shared" si="2"/>
        <v>0.76415612974161629</v>
      </c>
      <c r="AD60" s="10">
        <f t="shared" si="9"/>
        <v>1.5158855245538175E-2</v>
      </c>
      <c r="AF60" s="10">
        <f t="shared" si="4"/>
        <v>1.5158855245538175E-2</v>
      </c>
      <c r="AJ60" s="10" t="s">
        <v>2</v>
      </c>
      <c r="AK60" s="10" t="s">
        <v>2</v>
      </c>
      <c r="AL60" s="10" t="s">
        <v>2</v>
      </c>
      <c r="AM60" s="10" t="s">
        <v>2614</v>
      </c>
    </row>
    <row r="61" spans="1:40" s="10" customFormat="1" x14ac:dyDescent="0.3">
      <c r="A61" s="26" t="s">
        <v>1771</v>
      </c>
      <c r="B61" s="26" t="s">
        <v>29</v>
      </c>
      <c r="C61" s="26" t="s">
        <v>277</v>
      </c>
      <c r="D61" s="26" t="s">
        <v>1774</v>
      </c>
      <c r="E61" s="26">
        <v>1986</v>
      </c>
      <c r="F61" s="10" t="s">
        <v>2665</v>
      </c>
      <c r="G61" s="10" t="s">
        <v>1138</v>
      </c>
      <c r="H61" s="10" t="s">
        <v>1746</v>
      </c>
      <c r="J61" s="26" t="s">
        <v>1745</v>
      </c>
      <c r="K61" s="26">
        <v>3</v>
      </c>
      <c r="L61" s="26">
        <v>3</v>
      </c>
      <c r="M61" s="26">
        <v>5628</v>
      </c>
      <c r="N61" s="10">
        <f>6223-5628</f>
        <v>595</v>
      </c>
      <c r="P61" s="26">
        <v>2739</v>
      </c>
      <c r="Q61" s="10">
        <f>3120-2739</f>
        <v>381</v>
      </c>
      <c r="AA61" s="14">
        <f t="shared" si="8"/>
        <v>0.48667377398720685</v>
      </c>
      <c r="AB61" s="14"/>
      <c r="AC61" s="14">
        <f t="shared" si="2"/>
        <v>0.48667377398720685</v>
      </c>
      <c r="AD61" s="10">
        <f t="shared" si="9"/>
        <v>2.1690616322669869E-2</v>
      </c>
      <c r="AF61" s="10">
        <f t="shared" si="4"/>
        <v>2.1690616322669869E-2</v>
      </c>
      <c r="AJ61" s="10" t="s">
        <v>2</v>
      </c>
      <c r="AK61" s="10" t="s">
        <v>2</v>
      </c>
      <c r="AL61" s="10" t="s">
        <v>2</v>
      </c>
      <c r="AM61" s="10" t="s">
        <v>2614</v>
      </c>
    </row>
    <row r="62" spans="1:40" s="10" customFormat="1" x14ac:dyDescent="0.3">
      <c r="A62" s="26" t="s">
        <v>1771</v>
      </c>
      <c r="B62" s="26" t="s">
        <v>29</v>
      </c>
      <c r="C62" s="26" t="s">
        <v>277</v>
      </c>
      <c r="D62" s="26" t="s">
        <v>1775</v>
      </c>
      <c r="E62" s="26">
        <v>1986</v>
      </c>
      <c r="F62" s="10" t="s">
        <v>2665</v>
      </c>
      <c r="G62" s="10" t="s">
        <v>1138</v>
      </c>
      <c r="H62" s="10" t="s">
        <v>1746</v>
      </c>
      <c r="J62" s="26" t="s">
        <v>1745</v>
      </c>
      <c r="K62" s="26">
        <v>3</v>
      </c>
      <c r="L62" s="26">
        <v>3</v>
      </c>
      <c r="M62" s="26">
        <v>4690</v>
      </c>
      <c r="N62" s="10">
        <f>5313-4690</f>
        <v>623</v>
      </c>
      <c r="P62" s="26">
        <v>5268</v>
      </c>
      <c r="Q62" s="10">
        <f>5944-5268</f>
        <v>676</v>
      </c>
      <c r="AA62" s="14">
        <f t="shared" si="8"/>
        <v>1.1232409381663113</v>
      </c>
      <c r="AB62" s="14"/>
      <c r="AC62" s="14">
        <f t="shared" si="2"/>
        <v>1.1232409381663113</v>
      </c>
      <c r="AD62" s="10">
        <f t="shared" si="9"/>
        <v>0.12911381495767274</v>
      </c>
      <c r="AF62" s="10">
        <f t="shared" si="4"/>
        <v>0.12911381495767274</v>
      </c>
      <c r="AJ62" s="10" t="s">
        <v>2</v>
      </c>
      <c r="AK62" s="10" t="s">
        <v>2</v>
      </c>
      <c r="AL62" s="10" t="s">
        <v>2</v>
      </c>
      <c r="AM62" s="10" t="s">
        <v>2614</v>
      </c>
    </row>
    <row r="63" spans="1:40" s="10" customFormat="1" x14ac:dyDescent="0.3">
      <c r="A63" s="26" t="s">
        <v>1771</v>
      </c>
      <c r="B63" s="26" t="s">
        <v>29</v>
      </c>
      <c r="C63" s="26" t="s">
        <v>277</v>
      </c>
      <c r="D63" s="26" t="s">
        <v>1776</v>
      </c>
      <c r="E63" s="26">
        <v>1986</v>
      </c>
      <c r="F63" s="10" t="s">
        <v>2665</v>
      </c>
      <c r="G63" s="10" t="s">
        <v>1138</v>
      </c>
      <c r="H63" s="10" t="s">
        <v>1746</v>
      </c>
      <c r="J63" s="26" t="s">
        <v>1745</v>
      </c>
      <c r="K63" s="26">
        <v>3</v>
      </c>
      <c r="L63" s="26">
        <v>3</v>
      </c>
      <c r="M63" s="26">
        <v>2638</v>
      </c>
      <c r="N63" s="10">
        <f>3083-2638</f>
        <v>445</v>
      </c>
      <c r="P63" s="26">
        <v>2448</v>
      </c>
      <c r="Q63" s="10">
        <f>2642-2448</f>
        <v>194</v>
      </c>
      <c r="AA63" s="14">
        <f t="shared" si="8"/>
        <v>0.92797573919636089</v>
      </c>
      <c r="AB63" s="14"/>
      <c r="AC63" s="14">
        <f t="shared" si="2"/>
        <v>0.92797573919636089</v>
      </c>
      <c r="AD63" s="10">
        <f t="shared" si="9"/>
        <v>8.9737776497739855E-2</v>
      </c>
      <c r="AF63" s="10">
        <f t="shared" si="4"/>
        <v>8.9737776497739855E-2</v>
      </c>
      <c r="AJ63" s="10" t="s">
        <v>2</v>
      </c>
      <c r="AK63" s="10" t="s">
        <v>2</v>
      </c>
      <c r="AL63" s="10" t="s">
        <v>2</v>
      </c>
      <c r="AM63" s="10" t="s">
        <v>2614</v>
      </c>
    </row>
    <row r="64" spans="1:40" s="10" customFormat="1" x14ac:dyDescent="0.3">
      <c r="A64" s="26" t="s">
        <v>1771</v>
      </c>
      <c r="B64" s="26" t="s">
        <v>29</v>
      </c>
      <c r="C64" s="26" t="s">
        <v>277</v>
      </c>
      <c r="D64" s="26" t="s">
        <v>1772</v>
      </c>
      <c r="E64" s="26">
        <v>1987</v>
      </c>
      <c r="F64" s="10" t="s">
        <v>2665</v>
      </c>
      <c r="G64" s="10" t="s">
        <v>1138</v>
      </c>
      <c r="H64" s="10" t="s">
        <v>1746</v>
      </c>
      <c r="J64" s="26" t="s">
        <v>1745</v>
      </c>
      <c r="K64" s="26">
        <v>3</v>
      </c>
      <c r="L64" s="26">
        <v>3</v>
      </c>
      <c r="M64" s="26">
        <v>1466</v>
      </c>
      <c r="N64" s="10">
        <f>1769-1466</f>
        <v>303</v>
      </c>
      <c r="P64" s="26">
        <v>824</v>
      </c>
      <c r="Q64" s="10">
        <f>1082-824</f>
        <v>258</v>
      </c>
      <c r="AA64" s="14">
        <f t="shared" si="8"/>
        <v>0.56207366984993179</v>
      </c>
      <c r="AB64" s="14"/>
      <c r="AC64" s="14">
        <f t="shared" si="2"/>
        <v>0.56207366984993179</v>
      </c>
      <c r="AD64" s="10">
        <f t="shared" si="9"/>
        <v>0.13340435668286588</v>
      </c>
      <c r="AF64" s="10">
        <f t="shared" si="4"/>
        <v>0.13340435668286588</v>
      </c>
      <c r="AJ64" s="10" t="s">
        <v>2</v>
      </c>
      <c r="AK64" s="10" t="s">
        <v>2</v>
      </c>
      <c r="AL64" s="10" t="s">
        <v>2</v>
      </c>
      <c r="AM64" s="10" t="s">
        <v>2614</v>
      </c>
    </row>
    <row r="65" spans="1:39" s="10" customFormat="1" x14ac:dyDescent="0.3">
      <c r="A65" s="26" t="s">
        <v>1771</v>
      </c>
      <c r="B65" s="26" t="s">
        <v>29</v>
      </c>
      <c r="C65" s="26" t="s">
        <v>277</v>
      </c>
      <c r="D65" s="26" t="s">
        <v>1773</v>
      </c>
      <c r="E65" s="26">
        <v>1987</v>
      </c>
      <c r="F65" s="10" t="s">
        <v>2665</v>
      </c>
      <c r="G65" s="10" t="s">
        <v>1138</v>
      </c>
      <c r="H65" s="10" t="s">
        <v>1746</v>
      </c>
      <c r="J65" s="26" t="s">
        <v>1745</v>
      </c>
      <c r="K65" s="26">
        <v>3</v>
      </c>
      <c r="L65" s="26">
        <v>3</v>
      </c>
      <c r="M65" s="26">
        <v>3378</v>
      </c>
      <c r="N65" s="10">
        <f>3739-3378</f>
        <v>361</v>
      </c>
      <c r="P65" s="26">
        <v>1855</v>
      </c>
      <c r="Q65" s="10">
        <f>2061-1855</f>
        <v>206</v>
      </c>
      <c r="AA65" s="14">
        <f t="shared" si="8"/>
        <v>0.54914150384843108</v>
      </c>
      <c r="AB65" s="14"/>
      <c r="AC65" s="14">
        <f t="shared" ref="AC65:AC94" si="10">AA65+AB65</f>
        <v>0.54914150384843108</v>
      </c>
      <c r="AD65" s="10">
        <f t="shared" si="9"/>
        <v>2.1488728777879967E-2</v>
      </c>
      <c r="AF65" s="10">
        <f t="shared" si="4"/>
        <v>2.1488728777879967E-2</v>
      </c>
      <c r="AJ65" s="10" t="s">
        <v>2</v>
      </c>
      <c r="AK65" s="10" t="s">
        <v>2</v>
      </c>
      <c r="AL65" s="10" t="s">
        <v>2</v>
      </c>
      <c r="AM65" s="10" t="s">
        <v>2614</v>
      </c>
    </row>
    <row r="66" spans="1:39" s="10" customFormat="1" x14ac:dyDescent="0.3">
      <c r="A66" s="26" t="s">
        <v>1771</v>
      </c>
      <c r="B66" s="26" t="s">
        <v>29</v>
      </c>
      <c r="C66" s="26" t="s">
        <v>277</v>
      </c>
      <c r="D66" s="26" t="s">
        <v>1774</v>
      </c>
      <c r="E66" s="26">
        <v>1987</v>
      </c>
      <c r="F66" s="10" t="s">
        <v>2665</v>
      </c>
      <c r="G66" s="10" t="s">
        <v>1138</v>
      </c>
      <c r="H66" s="10" t="s">
        <v>1746</v>
      </c>
      <c r="J66" s="26" t="s">
        <v>1745</v>
      </c>
      <c r="K66" s="26">
        <v>3</v>
      </c>
      <c r="L66" s="26">
        <v>3</v>
      </c>
      <c r="M66" s="26">
        <v>7523</v>
      </c>
      <c r="N66" s="10">
        <f>8393-7523</f>
        <v>870</v>
      </c>
      <c r="P66" s="26">
        <v>2777</v>
      </c>
      <c r="Q66" s="10">
        <f>3206-2777</f>
        <v>429</v>
      </c>
      <c r="AA66" s="14">
        <f t="shared" si="8"/>
        <v>0.36913465372856574</v>
      </c>
      <c r="AB66" s="14"/>
      <c r="AC66" s="14">
        <f t="shared" si="10"/>
        <v>0.36913465372856574</v>
      </c>
      <c r="AD66" s="10">
        <f t="shared" si="9"/>
        <v>1.5222571264223321E-2</v>
      </c>
      <c r="AF66" s="10">
        <f t="shared" ref="AF66:AF68" si="11">AD66+AE66</f>
        <v>1.5222571264223321E-2</v>
      </c>
      <c r="AJ66" s="10" t="s">
        <v>2</v>
      </c>
      <c r="AK66" s="10" t="s">
        <v>2</v>
      </c>
      <c r="AL66" s="10" t="s">
        <v>2</v>
      </c>
      <c r="AM66" s="10" t="s">
        <v>2614</v>
      </c>
    </row>
    <row r="67" spans="1:39" s="10" customFormat="1" x14ac:dyDescent="0.3">
      <c r="A67" s="26" t="s">
        <v>1771</v>
      </c>
      <c r="B67" s="26" t="s">
        <v>29</v>
      </c>
      <c r="C67" s="26" t="s">
        <v>277</v>
      </c>
      <c r="D67" s="26" t="s">
        <v>1775</v>
      </c>
      <c r="E67" s="26">
        <v>1987</v>
      </c>
      <c r="F67" s="10" t="s">
        <v>2665</v>
      </c>
      <c r="G67" s="10" t="s">
        <v>1138</v>
      </c>
      <c r="H67" s="10" t="s">
        <v>1746</v>
      </c>
      <c r="J67" s="26" t="s">
        <v>1745</v>
      </c>
      <c r="K67" s="26">
        <v>3</v>
      </c>
      <c r="L67" s="26">
        <v>3</v>
      </c>
      <c r="M67" s="26">
        <v>3046</v>
      </c>
      <c r="N67" s="10">
        <f>3344-3046</f>
        <v>298</v>
      </c>
      <c r="P67" s="26">
        <v>2422</v>
      </c>
      <c r="Q67" s="10">
        <f>2788-2422</f>
        <v>366</v>
      </c>
      <c r="AA67" s="14">
        <f t="shared" si="8"/>
        <v>0.79514116874589624</v>
      </c>
      <c r="AB67" s="14"/>
      <c r="AC67" s="14">
        <f t="shared" si="10"/>
        <v>0.79514116874589624</v>
      </c>
      <c r="AD67" s="10">
        <f t="shared" si="9"/>
        <v>6.1467958365193275E-2</v>
      </c>
      <c r="AF67" s="10">
        <f t="shared" si="11"/>
        <v>6.1467958365193275E-2</v>
      </c>
      <c r="AJ67" s="10" t="s">
        <v>2</v>
      </c>
      <c r="AK67" s="10" t="s">
        <v>2</v>
      </c>
      <c r="AL67" s="10" t="s">
        <v>2</v>
      </c>
      <c r="AM67" s="10" t="s">
        <v>2614</v>
      </c>
    </row>
    <row r="68" spans="1:39" s="10" customFormat="1" x14ac:dyDescent="0.3">
      <c r="A68" s="26" t="s">
        <v>1771</v>
      </c>
      <c r="B68" s="26" t="s">
        <v>29</v>
      </c>
      <c r="C68" s="26" t="s">
        <v>277</v>
      </c>
      <c r="D68" s="26" t="s">
        <v>1776</v>
      </c>
      <c r="E68" s="26">
        <v>1987</v>
      </c>
      <c r="F68" s="10" t="s">
        <v>2665</v>
      </c>
      <c r="G68" s="10" t="s">
        <v>1138</v>
      </c>
      <c r="H68" s="10" t="s">
        <v>1746</v>
      </c>
      <c r="J68" s="26" t="s">
        <v>1745</v>
      </c>
      <c r="K68" s="26">
        <v>3</v>
      </c>
      <c r="L68" s="26">
        <v>3</v>
      </c>
      <c r="M68" s="26">
        <v>1889</v>
      </c>
      <c r="N68" s="10">
        <f>2055-1889</f>
        <v>166</v>
      </c>
      <c r="P68" s="26">
        <v>1632</v>
      </c>
      <c r="Q68" s="10">
        <f>1866-1632</f>
        <v>234</v>
      </c>
      <c r="AA68" s="14">
        <f t="shared" ref="AA68:AA95" si="12">P68/M68</f>
        <v>0.8639491794600318</v>
      </c>
      <c r="AB68" s="14"/>
      <c r="AC68" s="14">
        <f t="shared" si="10"/>
        <v>0.8639491794600318</v>
      </c>
      <c r="AD68" s="10">
        <f t="shared" si="9"/>
        <v>6.3327282442337721E-2</v>
      </c>
      <c r="AF68" s="10">
        <f t="shared" si="11"/>
        <v>6.3327282442337721E-2</v>
      </c>
      <c r="AJ68" s="10" t="s">
        <v>2</v>
      </c>
      <c r="AK68" s="10" t="s">
        <v>2</v>
      </c>
      <c r="AL68" s="10" t="s">
        <v>2</v>
      </c>
      <c r="AM68" s="10" t="s">
        <v>2614</v>
      </c>
    </row>
    <row r="69" spans="1:39" s="10" customFormat="1" x14ac:dyDescent="0.3">
      <c r="A69" s="26" t="s">
        <v>1790</v>
      </c>
      <c r="B69" s="26" t="s">
        <v>29</v>
      </c>
      <c r="C69" s="26" t="s">
        <v>277</v>
      </c>
      <c r="D69" s="26" t="s">
        <v>1716</v>
      </c>
      <c r="E69" s="10" t="s">
        <v>1792</v>
      </c>
      <c r="F69" s="10" t="s">
        <v>2665</v>
      </c>
      <c r="G69" s="10" t="s">
        <v>1138</v>
      </c>
      <c r="H69" s="10" t="s">
        <v>1791</v>
      </c>
      <c r="I69" s="10" t="s">
        <v>1793</v>
      </c>
      <c r="J69" s="26" t="s">
        <v>1796</v>
      </c>
      <c r="K69" s="26">
        <v>1499</v>
      </c>
      <c r="L69" s="26">
        <v>34</v>
      </c>
      <c r="M69" s="26">
        <v>4295</v>
      </c>
      <c r="N69" s="42"/>
      <c r="O69" s="26"/>
      <c r="P69" s="26">
        <v>3664</v>
      </c>
      <c r="Q69" s="26">
        <f>685/1.96</f>
        <v>349.48979591836735</v>
      </c>
      <c r="R69" s="26"/>
      <c r="AA69" s="14">
        <f t="shared" si="12"/>
        <v>0.85308498253783471</v>
      </c>
      <c r="AB69" s="14"/>
      <c r="AC69" s="14">
        <f t="shared" si="10"/>
        <v>0.85308498253783471</v>
      </c>
      <c r="AG69" s="10">
        <v>0</v>
      </c>
      <c r="AH69" s="10" t="s">
        <v>308</v>
      </c>
      <c r="AJ69" s="10" t="s">
        <v>2</v>
      </c>
      <c r="AK69" s="10" t="s">
        <v>2</v>
      </c>
      <c r="AL69" s="10" t="s">
        <v>2</v>
      </c>
      <c r="AM69" s="10" t="s">
        <v>1698</v>
      </c>
    </row>
    <row r="70" spans="1:39" s="10" customFormat="1" x14ac:dyDescent="0.3">
      <c r="A70" s="26" t="s">
        <v>1790</v>
      </c>
      <c r="B70" s="26" t="s">
        <v>29</v>
      </c>
      <c r="C70" s="26" t="s">
        <v>277</v>
      </c>
      <c r="D70" s="26" t="s">
        <v>1716</v>
      </c>
      <c r="E70" s="10" t="s">
        <v>1792</v>
      </c>
      <c r="F70" s="10" t="s">
        <v>2665</v>
      </c>
      <c r="G70" s="10" t="s">
        <v>1138</v>
      </c>
      <c r="H70" s="10" t="s">
        <v>1791</v>
      </c>
      <c r="I70" s="10" t="s">
        <v>1793</v>
      </c>
      <c r="J70" s="26" t="s">
        <v>1797</v>
      </c>
      <c r="K70" s="26">
        <v>1499</v>
      </c>
      <c r="L70" s="26">
        <v>49</v>
      </c>
      <c r="M70" s="26">
        <v>4296</v>
      </c>
      <c r="N70" s="42"/>
      <c r="O70" s="26"/>
      <c r="P70" s="26">
        <v>2745</v>
      </c>
      <c r="Q70" s="26">
        <f>434/1.96</f>
        <v>221.42857142857144</v>
      </c>
      <c r="R70" s="26"/>
      <c r="AA70" s="14">
        <f t="shared" si="12"/>
        <v>0.63896648044692739</v>
      </c>
      <c r="AB70" s="14"/>
      <c r="AC70" s="14">
        <f t="shared" si="10"/>
        <v>0.63896648044692739</v>
      </c>
      <c r="AG70" s="10">
        <v>0</v>
      </c>
      <c r="AH70" s="10" t="s">
        <v>308</v>
      </c>
      <c r="AJ70" s="10" t="s">
        <v>2</v>
      </c>
      <c r="AK70" s="10" t="s">
        <v>2</v>
      </c>
      <c r="AL70" s="10" t="s">
        <v>2</v>
      </c>
      <c r="AM70" s="10" t="s">
        <v>1698</v>
      </c>
    </row>
    <row r="71" spans="1:39" s="10" customFormat="1" x14ac:dyDescent="0.3">
      <c r="A71" s="26" t="s">
        <v>1790</v>
      </c>
      <c r="B71" s="26" t="s">
        <v>29</v>
      </c>
      <c r="C71" s="26" t="s">
        <v>277</v>
      </c>
      <c r="D71" s="26" t="s">
        <v>1716</v>
      </c>
      <c r="E71" s="10" t="s">
        <v>1792</v>
      </c>
      <c r="F71" s="10" t="s">
        <v>2665</v>
      </c>
      <c r="G71" s="10" t="s">
        <v>1138</v>
      </c>
      <c r="H71" s="10" t="s">
        <v>1791</v>
      </c>
      <c r="I71" s="10" t="s">
        <v>1793</v>
      </c>
      <c r="J71" s="26" t="s">
        <v>1798</v>
      </c>
      <c r="K71" s="26">
        <v>1499</v>
      </c>
      <c r="L71" s="26">
        <v>14</v>
      </c>
      <c r="M71" s="26">
        <v>4297</v>
      </c>
      <c r="N71" s="42"/>
      <c r="O71" s="26"/>
      <c r="P71" s="26">
        <v>2226</v>
      </c>
      <c r="Q71" s="76">
        <f>R71/2.16</f>
        <v>0</v>
      </c>
      <c r="R71" s="26"/>
      <c r="AA71" s="14">
        <f t="shared" si="12"/>
        <v>0.51803583895741212</v>
      </c>
      <c r="AB71" s="14"/>
      <c r="AC71" s="14">
        <f t="shared" si="10"/>
        <v>0.51803583895741212</v>
      </c>
      <c r="AG71" s="10">
        <v>0</v>
      </c>
      <c r="AH71" s="10" t="s">
        <v>308</v>
      </c>
      <c r="AJ71" s="10" t="s">
        <v>2</v>
      </c>
      <c r="AK71" s="10" t="s">
        <v>2</v>
      </c>
      <c r="AL71" s="10" t="s">
        <v>2</v>
      </c>
      <c r="AM71" s="10" t="s">
        <v>1698</v>
      </c>
    </row>
    <row r="72" spans="1:39" s="10" customFormat="1" x14ac:dyDescent="0.3">
      <c r="A72" s="26" t="s">
        <v>1790</v>
      </c>
      <c r="B72" s="26" t="s">
        <v>29</v>
      </c>
      <c r="C72" s="26" t="s">
        <v>277</v>
      </c>
      <c r="D72" s="26" t="s">
        <v>1716</v>
      </c>
      <c r="E72" s="10" t="s">
        <v>1792</v>
      </c>
      <c r="F72" s="10" t="s">
        <v>2665</v>
      </c>
      <c r="G72" s="10" t="s">
        <v>1138</v>
      </c>
      <c r="H72" s="10" t="s">
        <v>1791</v>
      </c>
      <c r="I72" s="10" t="s">
        <v>1793</v>
      </c>
      <c r="J72" s="26" t="s">
        <v>1799</v>
      </c>
      <c r="K72" s="26">
        <v>1499</v>
      </c>
      <c r="L72" s="26">
        <v>1</v>
      </c>
      <c r="M72" s="26">
        <v>4298</v>
      </c>
      <c r="N72" s="42"/>
      <c r="O72" s="26"/>
      <c r="P72" s="26">
        <v>1604</v>
      </c>
      <c r="Q72" s="76"/>
      <c r="AA72" s="14">
        <f t="shared" si="12"/>
        <v>0.37319683573755236</v>
      </c>
      <c r="AB72" s="14"/>
      <c r="AC72" s="14">
        <f t="shared" si="10"/>
        <v>0.37319683573755236</v>
      </c>
      <c r="AG72" s="10">
        <v>0</v>
      </c>
      <c r="AH72" s="10" t="s">
        <v>308</v>
      </c>
      <c r="AJ72" s="10" t="s">
        <v>2</v>
      </c>
      <c r="AK72" s="10" t="s">
        <v>2</v>
      </c>
      <c r="AL72" s="10" t="s">
        <v>2</v>
      </c>
      <c r="AM72" s="10" t="s">
        <v>1698</v>
      </c>
    </row>
    <row r="73" spans="1:39" s="10" customFormat="1" x14ac:dyDescent="0.3">
      <c r="A73" s="26" t="s">
        <v>1790</v>
      </c>
      <c r="B73" s="26" t="s">
        <v>29</v>
      </c>
      <c r="C73" s="26" t="s">
        <v>277</v>
      </c>
      <c r="D73" s="26" t="s">
        <v>1716</v>
      </c>
      <c r="E73" s="10" t="s">
        <v>1792</v>
      </c>
      <c r="F73" s="10" t="s">
        <v>2665</v>
      </c>
      <c r="G73" s="10" t="s">
        <v>1138</v>
      </c>
      <c r="H73" s="10" t="s">
        <v>1791</v>
      </c>
      <c r="I73" s="10" t="s">
        <v>1794</v>
      </c>
      <c r="J73" s="26" t="s">
        <v>1796</v>
      </c>
      <c r="K73" s="26">
        <v>1130</v>
      </c>
      <c r="L73" s="26">
        <v>71</v>
      </c>
      <c r="M73" s="26">
        <v>3118</v>
      </c>
      <c r="N73" s="42"/>
      <c r="O73" s="26"/>
      <c r="P73" s="26">
        <v>3802</v>
      </c>
      <c r="Q73" s="76"/>
      <c r="R73" s="26"/>
      <c r="AA73" s="14">
        <f t="shared" si="12"/>
        <v>1.2193713919178961</v>
      </c>
      <c r="AB73" s="14"/>
      <c r="AC73" s="14">
        <f t="shared" si="10"/>
        <v>1.2193713919178961</v>
      </c>
      <c r="AG73" s="10">
        <v>0</v>
      </c>
      <c r="AH73" s="10" t="s">
        <v>308</v>
      </c>
      <c r="AJ73" s="10" t="s">
        <v>2</v>
      </c>
      <c r="AK73" s="10" t="s">
        <v>2</v>
      </c>
      <c r="AL73" s="10" t="s">
        <v>2</v>
      </c>
      <c r="AM73" s="10" t="s">
        <v>1698</v>
      </c>
    </row>
    <row r="74" spans="1:39" s="10" customFormat="1" x14ac:dyDescent="0.3">
      <c r="A74" s="26" t="s">
        <v>1790</v>
      </c>
      <c r="B74" s="26" t="s">
        <v>29</v>
      </c>
      <c r="C74" s="26" t="s">
        <v>277</v>
      </c>
      <c r="D74" s="26" t="s">
        <v>1716</v>
      </c>
      <c r="E74" s="10" t="s">
        <v>1792</v>
      </c>
      <c r="F74" s="10" t="s">
        <v>2665</v>
      </c>
      <c r="G74" s="10" t="s">
        <v>1138</v>
      </c>
      <c r="H74" s="10" t="s">
        <v>1791</v>
      </c>
      <c r="I74" s="10" t="s">
        <v>1794</v>
      </c>
      <c r="J74" s="26" t="s">
        <v>1797</v>
      </c>
      <c r="K74" s="26">
        <v>1130</v>
      </c>
      <c r="L74" s="26">
        <v>14</v>
      </c>
      <c r="M74" s="26">
        <v>3118</v>
      </c>
      <c r="N74" s="42"/>
      <c r="O74" s="26"/>
      <c r="P74" s="26">
        <v>2014</v>
      </c>
      <c r="Q74" s="76">
        <f>R74/2.16</f>
        <v>0</v>
      </c>
      <c r="R74" s="26"/>
      <c r="AA74" s="14">
        <f t="shared" si="12"/>
        <v>0.64592687620269407</v>
      </c>
      <c r="AB74" s="14"/>
      <c r="AC74" s="14">
        <f t="shared" si="10"/>
        <v>0.64592687620269407</v>
      </c>
      <c r="AG74" s="10">
        <v>0</v>
      </c>
      <c r="AH74" s="10" t="s">
        <v>308</v>
      </c>
      <c r="AJ74" s="10" t="s">
        <v>2</v>
      </c>
      <c r="AK74" s="10" t="s">
        <v>2</v>
      </c>
      <c r="AL74" s="10" t="s">
        <v>2</v>
      </c>
      <c r="AM74" s="10" t="s">
        <v>1698</v>
      </c>
    </row>
    <row r="75" spans="1:39" s="10" customFormat="1" x14ac:dyDescent="0.3">
      <c r="A75" s="26" t="s">
        <v>1790</v>
      </c>
      <c r="B75" s="26" t="s">
        <v>29</v>
      </c>
      <c r="C75" s="26" t="s">
        <v>277</v>
      </c>
      <c r="D75" s="26" t="s">
        <v>1716</v>
      </c>
      <c r="E75" s="10" t="s">
        <v>1792</v>
      </c>
      <c r="F75" s="10" t="s">
        <v>2665</v>
      </c>
      <c r="G75" s="10" t="s">
        <v>1138</v>
      </c>
      <c r="H75" s="10" t="s">
        <v>1791</v>
      </c>
      <c r="I75" s="10" t="s">
        <v>1794</v>
      </c>
      <c r="J75" s="26" t="s">
        <v>1798</v>
      </c>
      <c r="K75" s="26">
        <v>1130</v>
      </c>
      <c r="L75" s="26">
        <v>5</v>
      </c>
      <c r="M75" s="26">
        <v>3118</v>
      </c>
      <c r="N75" s="42"/>
      <c r="O75" s="26"/>
      <c r="P75" s="26">
        <v>2871</v>
      </c>
      <c r="Q75" s="26"/>
      <c r="R75" s="26"/>
      <c r="AA75" s="14">
        <f t="shared" si="12"/>
        <v>0.9207825529185375</v>
      </c>
      <c r="AB75" s="14"/>
      <c r="AC75" s="14">
        <f t="shared" si="10"/>
        <v>0.9207825529185375</v>
      </c>
      <c r="AG75" s="10">
        <v>0</v>
      </c>
      <c r="AH75" s="10" t="s">
        <v>308</v>
      </c>
      <c r="AJ75" s="10" t="s">
        <v>2</v>
      </c>
      <c r="AK75" s="10" t="s">
        <v>2</v>
      </c>
      <c r="AL75" s="10" t="s">
        <v>2</v>
      </c>
      <c r="AM75" s="10" t="s">
        <v>1698</v>
      </c>
    </row>
    <row r="76" spans="1:39" s="10" customFormat="1" x14ac:dyDescent="0.3">
      <c r="A76" s="26" t="s">
        <v>1790</v>
      </c>
      <c r="B76" s="26" t="s">
        <v>29</v>
      </c>
      <c r="C76" s="26" t="s">
        <v>277</v>
      </c>
      <c r="D76" s="26" t="s">
        <v>1716</v>
      </c>
      <c r="E76" s="10" t="s">
        <v>1792</v>
      </c>
      <c r="F76" s="10" t="s">
        <v>2665</v>
      </c>
      <c r="G76" s="10" t="s">
        <v>1138</v>
      </c>
      <c r="H76" s="10" t="s">
        <v>1791</v>
      </c>
      <c r="I76" s="10" t="s">
        <v>1794</v>
      </c>
      <c r="J76" s="26" t="s">
        <v>1799</v>
      </c>
      <c r="K76" s="26">
        <v>1130</v>
      </c>
      <c r="L76" s="26">
        <v>1</v>
      </c>
      <c r="M76" s="26">
        <v>3118</v>
      </c>
      <c r="N76" s="42"/>
      <c r="O76" s="26"/>
      <c r="P76" s="26">
        <v>2844</v>
      </c>
      <c r="Q76" s="26"/>
      <c r="AA76" s="14">
        <f t="shared" si="12"/>
        <v>0.91212315586914694</v>
      </c>
      <c r="AB76" s="14"/>
      <c r="AC76" s="14">
        <f t="shared" si="10"/>
        <v>0.91212315586914694</v>
      </c>
      <c r="AG76" s="10">
        <v>0</v>
      </c>
      <c r="AH76" s="10" t="s">
        <v>308</v>
      </c>
      <c r="AJ76" s="10" t="s">
        <v>2</v>
      </c>
      <c r="AK76" s="10" t="s">
        <v>2</v>
      </c>
      <c r="AL76" s="10" t="s">
        <v>2</v>
      </c>
      <c r="AM76" s="10" t="s">
        <v>1698</v>
      </c>
    </row>
    <row r="77" spans="1:39" s="10" customFormat="1" x14ac:dyDescent="0.3">
      <c r="A77" s="26" t="s">
        <v>1790</v>
      </c>
      <c r="B77" s="26" t="s">
        <v>29</v>
      </c>
      <c r="C77" s="26" t="s">
        <v>277</v>
      </c>
      <c r="D77" s="26" t="s">
        <v>1716</v>
      </c>
      <c r="E77" s="10" t="s">
        <v>1792</v>
      </c>
      <c r="F77" s="10" t="s">
        <v>2665</v>
      </c>
      <c r="G77" s="10" t="s">
        <v>1138</v>
      </c>
      <c r="H77" s="10" t="s">
        <v>1791</v>
      </c>
      <c r="I77" s="10" t="s">
        <v>1795</v>
      </c>
      <c r="J77" s="26" t="s">
        <v>1796</v>
      </c>
      <c r="K77" s="26">
        <v>3600</v>
      </c>
      <c r="L77" s="26">
        <v>270</v>
      </c>
      <c r="M77" s="26">
        <v>2070</v>
      </c>
      <c r="N77" s="42"/>
      <c r="O77" s="26"/>
      <c r="P77" s="26">
        <v>2828</v>
      </c>
      <c r="Q77" s="26"/>
      <c r="R77" s="26"/>
      <c r="AA77" s="14">
        <f t="shared" si="12"/>
        <v>1.366183574879227</v>
      </c>
      <c r="AB77" s="14"/>
      <c r="AC77" s="14">
        <f t="shared" si="10"/>
        <v>1.366183574879227</v>
      </c>
      <c r="AG77" s="10">
        <v>0</v>
      </c>
      <c r="AH77" s="10" t="s">
        <v>308</v>
      </c>
      <c r="AJ77" s="10" t="s">
        <v>2</v>
      </c>
      <c r="AK77" s="10" t="s">
        <v>2</v>
      </c>
      <c r="AL77" s="10" t="s">
        <v>2</v>
      </c>
      <c r="AM77" s="10" t="s">
        <v>1698</v>
      </c>
    </row>
    <row r="78" spans="1:39" s="10" customFormat="1" x14ac:dyDescent="0.3">
      <c r="A78" s="26" t="s">
        <v>1790</v>
      </c>
      <c r="B78" s="26" t="s">
        <v>29</v>
      </c>
      <c r="C78" s="26" t="s">
        <v>277</v>
      </c>
      <c r="D78" s="26" t="s">
        <v>1716</v>
      </c>
      <c r="E78" s="10" t="s">
        <v>1792</v>
      </c>
      <c r="F78" s="10" t="s">
        <v>2665</v>
      </c>
      <c r="G78" s="10" t="s">
        <v>1138</v>
      </c>
      <c r="H78" s="10" t="s">
        <v>1791</v>
      </c>
      <c r="I78" s="10" t="s">
        <v>1795</v>
      </c>
      <c r="J78" s="26" t="s">
        <v>1797</v>
      </c>
      <c r="K78" s="26">
        <v>3600</v>
      </c>
      <c r="L78" s="26">
        <v>386</v>
      </c>
      <c r="M78" s="26">
        <v>2070</v>
      </c>
      <c r="N78" s="42"/>
      <c r="O78" s="26"/>
      <c r="P78" s="26">
        <v>1719</v>
      </c>
      <c r="Q78" s="26"/>
      <c r="R78" s="26"/>
      <c r="AA78" s="14">
        <f t="shared" si="12"/>
        <v>0.83043478260869563</v>
      </c>
      <c r="AB78" s="14"/>
      <c r="AC78" s="14">
        <f t="shared" si="10"/>
        <v>0.83043478260869563</v>
      </c>
      <c r="AG78" s="10">
        <v>0</v>
      </c>
      <c r="AH78" s="10" t="s">
        <v>308</v>
      </c>
      <c r="AJ78" s="10" t="s">
        <v>2</v>
      </c>
      <c r="AK78" s="10" t="s">
        <v>2</v>
      </c>
      <c r="AL78" s="10" t="s">
        <v>2</v>
      </c>
      <c r="AM78" s="10" t="s">
        <v>1698</v>
      </c>
    </row>
    <row r="79" spans="1:39" s="10" customFormat="1" x14ac:dyDescent="0.3">
      <c r="A79" s="26" t="s">
        <v>1790</v>
      </c>
      <c r="B79" s="26" t="s">
        <v>29</v>
      </c>
      <c r="C79" s="26" t="s">
        <v>277</v>
      </c>
      <c r="D79" s="26" t="s">
        <v>1716</v>
      </c>
      <c r="E79" s="10" t="s">
        <v>1792</v>
      </c>
      <c r="F79" s="10" t="s">
        <v>2665</v>
      </c>
      <c r="G79" s="10" t="s">
        <v>1138</v>
      </c>
      <c r="H79" s="10" t="s">
        <v>1791</v>
      </c>
      <c r="I79" s="10" t="s">
        <v>1795</v>
      </c>
      <c r="J79" s="26" t="s">
        <v>1798</v>
      </c>
      <c r="K79" s="26">
        <v>3600</v>
      </c>
      <c r="L79" s="26">
        <v>203</v>
      </c>
      <c r="M79" s="26">
        <v>2070</v>
      </c>
      <c r="N79" s="42"/>
      <c r="O79" s="26"/>
      <c r="P79" s="26">
        <v>1631</v>
      </c>
      <c r="Q79" s="26"/>
      <c r="R79" s="26"/>
      <c r="AA79" s="14">
        <f t="shared" si="12"/>
        <v>0.78792270531400965</v>
      </c>
      <c r="AB79" s="14"/>
      <c r="AC79" s="14">
        <f t="shared" si="10"/>
        <v>0.78792270531400965</v>
      </c>
      <c r="AG79" s="10">
        <v>0</v>
      </c>
      <c r="AH79" s="10" t="s">
        <v>308</v>
      </c>
      <c r="AJ79" s="10" t="s">
        <v>2</v>
      </c>
      <c r="AK79" s="10" t="s">
        <v>2</v>
      </c>
      <c r="AL79" s="10" t="s">
        <v>2</v>
      </c>
      <c r="AM79" s="10" t="s">
        <v>1698</v>
      </c>
    </row>
    <row r="80" spans="1:39" s="10" customFormat="1" x14ac:dyDescent="0.3">
      <c r="A80" s="26" t="s">
        <v>1790</v>
      </c>
      <c r="B80" s="26" t="s">
        <v>29</v>
      </c>
      <c r="C80" s="26" t="s">
        <v>277</v>
      </c>
      <c r="D80" s="26" t="s">
        <v>1716</v>
      </c>
      <c r="E80" s="10" t="s">
        <v>1792</v>
      </c>
      <c r="F80" s="10" t="s">
        <v>2665</v>
      </c>
      <c r="G80" s="10" t="s">
        <v>1138</v>
      </c>
      <c r="H80" s="10" t="s">
        <v>1791</v>
      </c>
      <c r="I80" s="10" t="s">
        <v>1795</v>
      </c>
      <c r="J80" s="26" t="s">
        <v>1799</v>
      </c>
      <c r="K80" s="26">
        <v>3600</v>
      </c>
      <c r="L80" s="26">
        <v>52</v>
      </c>
      <c r="M80" s="26">
        <v>2070</v>
      </c>
      <c r="N80" s="42"/>
      <c r="O80" s="26"/>
      <c r="P80" s="26">
        <v>1905</v>
      </c>
      <c r="Q80" s="26"/>
      <c r="R80" s="26"/>
      <c r="AA80" s="14">
        <f t="shared" si="12"/>
        <v>0.92028985507246375</v>
      </c>
      <c r="AB80" s="14"/>
      <c r="AC80" s="14">
        <f t="shared" si="10"/>
        <v>0.92028985507246375</v>
      </c>
      <c r="AG80" s="10">
        <v>0</v>
      </c>
      <c r="AH80" s="10" t="s">
        <v>308</v>
      </c>
      <c r="AJ80" s="10" t="s">
        <v>2</v>
      </c>
      <c r="AK80" s="10" t="s">
        <v>2</v>
      </c>
      <c r="AL80" s="10" t="s">
        <v>2</v>
      </c>
      <c r="AM80" s="10" t="s">
        <v>1698</v>
      </c>
    </row>
    <row r="81" spans="1:42" s="10" customFormat="1" x14ac:dyDescent="0.3">
      <c r="A81" s="26" t="s">
        <v>1790</v>
      </c>
      <c r="B81" s="26" t="s">
        <v>29</v>
      </c>
      <c r="C81" s="26" t="s">
        <v>277</v>
      </c>
      <c r="D81" s="26" t="s">
        <v>1716</v>
      </c>
      <c r="E81" s="10" t="s">
        <v>1792</v>
      </c>
      <c r="F81" s="10" t="s">
        <v>2665</v>
      </c>
      <c r="G81" s="10" t="s">
        <v>1138</v>
      </c>
      <c r="H81" s="10" t="s">
        <v>1791</v>
      </c>
      <c r="I81" s="10" t="s">
        <v>1795</v>
      </c>
      <c r="J81" s="26" t="s">
        <v>1800</v>
      </c>
      <c r="K81" s="26">
        <v>3600</v>
      </c>
      <c r="L81" s="26">
        <v>22</v>
      </c>
      <c r="M81" s="26">
        <v>2070</v>
      </c>
      <c r="N81" s="42"/>
      <c r="O81" s="26"/>
      <c r="P81" s="26">
        <v>1538</v>
      </c>
      <c r="Q81" s="26"/>
      <c r="R81" s="26"/>
      <c r="AA81" s="14">
        <f t="shared" si="12"/>
        <v>0.74299516908212559</v>
      </c>
      <c r="AB81" s="14"/>
      <c r="AC81" s="14">
        <f t="shared" si="10"/>
        <v>0.74299516908212559</v>
      </c>
      <c r="AG81" s="10">
        <v>0</v>
      </c>
      <c r="AH81" s="10" t="s">
        <v>308</v>
      </c>
      <c r="AJ81" s="10" t="s">
        <v>2</v>
      </c>
      <c r="AK81" s="10" t="s">
        <v>2</v>
      </c>
      <c r="AL81" s="10" t="s">
        <v>2</v>
      </c>
      <c r="AM81" s="10" t="s">
        <v>1698</v>
      </c>
    </row>
    <row r="82" spans="1:42" s="10" customFormat="1" x14ac:dyDescent="0.3">
      <c r="A82" s="26" t="s">
        <v>1801</v>
      </c>
      <c r="B82" s="26" t="s">
        <v>282</v>
      </c>
      <c r="C82" s="26" t="s">
        <v>1128</v>
      </c>
      <c r="E82" s="10">
        <v>2007</v>
      </c>
      <c r="F82" s="10" t="s">
        <v>2665</v>
      </c>
      <c r="G82" s="10" t="s">
        <v>1138</v>
      </c>
      <c r="H82" s="10" t="s">
        <v>1791</v>
      </c>
      <c r="J82" s="26" t="s">
        <v>1707</v>
      </c>
      <c r="K82" s="10">
        <v>42</v>
      </c>
      <c r="L82" s="10">
        <v>42</v>
      </c>
      <c r="M82" s="26">
        <v>2510</v>
      </c>
      <c r="N82" s="26"/>
      <c r="O82" s="26"/>
      <c r="P82" s="26">
        <f>(2246+1815)/2</f>
        <v>2030.5</v>
      </c>
      <c r="Q82" s="26"/>
      <c r="R82" s="26"/>
      <c r="W82" s="25">
        <f>(16*6+22*8)/14</f>
        <v>19.428571428571427</v>
      </c>
      <c r="AA82" s="14">
        <f t="shared" si="12"/>
        <v>0.80896414342629486</v>
      </c>
      <c r="AB82" s="14"/>
      <c r="AC82" s="14">
        <f t="shared" si="10"/>
        <v>0.80896414342629486</v>
      </c>
      <c r="AJ82" s="10" t="s">
        <v>2</v>
      </c>
      <c r="AK82" s="10" t="s">
        <v>2</v>
      </c>
      <c r="AL82" s="10" t="s">
        <v>2</v>
      </c>
      <c r="AM82" s="10" t="s">
        <v>2615</v>
      </c>
      <c r="AP82" s="16"/>
    </row>
    <row r="83" spans="1:42" s="10" customFormat="1" x14ac:dyDescent="0.3">
      <c r="A83" s="26" t="s">
        <v>1801</v>
      </c>
      <c r="B83" s="26" t="s">
        <v>282</v>
      </c>
      <c r="C83" s="26" t="s">
        <v>1128</v>
      </c>
      <c r="E83" s="10">
        <v>2008</v>
      </c>
      <c r="F83" s="10" t="s">
        <v>2665</v>
      </c>
      <c r="G83" s="10" t="s">
        <v>1138</v>
      </c>
      <c r="H83" s="10" t="s">
        <v>1791</v>
      </c>
      <c r="J83" s="26" t="s">
        <v>1707</v>
      </c>
      <c r="K83" s="10">
        <v>42</v>
      </c>
      <c r="L83" s="10">
        <v>42</v>
      </c>
      <c r="M83" s="26">
        <v>2651</v>
      </c>
      <c r="N83" s="26"/>
      <c r="O83" s="26"/>
      <c r="P83" s="26">
        <f>(2085+1490)/2</f>
        <v>1787.5</v>
      </c>
      <c r="Q83" s="26"/>
      <c r="R83" s="26"/>
      <c r="W83" s="25">
        <f t="shared" ref="W83:W85" si="13">(16*6+22*8)/14</f>
        <v>19.428571428571427</v>
      </c>
      <c r="AA83" s="14">
        <f t="shared" si="12"/>
        <v>0.67427385892116187</v>
      </c>
      <c r="AB83" s="14"/>
      <c r="AC83" s="14">
        <f t="shared" si="10"/>
        <v>0.67427385892116187</v>
      </c>
      <c r="AJ83" s="10" t="s">
        <v>2</v>
      </c>
      <c r="AK83" s="10" t="s">
        <v>2</v>
      </c>
      <c r="AL83" s="10" t="s">
        <v>2</v>
      </c>
      <c r="AM83" s="10" t="s">
        <v>2615</v>
      </c>
      <c r="AP83" s="16"/>
    </row>
    <row r="84" spans="1:42" s="10" customFormat="1" x14ac:dyDescent="0.3">
      <c r="A84" s="26" t="s">
        <v>1801</v>
      </c>
      <c r="B84" s="26" t="s">
        <v>282</v>
      </c>
      <c r="C84" s="26" t="s">
        <v>1128</v>
      </c>
      <c r="E84" s="10">
        <v>2009</v>
      </c>
      <c r="F84" s="10" t="s">
        <v>2665</v>
      </c>
      <c r="G84" s="10" t="s">
        <v>1138</v>
      </c>
      <c r="H84" s="10" t="s">
        <v>1791</v>
      </c>
      <c r="J84" s="26" t="s">
        <v>1707</v>
      </c>
      <c r="K84" s="10">
        <v>42</v>
      </c>
      <c r="L84" s="10">
        <v>42</v>
      </c>
      <c r="M84" s="26">
        <v>689</v>
      </c>
      <c r="N84" s="26"/>
      <c r="O84" s="26"/>
      <c r="P84" s="26">
        <f>(443+425)/2</f>
        <v>434</v>
      </c>
      <c r="Q84" s="26"/>
      <c r="R84" s="26"/>
      <c r="W84" s="25">
        <f t="shared" si="13"/>
        <v>19.428571428571427</v>
      </c>
      <c r="AA84" s="14">
        <f t="shared" si="12"/>
        <v>0.62989840348330917</v>
      </c>
      <c r="AB84" s="14"/>
      <c r="AC84" s="14">
        <f t="shared" si="10"/>
        <v>0.62989840348330917</v>
      </c>
      <c r="AJ84" s="10" t="s">
        <v>2</v>
      </c>
      <c r="AK84" s="10" t="s">
        <v>2</v>
      </c>
      <c r="AL84" s="10" t="s">
        <v>2</v>
      </c>
      <c r="AM84" s="10" t="s">
        <v>2615</v>
      </c>
      <c r="AP84" s="16"/>
    </row>
    <row r="85" spans="1:42" s="10" customFormat="1" x14ac:dyDescent="0.3">
      <c r="A85" s="26" t="s">
        <v>1801</v>
      </c>
      <c r="B85" s="26" t="s">
        <v>282</v>
      </c>
      <c r="C85" s="26" t="s">
        <v>1128</v>
      </c>
      <c r="E85" s="10">
        <v>2010</v>
      </c>
      <c r="F85" s="10" t="s">
        <v>2665</v>
      </c>
      <c r="G85" s="10" t="s">
        <v>1138</v>
      </c>
      <c r="H85" s="10" t="s">
        <v>1791</v>
      </c>
      <c r="J85" s="26" t="s">
        <v>1707</v>
      </c>
      <c r="K85" s="10">
        <v>42</v>
      </c>
      <c r="L85" s="10">
        <v>42</v>
      </c>
      <c r="M85" s="26">
        <v>1757</v>
      </c>
      <c r="N85" s="26"/>
      <c r="O85" s="26"/>
      <c r="P85" s="26">
        <f>(1938+1924)/2</f>
        <v>1931</v>
      </c>
      <c r="Q85" s="26"/>
      <c r="R85" s="26"/>
      <c r="W85" s="25">
        <f t="shared" si="13"/>
        <v>19.428571428571427</v>
      </c>
      <c r="AA85" s="14">
        <f t="shared" si="12"/>
        <v>1.0990324416619237</v>
      </c>
      <c r="AB85" s="14"/>
      <c r="AC85" s="14">
        <f t="shared" si="10"/>
        <v>1.0990324416619237</v>
      </c>
      <c r="AJ85" s="10" t="s">
        <v>2</v>
      </c>
      <c r="AK85" s="10" t="s">
        <v>2</v>
      </c>
      <c r="AL85" s="10" t="s">
        <v>2</v>
      </c>
      <c r="AM85" s="10" t="s">
        <v>2615</v>
      </c>
      <c r="AP85" s="16"/>
    </row>
    <row r="86" spans="1:42" s="10" customFormat="1" x14ac:dyDescent="0.3">
      <c r="A86" s="26" t="s">
        <v>1802</v>
      </c>
      <c r="B86" s="26" t="s">
        <v>320</v>
      </c>
      <c r="C86" s="26" t="s">
        <v>1804</v>
      </c>
      <c r="D86" s="26" t="s">
        <v>1803</v>
      </c>
      <c r="E86" s="10" t="s">
        <v>1319</v>
      </c>
      <c r="F86" s="10" t="s">
        <v>2665</v>
      </c>
      <c r="G86" s="10" t="s">
        <v>1806</v>
      </c>
      <c r="H86" s="10" t="s">
        <v>1791</v>
      </c>
      <c r="J86" s="26" t="s">
        <v>1805</v>
      </c>
      <c r="K86" s="10">
        <v>14</v>
      </c>
      <c r="L86" s="10">
        <v>14</v>
      </c>
      <c r="M86" s="10">
        <v>3508</v>
      </c>
      <c r="P86" s="10">
        <v>5703</v>
      </c>
      <c r="AA86" s="14">
        <f t="shared" si="12"/>
        <v>1.6257126567844926</v>
      </c>
      <c r="AB86" s="14"/>
      <c r="AC86" s="14">
        <f t="shared" si="10"/>
        <v>1.6257126567844926</v>
      </c>
      <c r="AJ86" s="10" t="s">
        <v>2</v>
      </c>
      <c r="AK86" s="10" t="s">
        <v>2</v>
      </c>
      <c r="AL86" s="10" t="s">
        <v>2</v>
      </c>
      <c r="AM86" s="10" t="s">
        <v>2616</v>
      </c>
    </row>
    <row r="87" spans="1:42" s="10" customFormat="1" x14ac:dyDescent="0.3">
      <c r="A87" s="26" t="s">
        <v>1802</v>
      </c>
      <c r="B87" s="26" t="s">
        <v>320</v>
      </c>
      <c r="C87" s="26" t="s">
        <v>1804</v>
      </c>
      <c r="D87" s="26" t="s">
        <v>1803</v>
      </c>
      <c r="E87" s="10" t="s">
        <v>1319</v>
      </c>
      <c r="F87" s="10" t="s">
        <v>2665</v>
      </c>
      <c r="G87" s="10" t="s">
        <v>1807</v>
      </c>
      <c r="H87" s="10" t="s">
        <v>1791</v>
      </c>
      <c r="J87" s="26" t="s">
        <v>1805</v>
      </c>
      <c r="K87" s="10">
        <v>14</v>
      </c>
      <c r="L87" s="10">
        <v>14</v>
      </c>
      <c r="M87" s="10">
        <v>3508</v>
      </c>
      <c r="P87" s="10">
        <v>5750</v>
      </c>
      <c r="AA87" s="14">
        <f t="shared" si="12"/>
        <v>1.6391106043329533</v>
      </c>
      <c r="AB87" s="14"/>
      <c r="AC87" s="14">
        <f t="shared" si="10"/>
        <v>1.6391106043329533</v>
      </c>
      <c r="AJ87" s="10" t="s">
        <v>2</v>
      </c>
      <c r="AK87" s="10" t="s">
        <v>2</v>
      </c>
      <c r="AL87" s="10" t="s">
        <v>2</v>
      </c>
      <c r="AM87" s="10" t="s">
        <v>2616</v>
      </c>
    </row>
    <row r="88" spans="1:42" s="10" customFormat="1" x14ac:dyDescent="0.3">
      <c r="A88" s="26" t="s">
        <v>1802</v>
      </c>
      <c r="B88" s="26" t="s">
        <v>320</v>
      </c>
      <c r="C88" s="26" t="s">
        <v>1804</v>
      </c>
      <c r="D88" s="26" t="s">
        <v>1803</v>
      </c>
      <c r="E88" s="10" t="s">
        <v>1319</v>
      </c>
      <c r="F88" s="10" t="s">
        <v>2665</v>
      </c>
      <c r="G88" s="10" t="s">
        <v>1808</v>
      </c>
      <c r="H88" s="10" t="s">
        <v>1791</v>
      </c>
      <c r="J88" s="26" t="s">
        <v>1805</v>
      </c>
      <c r="K88" s="10">
        <v>14</v>
      </c>
      <c r="L88" s="10">
        <v>14</v>
      </c>
      <c r="M88" s="10">
        <v>3508</v>
      </c>
      <c r="P88" s="10">
        <v>4023</v>
      </c>
      <c r="AA88" s="14">
        <f t="shared" si="12"/>
        <v>1.1468072976054733</v>
      </c>
      <c r="AB88" s="14"/>
      <c r="AC88" s="14">
        <f t="shared" si="10"/>
        <v>1.1468072976054733</v>
      </c>
      <c r="AJ88" s="10" t="s">
        <v>2</v>
      </c>
      <c r="AK88" s="10" t="s">
        <v>2</v>
      </c>
      <c r="AL88" s="10" t="s">
        <v>2</v>
      </c>
      <c r="AM88" s="10" t="s">
        <v>2616</v>
      </c>
    </row>
    <row r="89" spans="1:42" s="10" customFormat="1" x14ac:dyDescent="0.3">
      <c r="A89" s="26" t="s">
        <v>1802</v>
      </c>
      <c r="B89" s="26" t="s">
        <v>320</v>
      </c>
      <c r="C89" s="26" t="s">
        <v>1804</v>
      </c>
      <c r="D89" s="26" t="s">
        <v>1803</v>
      </c>
      <c r="E89" s="10" t="s">
        <v>1262</v>
      </c>
      <c r="F89" s="10" t="s">
        <v>2665</v>
      </c>
      <c r="G89" s="10" t="s">
        <v>1806</v>
      </c>
      <c r="H89" s="10" t="s">
        <v>1791</v>
      </c>
      <c r="J89" s="26" t="s">
        <v>1805</v>
      </c>
      <c r="K89" s="10">
        <v>14</v>
      </c>
      <c r="L89" s="10">
        <v>14</v>
      </c>
      <c r="M89" s="10">
        <v>3023</v>
      </c>
      <c r="P89" s="10">
        <v>3266</v>
      </c>
      <c r="AA89" s="14">
        <f t="shared" si="12"/>
        <v>1.0803837247767119</v>
      </c>
      <c r="AB89" s="14"/>
      <c r="AC89" s="14">
        <f t="shared" si="10"/>
        <v>1.0803837247767119</v>
      </c>
      <c r="AJ89" s="10" t="s">
        <v>2</v>
      </c>
      <c r="AK89" s="10" t="s">
        <v>2</v>
      </c>
      <c r="AL89" s="10" t="s">
        <v>2</v>
      </c>
      <c r="AM89" s="10" t="s">
        <v>2616</v>
      </c>
    </row>
    <row r="90" spans="1:42" s="10" customFormat="1" x14ac:dyDescent="0.3">
      <c r="A90" s="26" t="s">
        <v>1802</v>
      </c>
      <c r="B90" s="26" t="s">
        <v>320</v>
      </c>
      <c r="C90" s="26" t="s">
        <v>1804</v>
      </c>
      <c r="D90" s="26" t="s">
        <v>1803</v>
      </c>
      <c r="E90" s="10" t="s">
        <v>1262</v>
      </c>
      <c r="F90" s="10" t="s">
        <v>2665</v>
      </c>
      <c r="G90" s="10" t="s">
        <v>1807</v>
      </c>
      <c r="H90" s="10" t="s">
        <v>1791</v>
      </c>
      <c r="J90" s="26" t="s">
        <v>1805</v>
      </c>
      <c r="K90" s="10">
        <v>14</v>
      </c>
      <c r="L90" s="10">
        <v>14</v>
      </c>
      <c r="M90" s="10">
        <v>3023</v>
      </c>
      <c r="P90" s="10">
        <v>2875</v>
      </c>
      <c r="AA90" s="14">
        <f t="shared" si="12"/>
        <v>0.95104201124710552</v>
      </c>
      <c r="AB90" s="14"/>
      <c r="AC90" s="14">
        <f t="shared" si="10"/>
        <v>0.95104201124710552</v>
      </c>
      <c r="AJ90" s="10" t="s">
        <v>2</v>
      </c>
      <c r="AK90" s="10" t="s">
        <v>2</v>
      </c>
      <c r="AL90" s="10" t="s">
        <v>2</v>
      </c>
      <c r="AM90" s="10" t="s">
        <v>2616</v>
      </c>
    </row>
    <row r="91" spans="1:42" s="10" customFormat="1" x14ac:dyDescent="0.3">
      <c r="A91" s="26" t="s">
        <v>1802</v>
      </c>
      <c r="B91" s="26" t="s">
        <v>320</v>
      </c>
      <c r="C91" s="26" t="s">
        <v>1804</v>
      </c>
      <c r="D91" s="26" t="s">
        <v>1803</v>
      </c>
      <c r="E91" s="10" t="s">
        <v>1262</v>
      </c>
      <c r="F91" s="10" t="s">
        <v>2665</v>
      </c>
      <c r="G91" s="10" t="s">
        <v>1808</v>
      </c>
      <c r="H91" s="10" t="s">
        <v>1791</v>
      </c>
      <c r="J91" s="26" t="s">
        <v>1805</v>
      </c>
      <c r="K91" s="10">
        <v>14</v>
      </c>
      <c r="L91" s="10">
        <v>14</v>
      </c>
      <c r="M91" s="10">
        <v>3023</v>
      </c>
      <c r="P91" s="10">
        <v>1617</v>
      </c>
      <c r="AA91" s="14">
        <f t="shared" si="12"/>
        <v>0.53489910684750253</v>
      </c>
      <c r="AB91" s="14"/>
      <c r="AC91" s="14">
        <f t="shared" si="10"/>
        <v>0.53489910684750253</v>
      </c>
      <c r="AJ91" s="10" t="s">
        <v>2</v>
      </c>
      <c r="AK91" s="10" t="s">
        <v>2</v>
      </c>
      <c r="AL91" s="10" t="s">
        <v>2</v>
      </c>
      <c r="AM91" s="10" t="s">
        <v>2616</v>
      </c>
    </row>
    <row r="92" spans="1:42" s="10" customFormat="1" x14ac:dyDescent="0.3">
      <c r="A92" s="16" t="s">
        <v>1809</v>
      </c>
      <c r="B92" s="26" t="s">
        <v>131</v>
      </c>
      <c r="C92" s="26" t="s">
        <v>1810</v>
      </c>
      <c r="D92" s="16" t="s">
        <v>1811</v>
      </c>
      <c r="F92" s="10" t="s">
        <v>2665</v>
      </c>
      <c r="G92" s="10" t="s">
        <v>1812</v>
      </c>
      <c r="H92" s="10" t="s">
        <v>1791</v>
      </c>
      <c r="J92" s="26" t="s">
        <v>1230</v>
      </c>
      <c r="K92" s="10">
        <f>3*15</f>
        <v>45</v>
      </c>
      <c r="L92" s="10">
        <f>6*15</f>
        <v>90</v>
      </c>
      <c r="M92" s="25">
        <f>(901+966+946+776+795+769)/3</f>
        <v>1717.6666666666667</v>
      </c>
      <c r="P92" s="25">
        <f>(2567+2293+1950+1614+1185+1230+220+433+756+482+527+659)/6</f>
        <v>2319.3333333333335</v>
      </c>
      <c r="AA92" s="14">
        <f t="shared" si="12"/>
        <v>1.3502813894818553</v>
      </c>
      <c r="AB92" s="14"/>
      <c r="AC92" s="14">
        <f t="shared" si="10"/>
        <v>1.3502813894818553</v>
      </c>
      <c r="AJ92" s="10" t="s">
        <v>2</v>
      </c>
      <c r="AK92" s="10" t="s">
        <v>2</v>
      </c>
      <c r="AL92" s="10" t="s">
        <v>2</v>
      </c>
      <c r="AM92" s="10" t="s">
        <v>2617</v>
      </c>
    </row>
    <row r="93" spans="1:42" s="10" customFormat="1" ht="28.8" x14ac:dyDescent="0.3">
      <c r="A93" s="16" t="s">
        <v>2043</v>
      </c>
      <c r="B93" s="26" t="s">
        <v>282</v>
      </c>
      <c r="C93" s="26" t="s">
        <v>2049</v>
      </c>
      <c r="D93" s="16" t="s">
        <v>2050</v>
      </c>
      <c r="E93" s="10">
        <v>2008</v>
      </c>
      <c r="F93" s="10" t="s">
        <v>2665</v>
      </c>
      <c r="G93" s="10" t="s">
        <v>1812</v>
      </c>
      <c r="H93" s="10" t="s">
        <v>1791</v>
      </c>
      <c r="J93" s="38" t="s">
        <v>2051</v>
      </c>
      <c r="K93" s="10">
        <v>135</v>
      </c>
      <c r="L93" s="10">
        <v>135</v>
      </c>
      <c r="M93" s="10">
        <f>693.79+226.91+377.31</f>
        <v>1298.01</v>
      </c>
      <c r="P93" s="10">
        <f>525.88+12.92+333.21</f>
        <v>872.01</v>
      </c>
      <c r="W93" s="10">
        <v>17</v>
      </c>
      <c r="AA93" s="14">
        <f t="shared" si="12"/>
        <v>0.67180530196223454</v>
      </c>
      <c r="AC93" s="14">
        <f t="shared" si="10"/>
        <v>0.67180530196223454</v>
      </c>
      <c r="AJ93" s="10" t="s">
        <v>2</v>
      </c>
      <c r="AK93" s="10" t="s">
        <v>2</v>
      </c>
      <c r="AL93" s="10" t="s">
        <v>2</v>
      </c>
      <c r="AM93" s="10" t="s">
        <v>1698</v>
      </c>
    </row>
    <row r="94" spans="1:42" s="10" customFormat="1" ht="28.8" x14ac:dyDescent="0.3">
      <c r="A94" s="16" t="s">
        <v>2043</v>
      </c>
      <c r="B94" s="26" t="s">
        <v>282</v>
      </c>
      <c r="C94" s="26" t="s">
        <v>2049</v>
      </c>
      <c r="D94" s="16" t="s">
        <v>2050</v>
      </c>
      <c r="E94" s="10">
        <v>2009</v>
      </c>
      <c r="F94" s="10" t="s">
        <v>2665</v>
      </c>
      <c r="G94" s="10" t="s">
        <v>1812</v>
      </c>
      <c r="H94" s="10" t="s">
        <v>1791</v>
      </c>
      <c r="J94" s="38" t="s">
        <v>2051</v>
      </c>
      <c r="K94" s="10">
        <v>135</v>
      </c>
      <c r="L94" s="10">
        <v>135</v>
      </c>
      <c r="M94" s="10">
        <f>302.01+48.87+540.32</f>
        <v>891.2</v>
      </c>
      <c r="P94" s="10">
        <f>250.97+4.75+52.34</f>
        <v>308.06</v>
      </c>
      <c r="W94" s="10">
        <v>17</v>
      </c>
      <c r="AA94" s="14">
        <f t="shared" si="12"/>
        <v>0.34566876122082585</v>
      </c>
      <c r="AC94" s="14">
        <f t="shared" si="10"/>
        <v>0.34566876122082585</v>
      </c>
      <c r="AJ94" s="10" t="s">
        <v>2</v>
      </c>
      <c r="AK94" s="10" t="s">
        <v>2</v>
      </c>
      <c r="AL94" s="10" t="s">
        <v>2</v>
      </c>
      <c r="AM94" s="10" t="s">
        <v>1698</v>
      </c>
    </row>
    <row r="95" spans="1:42" s="10" customFormat="1" ht="28.8" x14ac:dyDescent="0.3">
      <c r="A95" s="16" t="s">
        <v>2043</v>
      </c>
      <c r="B95" s="26" t="s">
        <v>282</v>
      </c>
      <c r="C95" s="26" t="s">
        <v>2049</v>
      </c>
      <c r="D95" s="16" t="s">
        <v>2050</v>
      </c>
      <c r="E95" s="10">
        <v>2010</v>
      </c>
      <c r="F95" s="10" t="s">
        <v>2665</v>
      </c>
      <c r="G95" s="10" t="s">
        <v>1812</v>
      </c>
      <c r="H95" s="10" t="s">
        <v>1791</v>
      </c>
      <c r="J95" s="38" t="s">
        <v>2051</v>
      </c>
      <c r="K95" s="10">
        <v>135</v>
      </c>
      <c r="L95" s="10">
        <v>135</v>
      </c>
      <c r="M95" s="10">
        <f>214.46+448.28+1116.48</f>
        <v>1779.22</v>
      </c>
      <c r="P95" s="10">
        <f>789.56+158.28+892.93</f>
        <v>1840.77</v>
      </c>
      <c r="W95" s="10">
        <v>17</v>
      </c>
      <c r="AA95" s="14">
        <f t="shared" si="12"/>
        <v>1.034593810771012</v>
      </c>
      <c r="AC95" s="14">
        <f t="shared" ref="AC95" si="14">AA95+AB95</f>
        <v>1.034593810771012</v>
      </c>
      <c r="AJ95" s="10" t="s">
        <v>2</v>
      </c>
      <c r="AK95" s="10" t="s">
        <v>2</v>
      </c>
      <c r="AL95" s="10" t="s">
        <v>2</v>
      </c>
      <c r="AM95" s="10" t="s">
        <v>1698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Database explanation</vt:lpstr>
      <vt:lpstr>Orchards</vt:lpstr>
      <vt:lpstr>Cover&amp;Rotation</vt:lpstr>
      <vt:lpstr>Intercropping</vt:lpstr>
      <vt:lpstr>Crop livestock</vt:lpstr>
      <vt:lpstr>Sparse trees</vt:lpstr>
      <vt:lpstr>Tree and crop</vt:lpstr>
      <vt:lpstr>Agroforest</vt:lpstr>
      <vt:lpstr>Silvopastoralism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Lopez Rodriguez, Susana</dc:creator>
  <cp:lastModifiedBy>Lopez Rodriguez, Susana</cp:lastModifiedBy>
  <dcterms:created xsi:type="dcterms:W3CDTF">2015-06-05T18:17:20Z</dcterms:created>
  <dcterms:modified xsi:type="dcterms:W3CDTF">2026-04-08T16:39:56Z</dcterms:modified>
</cp:coreProperties>
</file>